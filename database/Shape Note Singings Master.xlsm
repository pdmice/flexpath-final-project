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J\Desktop\"/>
    </mc:Choice>
  </mc:AlternateContent>
  <xr:revisionPtr revIDLastSave="0" documentId="13_ncr:1_{2D30C866-7C75-483E-8312-F5582E252283}" xr6:coauthVersionLast="47" xr6:coauthVersionMax="47" xr10:uidLastSave="{00000000-0000-0000-0000-000000000000}"/>
  <bookViews>
    <workbookView xWindow="-108" yWindow="-108" windowWidth="30936" windowHeight="17040" xr2:uid="{BEF16945-F107-4126-A48C-F043D3574F06}"/>
  </bookViews>
  <sheets>
    <sheet name="Annual Singings" sheetId="4" r:id="rId1"/>
    <sheet name="Deleted Singings" sheetId="5" r:id="rId2"/>
  </sheets>
  <definedNames>
    <definedName name="_xlnm._FilterDatabase" localSheetId="0" hidden="1">'Annual Singings'!$A$1:$AJ$355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51" i="5" l="1"/>
  <c r="U51" i="5"/>
  <c r="T51" i="5"/>
  <c r="AB51" i="5" s="1"/>
  <c r="T101" i="4"/>
  <c r="U101" i="4"/>
  <c r="AA101" i="4"/>
  <c r="AA116" i="4"/>
  <c r="U116" i="4"/>
  <c r="T116" i="4"/>
  <c r="AB116" i="4" s="1"/>
  <c r="AA50" i="5"/>
  <c r="U50" i="5"/>
  <c r="T50" i="5"/>
  <c r="AB50" i="5" s="1"/>
  <c r="AA49" i="5"/>
  <c r="U49" i="5"/>
  <c r="T49" i="5"/>
  <c r="AB49" i="5" s="1"/>
  <c r="AA48" i="5"/>
  <c r="U48" i="5"/>
  <c r="T48" i="5"/>
  <c r="AB48" i="5" s="1"/>
  <c r="AA129" i="4"/>
  <c r="U129" i="4"/>
  <c r="T129" i="4"/>
  <c r="AB129" i="4" s="1"/>
  <c r="AA272" i="4"/>
  <c r="U272" i="4"/>
  <c r="T272" i="4"/>
  <c r="AB272" i="4" s="1"/>
  <c r="AA154" i="4"/>
  <c r="U154" i="4"/>
  <c r="T154" i="4"/>
  <c r="AB154" i="4" s="1"/>
  <c r="AA273" i="4"/>
  <c r="U273" i="4"/>
  <c r="T273" i="4"/>
  <c r="AB273" i="4" s="1"/>
  <c r="T47" i="5"/>
  <c r="U47" i="5"/>
  <c r="AA47" i="5"/>
  <c r="AA46" i="5"/>
  <c r="U46" i="5"/>
  <c r="T46" i="5"/>
  <c r="AB46" i="5" s="1"/>
  <c r="AA37" i="5"/>
  <c r="U37" i="5"/>
  <c r="T37" i="5"/>
  <c r="AB37" i="5" s="1"/>
  <c r="AJ19" i="4"/>
  <c r="AI19" i="4"/>
  <c r="AA19" i="4"/>
  <c r="U19" i="4"/>
  <c r="T19" i="4"/>
  <c r="AB19" i="4" s="1"/>
  <c r="AA24" i="4"/>
  <c r="U24" i="4"/>
  <c r="T24" i="4"/>
  <c r="AA34" i="5"/>
  <c r="U34" i="5"/>
  <c r="T34" i="5"/>
  <c r="Y34" i="5" s="1"/>
  <c r="AA209" i="4"/>
  <c r="U209" i="4"/>
  <c r="T209" i="4"/>
  <c r="Y209" i="4" s="1"/>
  <c r="AA132" i="4"/>
  <c r="U132" i="4"/>
  <c r="T132" i="4"/>
  <c r="Y132" i="4" s="1"/>
  <c r="AA61" i="4"/>
  <c r="U61" i="4"/>
  <c r="T61" i="4"/>
  <c r="AB61" i="4" s="1"/>
  <c r="AA31" i="4"/>
  <c r="U31" i="4"/>
  <c r="T31" i="4"/>
  <c r="AA23" i="4"/>
  <c r="U23" i="4"/>
  <c r="T23" i="4"/>
  <c r="AA40" i="5"/>
  <c r="U40" i="5"/>
  <c r="T40" i="5"/>
  <c r="Y40" i="5" s="1"/>
  <c r="AA45" i="5"/>
  <c r="U45" i="5"/>
  <c r="T45" i="5"/>
  <c r="Y45" i="5" s="1"/>
  <c r="AA44" i="5"/>
  <c r="U44" i="5"/>
  <c r="T44" i="5"/>
  <c r="Y44" i="5" s="1"/>
  <c r="T335" i="4"/>
  <c r="AA43" i="5"/>
  <c r="U43" i="5"/>
  <c r="T43" i="5"/>
  <c r="T182" i="4"/>
  <c r="AA27" i="5"/>
  <c r="U27" i="5"/>
  <c r="T27" i="5"/>
  <c r="AA14" i="4"/>
  <c r="U14" i="4"/>
  <c r="T14" i="4"/>
  <c r="AB14" i="4" s="1"/>
  <c r="U5" i="4"/>
  <c r="T5" i="4"/>
  <c r="T286" i="4"/>
  <c r="U286" i="4"/>
  <c r="AA286" i="4"/>
  <c r="T275" i="4"/>
  <c r="Y275" i="4" s="1"/>
  <c r="U275" i="4"/>
  <c r="AA275" i="4"/>
  <c r="U334" i="4"/>
  <c r="T334" i="4"/>
  <c r="Y334" i="4" s="1"/>
  <c r="AA334" i="4"/>
  <c r="T7" i="4"/>
  <c r="AB7" i="4" s="1"/>
  <c r="AA7" i="4"/>
  <c r="U7" i="4"/>
  <c r="AA6" i="4"/>
  <c r="U6" i="4"/>
  <c r="T6" i="4"/>
  <c r="AB6" i="4" s="1"/>
  <c r="AA41" i="5"/>
  <c r="U41" i="5"/>
  <c r="T41" i="5"/>
  <c r="AB41" i="5" s="1"/>
  <c r="T329" i="4"/>
  <c r="AA2" i="4"/>
  <c r="U2" i="4"/>
  <c r="T2" i="4"/>
  <c r="AB2" i="4" s="1"/>
  <c r="Y101" i="4" l="1"/>
  <c r="X101" i="4" s="1"/>
  <c r="G101" i="4" s="1"/>
  <c r="AD101" i="4" s="1"/>
  <c r="Y51" i="5"/>
  <c r="AB101" i="4"/>
  <c r="Y47" i="5"/>
  <c r="Z101" i="4"/>
  <c r="Y27" i="5"/>
  <c r="X27" i="5" s="1"/>
  <c r="G27" i="5" s="1"/>
  <c r="AD27" i="5" s="1"/>
  <c r="Y31" i="4"/>
  <c r="X31" i="4" s="1"/>
  <c r="G31" i="4" s="1"/>
  <c r="AD31" i="4" s="1"/>
  <c r="Y116" i="4"/>
  <c r="Y50" i="5"/>
  <c r="Y49" i="5"/>
  <c r="Y24" i="4"/>
  <c r="X24" i="4" s="1"/>
  <c r="G24" i="4" s="1"/>
  <c r="AD24" i="4" s="1"/>
  <c r="Y48" i="5"/>
  <c r="Y129" i="4"/>
  <c r="AB47" i="5"/>
  <c r="Y272" i="4"/>
  <c r="Y154" i="4"/>
  <c r="Y273" i="4"/>
  <c r="X47" i="5"/>
  <c r="G47" i="5" s="1"/>
  <c r="AD47" i="5" s="1"/>
  <c r="Y46" i="5"/>
  <c r="Y23" i="4"/>
  <c r="X23" i="4" s="1"/>
  <c r="G23" i="4" s="1"/>
  <c r="AD23" i="4" s="1"/>
  <c r="Y37" i="5"/>
  <c r="Y19" i="4"/>
  <c r="AB24" i="4"/>
  <c r="X34" i="5"/>
  <c r="G34" i="5" s="1"/>
  <c r="AD34" i="5" s="1"/>
  <c r="AB34" i="5"/>
  <c r="X209" i="4"/>
  <c r="G209" i="4" s="1"/>
  <c r="AD209" i="4" s="1"/>
  <c r="AB209" i="4"/>
  <c r="X132" i="4"/>
  <c r="G132" i="4" s="1"/>
  <c r="AD132" i="4" s="1"/>
  <c r="AB132" i="4"/>
  <c r="Y61" i="4"/>
  <c r="X61" i="4" s="1"/>
  <c r="G61" i="4" s="1"/>
  <c r="AD61" i="4" s="1"/>
  <c r="AB31" i="4"/>
  <c r="AB23" i="4"/>
  <c r="X40" i="5"/>
  <c r="G40" i="5" s="1"/>
  <c r="AD40" i="5" s="1"/>
  <c r="AB40" i="5"/>
  <c r="X45" i="5"/>
  <c r="G45" i="5" s="1"/>
  <c r="AD45" i="5" s="1"/>
  <c r="AB45" i="5"/>
  <c r="Y43" i="5"/>
  <c r="X43" i="5" s="1"/>
  <c r="G43" i="5" s="1"/>
  <c r="AD43" i="5" s="1"/>
  <c r="X44" i="5"/>
  <c r="G44" i="5" s="1"/>
  <c r="AD44" i="5" s="1"/>
  <c r="AB44" i="5"/>
  <c r="AB43" i="5"/>
  <c r="AB27" i="5"/>
  <c r="Y14" i="4"/>
  <c r="AB275" i="4"/>
  <c r="Y286" i="4"/>
  <c r="X286" i="4" s="1"/>
  <c r="G286" i="4" s="1"/>
  <c r="AD286" i="4" s="1"/>
  <c r="AB286" i="4"/>
  <c r="X275" i="4"/>
  <c r="G275" i="4" s="1"/>
  <c r="AD275" i="4" s="1"/>
  <c r="X334" i="4"/>
  <c r="G334" i="4" s="1"/>
  <c r="AD334" i="4" s="1"/>
  <c r="AB334" i="4"/>
  <c r="Y7" i="4"/>
  <c r="X7" i="4" s="1"/>
  <c r="G7" i="4" s="1"/>
  <c r="AD7" i="4" s="1"/>
  <c r="Y6" i="4"/>
  <c r="X6" i="4" s="1"/>
  <c r="G6" i="4" s="1"/>
  <c r="AD6" i="4" s="1"/>
  <c r="Y41" i="5"/>
  <c r="X41" i="5" s="1"/>
  <c r="G41" i="5" s="1"/>
  <c r="AD41" i="5" s="1"/>
  <c r="Y2" i="4"/>
  <c r="X2" i="4" s="1"/>
  <c r="G2" i="4" s="1"/>
  <c r="AD2" i="4" s="1"/>
  <c r="AA39" i="5"/>
  <c r="U39" i="5"/>
  <c r="T39" i="5"/>
  <c r="AA276" i="4"/>
  <c r="U276" i="4"/>
  <c r="T276" i="4"/>
  <c r="T299" i="4"/>
  <c r="AA36" i="5"/>
  <c r="U36" i="5"/>
  <c r="T36" i="5"/>
  <c r="AB36" i="5" s="1"/>
  <c r="AA161" i="4"/>
  <c r="U161" i="4"/>
  <c r="T161" i="4"/>
  <c r="AA159" i="4"/>
  <c r="U159" i="4"/>
  <c r="T159" i="4"/>
  <c r="AA247" i="4"/>
  <c r="U247" i="4"/>
  <c r="T247" i="4"/>
  <c r="AA35" i="5"/>
  <c r="U35" i="5"/>
  <c r="T35" i="5"/>
  <c r="AA280" i="4"/>
  <c r="U280" i="4"/>
  <c r="T280" i="4"/>
  <c r="AA33" i="5"/>
  <c r="U33" i="5"/>
  <c r="T33" i="5"/>
  <c r="AA32" i="5"/>
  <c r="U32" i="5"/>
  <c r="T32" i="5"/>
  <c r="AB32" i="5" s="1"/>
  <c r="AA228" i="4"/>
  <c r="U228" i="4"/>
  <c r="T228" i="4"/>
  <c r="AA30" i="5"/>
  <c r="U30" i="5"/>
  <c r="T30" i="5"/>
  <c r="AA29" i="5"/>
  <c r="U29" i="5"/>
  <c r="T29" i="5"/>
  <c r="AA28" i="5"/>
  <c r="U28" i="5"/>
  <c r="T28" i="5"/>
  <c r="AA178" i="4"/>
  <c r="AA162" i="4"/>
  <c r="U162" i="4"/>
  <c r="T162" i="4"/>
  <c r="AA216" i="4"/>
  <c r="U216" i="4"/>
  <c r="T216" i="4"/>
  <c r="AA145" i="4"/>
  <c r="U145" i="4"/>
  <c r="T145" i="4"/>
  <c r="AA26" i="5"/>
  <c r="U26" i="5"/>
  <c r="T26" i="5"/>
  <c r="AA25" i="5"/>
  <c r="U25" i="5"/>
  <c r="T25" i="5"/>
  <c r="AA24" i="5"/>
  <c r="U24" i="5"/>
  <c r="T24" i="5"/>
  <c r="AA6" i="5"/>
  <c r="U6" i="5"/>
  <c r="T6" i="5"/>
  <c r="AA138" i="4"/>
  <c r="U138" i="4"/>
  <c r="T138" i="4"/>
  <c r="AB138" i="4" s="1"/>
  <c r="AA183" i="4"/>
  <c r="U183" i="4"/>
  <c r="T183" i="4"/>
  <c r="AA23" i="5"/>
  <c r="U23" i="5"/>
  <c r="T23" i="5"/>
  <c r="AB23" i="5" s="1"/>
  <c r="AA22" i="5"/>
  <c r="U22" i="5"/>
  <c r="T22" i="5"/>
  <c r="AA21" i="5"/>
  <c r="U21" i="5"/>
  <c r="T21" i="5"/>
  <c r="AA20" i="5"/>
  <c r="U20" i="5"/>
  <c r="T20" i="5"/>
  <c r="AB20" i="5" s="1"/>
  <c r="AA85" i="4"/>
  <c r="U85" i="4"/>
  <c r="T85" i="4"/>
  <c r="AA19" i="5"/>
  <c r="U19" i="5"/>
  <c r="T19" i="5"/>
  <c r="AA194" i="4"/>
  <c r="U194" i="4"/>
  <c r="T194" i="4"/>
  <c r="AA122" i="4"/>
  <c r="U122" i="4"/>
  <c r="T122" i="4"/>
  <c r="AA131" i="4"/>
  <c r="AA133" i="4"/>
  <c r="AA134" i="4"/>
  <c r="AA136" i="4"/>
  <c r="AA137" i="4"/>
  <c r="AA139" i="4"/>
  <c r="AA140" i="4"/>
  <c r="AA135" i="4"/>
  <c r="AA141" i="4"/>
  <c r="AA142" i="4"/>
  <c r="AA143" i="4"/>
  <c r="AA152" i="4"/>
  <c r="AA144" i="4"/>
  <c r="AA146" i="4"/>
  <c r="AA147" i="4"/>
  <c r="AA148" i="4"/>
  <c r="AA150" i="4"/>
  <c r="AA151" i="4"/>
  <c r="AA153" i="4"/>
  <c r="AA155" i="4"/>
  <c r="AA156" i="4"/>
  <c r="AA149" i="4"/>
  <c r="AA160" i="4"/>
  <c r="AA158" i="4"/>
  <c r="AA284" i="4"/>
  <c r="AA163" i="4"/>
  <c r="AA164" i="4"/>
  <c r="AA157" i="4"/>
  <c r="AA165" i="4"/>
  <c r="AA166" i="4"/>
  <c r="AA167" i="4"/>
  <c r="AA168" i="4"/>
  <c r="AA169" i="4"/>
  <c r="AA170" i="4"/>
  <c r="AA171" i="4"/>
  <c r="AA172" i="4"/>
  <c r="AA173" i="4"/>
  <c r="AA174" i="4"/>
  <c r="AA175" i="4"/>
  <c r="AA176" i="4"/>
  <c r="AA179" i="4"/>
  <c r="AA180" i="4"/>
  <c r="AA181" i="4"/>
  <c r="AA182" i="4"/>
  <c r="AA184" i="4"/>
  <c r="AA185" i="4"/>
  <c r="AA187" i="4"/>
  <c r="AA188" i="4"/>
  <c r="AA189" i="4"/>
  <c r="AA190" i="4"/>
  <c r="AA191" i="4"/>
  <c r="AA192" i="4"/>
  <c r="AA193" i="4"/>
  <c r="AA195" i="4"/>
  <c r="AA196" i="4"/>
  <c r="AA197" i="4"/>
  <c r="AA198" i="4"/>
  <c r="AA199" i="4"/>
  <c r="AA200" i="4"/>
  <c r="AA206" i="4"/>
  <c r="AA201" i="4"/>
  <c r="AA202" i="4"/>
  <c r="AA203" i="4"/>
  <c r="AA204" i="4"/>
  <c r="AA205" i="4"/>
  <c r="AA207" i="4"/>
  <c r="AA208" i="4"/>
  <c r="AA210" i="4"/>
  <c r="AA186" i="4"/>
  <c r="AA211" i="4"/>
  <c r="AA212" i="4"/>
  <c r="AA213" i="4"/>
  <c r="AA299" i="4"/>
  <c r="AA214" i="4"/>
  <c r="AA215" i="4"/>
  <c r="AA217" i="4"/>
  <c r="AA218" i="4"/>
  <c r="AA219" i="4"/>
  <c r="AA220" i="4"/>
  <c r="AA221" i="4"/>
  <c r="AA222" i="4"/>
  <c r="AA223" i="4"/>
  <c r="AA224" i="4"/>
  <c r="AA225" i="4"/>
  <c r="AA226" i="4"/>
  <c r="AA227" i="4"/>
  <c r="AA229" i="4"/>
  <c r="AA230" i="4"/>
  <c r="AA231" i="4"/>
  <c r="AA232" i="4"/>
  <c r="AA233" i="4"/>
  <c r="AA234" i="4"/>
  <c r="AA242" i="4"/>
  <c r="AA243" i="4"/>
  <c r="AA244" i="4"/>
  <c r="AA245" i="4"/>
  <c r="AA235" i="4"/>
  <c r="AA238" i="4"/>
  <c r="AA241" i="4"/>
  <c r="AA248" i="4"/>
  <c r="AA249" i="4"/>
  <c r="AA246" i="4"/>
  <c r="AA250" i="4"/>
  <c r="AA251" i="4"/>
  <c r="AA252" i="4"/>
  <c r="AA254" i="4"/>
  <c r="AA255" i="4"/>
  <c r="AA256" i="4"/>
  <c r="AA257" i="4"/>
  <c r="AA258" i="4"/>
  <c r="AA278" i="4"/>
  <c r="AA259" i="4"/>
  <c r="AA260" i="4"/>
  <c r="AA261" i="4"/>
  <c r="AA262" i="4"/>
  <c r="AA263" i="4"/>
  <c r="AA264" i="4"/>
  <c r="AA268" i="4"/>
  <c r="AA269" i="4"/>
  <c r="AA236" i="4"/>
  <c r="AA265" i="4"/>
  <c r="AA266" i="4"/>
  <c r="AA177" i="4"/>
  <c r="AA237" i="4"/>
  <c r="AA239" i="4"/>
  <c r="AA240" i="4"/>
  <c r="AA253" i="4"/>
  <c r="AA270" i="4"/>
  <c r="AA271" i="4"/>
  <c r="AA274" i="4"/>
  <c r="AA279" i="4"/>
  <c r="AA292" i="4"/>
  <c r="AA281" i="4"/>
  <c r="AA282" i="4"/>
  <c r="AA267" i="4"/>
  <c r="AA283" i="4"/>
  <c r="AA285" i="4"/>
  <c r="AA287" i="4"/>
  <c r="AA288" i="4"/>
  <c r="AA289" i="4"/>
  <c r="AA290" i="4"/>
  <c r="AA291" i="4"/>
  <c r="AA293" i="4"/>
  <c r="AA277" i="4"/>
  <c r="AA294" i="4"/>
  <c r="AA295" i="4"/>
  <c r="AA296" i="4"/>
  <c r="AA297" i="4"/>
  <c r="AA298" i="4"/>
  <c r="AA300" i="4"/>
  <c r="AA324" i="4"/>
  <c r="AA301" i="4"/>
  <c r="AA302" i="4"/>
  <c r="AA303" i="4"/>
  <c r="AA304" i="4"/>
  <c r="AA305" i="4"/>
  <c r="AA306" i="4"/>
  <c r="AA307" i="4"/>
  <c r="AA308" i="4"/>
  <c r="AA309" i="4"/>
  <c r="AA310" i="4"/>
  <c r="AA311" i="4"/>
  <c r="AA312" i="4"/>
  <c r="AA313" i="4"/>
  <c r="AA314" i="4"/>
  <c r="AA315" i="4"/>
  <c r="AA316" i="4"/>
  <c r="AA317" i="4"/>
  <c r="AA319" i="4"/>
  <c r="AA318" i="4"/>
  <c r="AA320" i="4"/>
  <c r="AA321" i="4"/>
  <c r="AA322" i="4"/>
  <c r="AA326" i="4"/>
  <c r="AA328" i="4"/>
  <c r="AA325" i="4"/>
  <c r="AA329" i="4"/>
  <c r="AA327" i="4"/>
  <c r="AA330" i="4"/>
  <c r="AA331" i="4"/>
  <c r="AA332" i="4"/>
  <c r="AA333" i="4"/>
  <c r="AA335" i="4"/>
  <c r="AA336" i="4"/>
  <c r="AA337" i="4"/>
  <c r="AA323" i="4"/>
  <c r="AA338" i="4"/>
  <c r="T253" i="4"/>
  <c r="AA18" i="5"/>
  <c r="U18" i="5"/>
  <c r="T18" i="5"/>
  <c r="T192" i="4"/>
  <c r="AA103" i="4"/>
  <c r="U103" i="4"/>
  <c r="T103" i="4"/>
  <c r="U265" i="4"/>
  <c r="T265" i="4"/>
  <c r="AA17" i="5"/>
  <c r="U17" i="5"/>
  <c r="T17" i="5"/>
  <c r="AA10" i="4"/>
  <c r="U10" i="4"/>
  <c r="T10" i="4"/>
  <c r="AA15" i="5"/>
  <c r="U15" i="5"/>
  <c r="T15" i="5"/>
  <c r="AA14" i="5"/>
  <c r="U14" i="5"/>
  <c r="T14" i="5"/>
  <c r="AA13" i="5"/>
  <c r="U13" i="5"/>
  <c r="T13" i="5"/>
  <c r="AA12" i="5"/>
  <c r="U12" i="5"/>
  <c r="T12" i="5"/>
  <c r="AA11" i="5"/>
  <c r="U11" i="5"/>
  <c r="T11" i="5"/>
  <c r="AA10" i="5"/>
  <c r="U10" i="5"/>
  <c r="T10" i="5"/>
  <c r="AA9" i="5"/>
  <c r="U9" i="5"/>
  <c r="T9" i="5"/>
  <c r="AA104" i="4"/>
  <c r="U104" i="4"/>
  <c r="T104" i="4"/>
  <c r="AA8" i="5"/>
  <c r="U8" i="5"/>
  <c r="T8" i="5"/>
  <c r="AA7" i="5"/>
  <c r="U7" i="5"/>
  <c r="T7" i="5"/>
  <c r="AA58" i="4"/>
  <c r="U58" i="4"/>
  <c r="T58" i="4"/>
  <c r="U338" i="4"/>
  <c r="T338" i="4"/>
  <c r="Y338" i="4" s="1"/>
  <c r="T5" i="5"/>
  <c r="AB5" i="5" s="1"/>
  <c r="U5" i="5"/>
  <c r="AA5" i="5"/>
  <c r="U45" i="4"/>
  <c r="U46" i="4"/>
  <c r="U44" i="4"/>
  <c r="U335" i="4"/>
  <c r="Y335" i="4"/>
  <c r="AA4" i="5"/>
  <c r="U4" i="5"/>
  <c r="T4" i="5"/>
  <c r="AB4" i="5" s="1"/>
  <c r="X51" i="5" l="1"/>
  <c r="G51" i="5" s="1"/>
  <c r="AD51" i="5" s="1"/>
  <c r="X116" i="4"/>
  <c r="G116" i="4" s="1"/>
  <c r="AD116" i="4" s="1"/>
  <c r="X50" i="5"/>
  <c r="G50" i="5" s="1"/>
  <c r="AD50" i="5" s="1"/>
  <c r="X49" i="5"/>
  <c r="G49" i="5" s="1"/>
  <c r="AD49" i="5" s="1"/>
  <c r="X48" i="5"/>
  <c r="G48" i="5" s="1"/>
  <c r="AD48" i="5" s="1"/>
  <c r="X129" i="4"/>
  <c r="G129" i="4" s="1"/>
  <c r="AD129" i="4" s="1"/>
  <c r="X272" i="4"/>
  <c r="G272" i="4" s="1"/>
  <c r="AD272" i="4" s="1"/>
  <c r="X154" i="4"/>
  <c r="G154" i="4" s="1"/>
  <c r="AD154" i="4" s="1"/>
  <c r="X273" i="4"/>
  <c r="G273" i="4" s="1"/>
  <c r="AD273" i="4" s="1"/>
  <c r="Z47" i="5"/>
  <c r="X46" i="5"/>
  <c r="G46" i="5" s="1"/>
  <c r="AD46" i="5" s="1"/>
  <c r="X37" i="5"/>
  <c r="G37" i="5" s="1"/>
  <c r="AD37" i="5" s="1"/>
  <c r="X19" i="4"/>
  <c r="G19" i="4" s="1"/>
  <c r="AD19" i="4" s="1"/>
  <c r="Z24" i="4"/>
  <c r="Z34" i="5"/>
  <c r="Z209" i="4"/>
  <c r="Z132" i="4"/>
  <c r="Z61" i="4"/>
  <c r="Z31" i="4"/>
  <c r="Z23" i="4"/>
  <c r="Z40" i="5"/>
  <c r="Z45" i="5"/>
  <c r="Z44" i="5"/>
  <c r="Z43" i="5"/>
  <c r="Z27" i="5"/>
  <c r="X14" i="4"/>
  <c r="G14" i="4" s="1"/>
  <c r="AD14" i="4" s="1"/>
  <c r="Y13" i="5"/>
  <c r="X13" i="5" s="1"/>
  <c r="G13" i="5" s="1"/>
  <c r="AD13" i="5" s="1"/>
  <c r="Y12" i="5"/>
  <c r="X12" i="5" s="1"/>
  <c r="G12" i="5" s="1"/>
  <c r="AD12" i="5" s="1"/>
  <c r="Z286" i="4"/>
  <c r="Z275" i="4"/>
  <c r="Z334" i="4"/>
  <c r="Y14" i="5"/>
  <c r="X14" i="5" s="1"/>
  <c r="G14" i="5" s="1"/>
  <c r="AD14" i="5" s="1"/>
  <c r="Z7" i="4"/>
  <c r="Z6" i="4"/>
  <c r="Y276" i="4"/>
  <c r="X276" i="4" s="1"/>
  <c r="G276" i="4" s="1"/>
  <c r="AD276" i="4" s="1"/>
  <c r="Z41" i="5"/>
  <c r="Z2" i="4"/>
  <c r="Y11" i="5"/>
  <c r="X11" i="5" s="1"/>
  <c r="G11" i="5" s="1"/>
  <c r="AD11" i="5" s="1"/>
  <c r="Y15" i="5"/>
  <c r="X15" i="5" s="1"/>
  <c r="G15" i="5" s="1"/>
  <c r="AD15" i="5" s="1"/>
  <c r="Y265" i="4"/>
  <c r="X265" i="4" s="1"/>
  <c r="G265" i="4" s="1"/>
  <c r="AD265" i="4" s="1"/>
  <c r="Y280" i="4"/>
  <c r="X280" i="4" s="1"/>
  <c r="G280" i="4" s="1"/>
  <c r="AD280" i="4" s="1"/>
  <c r="Y39" i="5"/>
  <c r="X39" i="5" s="1"/>
  <c r="G39" i="5" s="1"/>
  <c r="AD39" i="5" s="1"/>
  <c r="Y247" i="4"/>
  <c r="X247" i="4" s="1"/>
  <c r="G247" i="4" s="1"/>
  <c r="AD247" i="4" s="1"/>
  <c r="AB39" i="5"/>
  <c r="Y228" i="4"/>
  <c r="X228" i="4" s="1"/>
  <c r="G228" i="4" s="1"/>
  <c r="AD228" i="4" s="1"/>
  <c r="Y6" i="5"/>
  <c r="X6" i="5" s="1"/>
  <c r="G6" i="5" s="1"/>
  <c r="AD6" i="5" s="1"/>
  <c r="AB276" i="4"/>
  <c r="Y10" i="5"/>
  <c r="X10" i="5" s="1"/>
  <c r="G10" i="5" s="1"/>
  <c r="AD10" i="5" s="1"/>
  <c r="Y17" i="5"/>
  <c r="X17" i="5" s="1"/>
  <c r="G17" i="5" s="1"/>
  <c r="AD17" i="5" s="1"/>
  <c r="Y216" i="4"/>
  <c r="X216" i="4" s="1"/>
  <c r="G216" i="4" s="1"/>
  <c r="AD216" i="4" s="1"/>
  <c r="Y161" i="4"/>
  <c r="X161" i="4" s="1"/>
  <c r="G161" i="4" s="1"/>
  <c r="AD161" i="4" s="1"/>
  <c r="Y36" i="5"/>
  <c r="X36" i="5" s="1"/>
  <c r="G36" i="5" s="1"/>
  <c r="AD36" i="5" s="1"/>
  <c r="Y159" i="4"/>
  <c r="X159" i="4" s="1"/>
  <c r="G159" i="4" s="1"/>
  <c r="AD159" i="4" s="1"/>
  <c r="Y35" i="5"/>
  <c r="X35" i="5" s="1"/>
  <c r="G35" i="5" s="1"/>
  <c r="AD35" i="5" s="1"/>
  <c r="AB161" i="4"/>
  <c r="AB159" i="4"/>
  <c r="AB247" i="4"/>
  <c r="AB35" i="5"/>
  <c r="Y183" i="4"/>
  <c r="X183" i="4" s="1"/>
  <c r="G183" i="4" s="1"/>
  <c r="AD183" i="4" s="1"/>
  <c r="Y33" i="5"/>
  <c r="X33" i="5" s="1"/>
  <c r="G33" i="5" s="1"/>
  <c r="AD33" i="5" s="1"/>
  <c r="AB280" i="4"/>
  <c r="Y194" i="4"/>
  <c r="X194" i="4" s="1"/>
  <c r="G194" i="4" s="1"/>
  <c r="AD194" i="4" s="1"/>
  <c r="Y30" i="5"/>
  <c r="X30" i="5" s="1"/>
  <c r="G30" i="5" s="1"/>
  <c r="AD30" i="5" s="1"/>
  <c r="AB33" i="5"/>
  <c r="Y32" i="5"/>
  <c r="X32" i="5" s="1"/>
  <c r="G32" i="5" s="1"/>
  <c r="AD32" i="5" s="1"/>
  <c r="AB228" i="4"/>
  <c r="Y162" i="4"/>
  <c r="X162" i="4" s="1"/>
  <c r="G162" i="4" s="1"/>
  <c r="AD162" i="4" s="1"/>
  <c r="Y29" i="5"/>
  <c r="X29" i="5" s="1"/>
  <c r="G29" i="5" s="1"/>
  <c r="AD29" i="5" s="1"/>
  <c r="Y19" i="5"/>
  <c r="X19" i="5" s="1"/>
  <c r="G19" i="5" s="1"/>
  <c r="AD19" i="5" s="1"/>
  <c r="Y28" i="5"/>
  <c r="X28" i="5" s="1"/>
  <c r="G28" i="5" s="1"/>
  <c r="AD28" i="5" s="1"/>
  <c r="AB30" i="5"/>
  <c r="AB29" i="5"/>
  <c r="AB28" i="5"/>
  <c r="Y24" i="5"/>
  <c r="X24" i="5" s="1"/>
  <c r="G24" i="5" s="1"/>
  <c r="AD24" i="5" s="1"/>
  <c r="AB162" i="4"/>
  <c r="Y21" i="5"/>
  <c r="X21" i="5" s="1"/>
  <c r="G21" i="5" s="1"/>
  <c r="AD21" i="5" s="1"/>
  <c r="Y25" i="5"/>
  <c r="X25" i="5" s="1"/>
  <c r="G25" i="5" s="1"/>
  <c r="AD25" i="5" s="1"/>
  <c r="AB216" i="4"/>
  <c r="Y22" i="5"/>
  <c r="X22" i="5" s="1"/>
  <c r="G22" i="5" s="1"/>
  <c r="AD22" i="5" s="1"/>
  <c r="Y26" i="5"/>
  <c r="X26" i="5" s="1"/>
  <c r="G26" i="5" s="1"/>
  <c r="AD26" i="5" s="1"/>
  <c r="Y145" i="4"/>
  <c r="X145" i="4" s="1"/>
  <c r="G145" i="4" s="1"/>
  <c r="AD145" i="4" s="1"/>
  <c r="Y9" i="5"/>
  <c r="X9" i="5" s="1"/>
  <c r="G9" i="5" s="1"/>
  <c r="AD9" i="5" s="1"/>
  <c r="AB145" i="4"/>
  <c r="Y122" i="4"/>
  <c r="X122" i="4" s="1"/>
  <c r="G122" i="4" s="1"/>
  <c r="AD122" i="4" s="1"/>
  <c r="AB26" i="5"/>
  <c r="AB25" i="5"/>
  <c r="AB24" i="5"/>
  <c r="AB6" i="5"/>
  <c r="Y138" i="4"/>
  <c r="X138" i="4" s="1"/>
  <c r="G138" i="4" s="1"/>
  <c r="AD138" i="4" s="1"/>
  <c r="AB183" i="4"/>
  <c r="Y23" i="5"/>
  <c r="X23" i="5" s="1"/>
  <c r="G23" i="5" s="1"/>
  <c r="AD23" i="5" s="1"/>
  <c r="Y104" i="4"/>
  <c r="X104" i="4" s="1"/>
  <c r="G104" i="4" s="1"/>
  <c r="AD104" i="4" s="1"/>
  <c r="Y10" i="4"/>
  <c r="X10" i="4" s="1"/>
  <c r="G10" i="4" s="1"/>
  <c r="AD10" i="4" s="1"/>
  <c r="AB22" i="5"/>
  <c r="AB21" i="5"/>
  <c r="Y20" i="5"/>
  <c r="X20" i="5" s="1"/>
  <c r="G20" i="5" s="1"/>
  <c r="AD20" i="5" s="1"/>
  <c r="Y58" i="4"/>
  <c r="X58" i="4" s="1"/>
  <c r="G58" i="4" s="1"/>
  <c r="AD58" i="4" s="1"/>
  <c r="Y103" i="4"/>
  <c r="X103" i="4" s="1"/>
  <c r="G103" i="4" s="1"/>
  <c r="AD103" i="4" s="1"/>
  <c r="Y18" i="5"/>
  <c r="X18" i="5" s="1"/>
  <c r="G18" i="5" s="1"/>
  <c r="AD18" i="5" s="1"/>
  <c r="Y85" i="4"/>
  <c r="X85" i="4" s="1"/>
  <c r="G85" i="4" s="1"/>
  <c r="AD85" i="4" s="1"/>
  <c r="AB85" i="4"/>
  <c r="AB19" i="5"/>
  <c r="Y8" i="5"/>
  <c r="X8" i="5" s="1"/>
  <c r="G8" i="5" s="1"/>
  <c r="AD8" i="5" s="1"/>
  <c r="AB194" i="4"/>
  <c r="AB122" i="4"/>
  <c r="AB18" i="5"/>
  <c r="Y7" i="5"/>
  <c r="X7" i="5" s="1"/>
  <c r="G7" i="5" s="1"/>
  <c r="AD7" i="5" s="1"/>
  <c r="AB103" i="4"/>
  <c r="AB265" i="4"/>
  <c r="AB17" i="5"/>
  <c r="AB10" i="4"/>
  <c r="AB15" i="5"/>
  <c r="AB14" i="5"/>
  <c r="AB13" i="5"/>
  <c r="AB12" i="5"/>
  <c r="AB11" i="5"/>
  <c r="AB10" i="5"/>
  <c r="AB9" i="5"/>
  <c r="AB104" i="4"/>
  <c r="AB8" i="5"/>
  <c r="AB7" i="5"/>
  <c r="AB58" i="4"/>
  <c r="Y5" i="5"/>
  <c r="X5" i="5" s="1"/>
  <c r="G5" i="5" s="1"/>
  <c r="AD5" i="5" s="1"/>
  <c r="Y4" i="5"/>
  <c r="X4" i="5" s="1"/>
  <c r="G4" i="5" s="1"/>
  <c r="AD4" i="5" s="1"/>
  <c r="U336" i="4"/>
  <c r="U329" i="4"/>
  <c r="Y329" i="4" s="1"/>
  <c r="U325" i="4"/>
  <c r="T325" i="4"/>
  <c r="Z51" i="5" l="1"/>
  <c r="Z116" i="4"/>
  <c r="Z50" i="5"/>
  <c r="Z49" i="5"/>
  <c r="Z48" i="5"/>
  <c r="Z129" i="4"/>
  <c r="Z272" i="4"/>
  <c r="Z154" i="4"/>
  <c r="Z273" i="4"/>
  <c r="Z46" i="5"/>
  <c r="Z37" i="5"/>
  <c r="Z19" i="4"/>
  <c r="Z14" i="4"/>
  <c r="Z39" i="5"/>
  <c r="Z276" i="4"/>
  <c r="Z36" i="5"/>
  <c r="Z161" i="4"/>
  <c r="Z159" i="4"/>
  <c r="Z247" i="4"/>
  <c r="Z35" i="5"/>
  <c r="Z280" i="4"/>
  <c r="Z33" i="5"/>
  <c r="Z32" i="5"/>
  <c r="Z228" i="4"/>
  <c r="Z30" i="5"/>
  <c r="Z29" i="5"/>
  <c r="Z28" i="5"/>
  <c r="Z162" i="4"/>
  <c r="Z216" i="4"/>
  <c r="Z145" i="4"/>
  <c r="Z26" i="5"/>
  <c r="Z25" i="5"/>
  <c r="Z24" i="5"/>
  <c r="Z6" i="5"/>
  <c r="Z138" i="4"/>
  <c r="Z23" i="5"/>
  <c r="Z183" i="4"/>
  <c r="Z22" i="5"/>
  <c r="Z21" i="5"/>
  <c r="Z20" i="5"/>
  <c r="AB325" i="4"/>
  <c r="Y325" i="4"/>
  <c r="X325" i="4" s="1"/>
  <c r="AB329" i="4"/>
  <c r="Z85" i="4"/>
  <c r="Z19" i="5"/>
  <c r="Z194" i="4"/>
  <c r="Z122" i="4"/>
  <c r="Z18" i="5"/>
  <c r="Z103" i="4"/>
  <c r="Z265" i="4"/>
  <c r="Z17" i="5"/>
  <c r="Z10" i="4"/>
  <c r="Z15" i="5"/>
  <c r="Z14" i="5"/>
  <c r="Z13" i="5"/>
  <c r="Z12" i="5"/>
  <c r="Z11" i="5"/>
  <c r="Z10" i="5"/>
  <c r="Z9" i="5"/>
  <c r="Z104" i="4"/>
  <c r="Z8" i="5"/>
  <c r="Z7" i="5"/>
  <c r="Z58" i="4"/>
  <c r="Z5" i="5"/>
  <c r="Z4" i="5"/>
  <c r="G325" i="4" l="1"/>
  <c r="AD325" i="4" s="1"/>
  <c r="X329" i="4"/>
  <c r="G329" i="4" s="1"/>
  <c r="AD329" i="4" s="1"/>
  <c r="Z325" i="4"/>
  <c r="Z329" i="4" l="1"/>
  <c r="AA3" i="4"/>
  <c r="U3" i="4"/>
  <c r="T3" i="4"/>
  <c r="AB3" i="4" s="1"/>
  <c r="AA3" i="5"/>
  <c r="U3" i="5"/>
  <c r="T3" i="5"/>
  <c r="AB3" i="5" s="1"/>
  <c r="Y3" i="4" l="1"/>
  <c r="X3" i="4" s="1"/>
  <c r="G3" i="4" s="1"/>
  <c r="AD3" i="4" s="1"/>
  <c r="Y3" i="5"/>
  <c r="X3" i="5" s="1"/>
  <c r="G3" i="5" s="1"/>
  <c r="AD3" i="5" s="1"/>
  <c r="AA2" i="5"/>
  <c r="U2" i="5"/>
  <c r="T2" i="5"/>
  <c r="AA74" i="4"/>
  <c r="U74" i="4"/>
  <c r="T74" i="4"/>
  <c r="U328" i="4"/>
  <c r="T328" i="4"/>
  <c r="AA18" i="4"/>
  <c r="U18" i="4"/>
  <c r="T18" i="4"/>
  <c r="U337" i="4"/>
  <c r="T337" i="4"/>
  <c r="T93" i="4"/>
  <c r="U93" i="4"/>
  <c r="AA63" i="4"/>
  <c r="U63" i="4"/>
  <c r="T63" i="4"/>
  <c r="AA25" i="4"/>
  <c r="U25" i="4"/>
  <c r="T25" i="4"/>
  <c r="U316" i="4"/>
  <c r="T316" i="4"/>
  <c r="T241" i="4"/>
  <c r="U274" i="4"/>
  <c r="T274" i="4"/>
  <c r="U277" i="4"/>
  <c r="T277" i="4"/>
  <c r="Y277" i="4" s="1"/>
  <c r="U220" i="4"/>
  <c r="T220" i="4"/>
  <c r="U211" i="4"/>
  <c r="T211" i="4"/>
  <c r="AA12" i="4"/>
  <c r="U157" i="4"/>
  <c r="T157" i="4"/>
  <c r="AA115" i="4"/>
  <c r="U115" i="4"/>
  <c r="T115" i="4"/>
  <c r="U314" i="4"/>
  <c r="T314" i="4"/>
  <c r="Y314" i="4" s="1"/>
  <c r="U192" i="4"/>
  <c r="Y192" i="4" s="1"/>
  <c r="U189" i="4"/>
  <c r="T189" i="4"/>
  <c r="AA113" i="4"/>
  <c r="U113" i="4"/>
  <c r="T113" i="4"/>
  <c r="U140" i="4"/>
  <c r="T140" i="4"/>
  <c r="U131" i="4"/>
  <c r="T131" i="4"/>
  <c r="U292" i="4"/>
  <c r="T292" i="4"/>
  <c r="U322" i="4"/>
  <c r="T322" i="4"/>
  <c r="U300" i="4"/>
  <c r="T300" i="4"/>
  <c r="U223" i="4"/>
  <c r="T223" i="4"/>
  <c r="U203" i="4"/>
  <c r="T203" i="4"/>
  <c r="U173" i="4"/>
  <c r="T173" i="4"/>
  <c r="U144" i="4"/>
  <c r="T144" i="4"/>
  <c r="AA117" i="4"/>
  <c r="U117" i="4"/>
  <c r="T117" i="4"/>
  <c r="AA96" i="4"/>
  <c r="U96" i="4"/>
  <c r="T96" i="4"/>
  <c r="AA83" i="4"/>
  <c r="U83" i="4"/>
  <c r="T83" i="4"/>
  <c r="AA42" i="4"/>
  <c r="U42" i="4"/>
  <c r="T42" i="4"/>
  <c r="Y63" i="4" l="1"/>
  <c r="Y316" i="4"/>
  <c r="X316" i="4" s="1"/>
  <c r="G316" i="4" s="1"/>
  <c r="AD316" i="4" s="1"/>
  <c r="Y328" i="4"/>
  <c r="X328" i="4" s="1"/>
  <c r="G328" i="4" s="1"/>
  <c r="AD328" i="4" s="1"/>
  <c r="Y274" i="4"/>
  <c r="X274" i="4" s="1"/>
  <c r="G274" i="4" s="1"/>
  <c r="AD274" i="4" s="1"/>
  <c r="Y42" i="4"/>
  <c r="Y115" i="4"/>
  <c r="X115" i="4" s="1"/>
  <c r="G115" i="4" s="1"/>
  <c r="AD115" i="4" s="1"/>
  <c r="Y220" i="4"/>
  <c r="X220" i="4" s="1"/>
  <c r="G220" i="4" s="1"/>
  <c r="AD220" i="4" s="1"/>
  <c r="Y211" i="4"/>
  <c r="X211" i="4" s="1"/>
  <c r="G211" i="4" s="1"/>
  <c r="AD211" i="4" s="1"/>
  <c r="Y189" i="4"/>
  <c r="X189" i="4" s="1"/>
  <c r="G189" i="4" s="1"/>
  <c r="Y157" i="4"/>
  <c r="X157" i="4" s="1"/>
  <c r="G157" i="4" s="1"/>
  <c r="AD157" i="4" s="1"/>
  <c r="Y74" i="4"/>
  <c r="X74" i="4" s="1"/>
  <c r="G74" i="4" s="1"/>
  <c r="AD74" i="4" s="1"/>
  <c r="Y18" i="4"/>
  <c r="X18" i="4" s="1"/>
  <c r="AB173" i="4"/>
  <c r="Y173" i="4"/>
  <c r="AB83" i="4"/>
  <c r="Y83" i="4"/>
  <c r="AB203" i="4"/>
  <c r="Y203" i="4"/>
  <c r="AB292" i="4"/>
  <c r="Y292" i="4"/>
  <c r="Y93" i="4"/>
  <c r="AB96" i="4"/>
  <c r="Y96" i="4"/>
  <c r="AB223" i="4"/>
  <c r="Y223" i="4"/>
  <c r="AB144" i="4"/>
  <c r="Y144" i="4"/>
  <c r="AB300" i="4"/>
  <c r="Y300" i="4"/>
  <c r="AB140" i="4"/>
  <c r="Y140" i="4"/>
  <c r="AB117" i="4"/>
  <c r="Y117" i="4"/>
  <c r="AB337" i="4"/>
  <c r="Y337" i="4"/>
  <c r="X337" i="4" s="1"/>
  <c r="AB322" i="4"/>
  <c r="Y322" i="4"/>
  <c r="AB131" i="4"/>
  <c r="Y131" i="4"/>
  <c r="AB113" i="4"/>
  <c r="Y113" i="4"/>
  <c r="AB25" i="4"/>
  <c r="Y25" i="4"/>
  <c r="X25" i="4" s="1"/>
  <c r="G25" i="4" s="1"/>
  <c r="AD25" i="4" s="1"/>
  <c r="AB5" i="4"/>
  <c r="Y5" i="4"/>
  <c r="Z3" i="4"/>
  <c r="Z3" i="5"/>
  <c r="Y2" i="5"/>
  <c r="X2" i="5" s="1"/>
  <c r="G2" i="5" s="1"/>
  <c r="AD2" i="5" s="1"/>
  <c r="AB2" i="5"/>
  <c r="AB74" i="4"/>
  <c r="AB328" i="4"/>
  <c r="AB18" i="4"/>
  <c r="X63" i="4"/>
  <c r="X314" i="4"/>
  <c r="G314" i="4" s="1"/>
  <c r="AD314" i="4" s="1"/>
  <c r="AB63" i="4"/>
  <c r="X277" i="4"/>
  <c r="G277" i="4" s="1"/>
  <c r="AD277" i="4" s="1"/>
  <c r="AB316" i="4"/>
  <c r="AB274" i="4"/>
  <c r="AB277" i="4"/>
  <c r="AB220" i="4"/>
  <c r="AB211" i="4"/>
  <c r="AB157" i="4"/>
  <c r="AB115" i="4"/>
  <c r="AB314" i="4"/>
  <c r="AB189" i="4"/>
  <c r="AB42" i="4"/>
  <c r="AA5" i="4"/>
  <c r="U176" i="4"/>
  <c r="T176" i="4"/>
  <c r="T204" i="4"/>
  <c r="U204" i="4"/>
  <c r="AA93" i="4"/>
  <c r="AA45" i="4"/>
  <c r="T45" i="4"/>
  <c r="AA94" i="4"/>
  <c r="U94" i="4"/>
  <c r="T94" i="4"/>
  <c r="G18" i="4" l="1"/>
  <c r="AD18" i="4" s="1"/>
  <c r="Y204" i="4"/>
  <c r="X204" i="4" s="1"/>
  <c r="G204" i="4" s="1"/>
  <c r="AD204" i="4" s="1"/>
  <c r="AB176" i="4"/>
  <c r="Y176" i="4"/>
  <c r="AB45" i="4"/>
  <c r="Y45" i="4"/>
  <c r="AB94" i="4"/>
  <c r="Y94" i="4"/>
  <c r="G63" i="4"/>
  <c r="AD63" i="4" s="1"/>
  <c r="G337" i="4"/>
  <c r="AD337" i="4" s="1"/>
  <c r="Z2" i="5"/>
  <c r="Z74" i="4"/>
  <c r="Z328" i="4"/>
  <c r="Z18" i="4"/>
  <c r="Z337" i="4"/>
  <c r="Z63" i="4"/>
  <c r="Z25" i="4"/>
  <c r="Z316" i="4"/>
  <c r="Z274" i="4"/>
  <c r="Z277" i="4"/>
  <c r="Z220" i="4"/>
  <c r="Z211" i="4"/>
  <c r="X117" i="4"/>
  <c r="G117" i="4" s="1"/>
  <c r="AD117" i="4" s="1"/>
  <c r="X223" i="4"/>
  <c r="G223" i="4" s="1"/>
  <c r="AD223" i="4" s="1"/>
  <c r="X42" i="4"/>
  <c r="G42" i="4" s="1"/>
  <c r="AD42" i="4" s="1"/>
  <c r="X203" i="4"/>
  <c r="G203" i="4" s="1"/>
  <c r="AD203" i="4" s="1"/>
  <c r="X83" i="4"/>
  <c r="G83" i="4" s="1"/>
  <c r="AD83" i="4" s="1"/>
  <c r="X144" i="4"/>
  <c r="G144" i="4" s="1"/>
  <c r="AD144" i="4" s="1"/>
  <c r="Z115" i="4"/>
  <c r="X96" i="4"/>
  <c r="G96" i="4" s="1"/>
  <c r="AD96" i="4" s="1"/>
  <c r="X173" i="4"/>
  <c r="G173" i="4" s="1"/>
  <c r="AD173" i="4" s="1"/>
  <c r="X140" i="4"/>
  <c r="G140" i="4" s="1"/>
  <c r="AD140" i="4" s="1"/>
  <c r="AD189" i="4"/>
  <c r="Z189" i="4"/>
  <c r="Z157" i="4"/>
  <c r="X322" i="4"/>
  <c r="G322" i="4" s="1"/>
  <c r="AD322" i="4" s="1"/>
  <c r="X300" i="4"/>
  <c r="G300" i="4" s="1"/>
  <c r="AD300" i="4" s="1"/>
  <c r="Z314" i="4"/>
  <c r="X113" i="4"/>
  <c r="G113" i="4" s="1"/>
  <c r="AD113" i="4" s="1"/>
  <c r="X131" i="4"/>
  <c r="G131" i="4" s="1"/>
  <c r="AD131" i="4" s="1"/>
  <c r="X292" i="4"/>
  <c r="G292" i="4" s="1"/>
  <c r="AD292" i="4" s="1"/>
  <c r="X5" i="4"/>
  <c r="AB204" i="4"/>
  <c r="D18" i="4" l="1"/>
  <c r="B18" i="4"/>
  <c r="C18" i="4"/>
  <c r="Z204" i="4"/>
  <c r="Z117" i="4"/>
  <c r="Z144" i="4"/>
  <c r="Z322" i="4"/>
  <c r="Z173" i="4"/>
  <c r="Z83" i="4"/>
  <c r="Z42" i="4"/>
  <c r="X94" i="4"/>
  <c r="G94" i="4" s="1"/>
  <c r="AD94" i="4" s="1"/>
  <c r="X176" i="4"/>
  <c r="G176" i="4" s="1"/>
  <c r="AD176" i="4" s="1"/>
  <c r="Z131" i="4"/>
  <c r="Z140" i="4"/>
  <c r="Z96" i="4"/>
  <c r="Z203" i="4"/>
  <c r="Z223" i="4"/>
  <c r="Z113" i="4"/>
  <c r="Z300" i="4"/>
  <c r="Z292" i="4"/>
  <c r="G5" i="4"/>
  <c r="AD5" i="4" s="1"/>
  <c r="X45" i="4"/>
  <c r="G45" i="4" s="1"/>
  <c r="AD45" i="4" s="1"/>
  <c r="Z5" i="4" l="1"/>
  <c r="Z45" i="4"/>
  <c r="Z176" i="4"/>
  <c r="Z94" i="4"/>
  <c r="T336" i="4"/>
  <c r="Y336" i="4" s="1"/>
  <c r="U333" i="4"/>
  <c r="T333" i="4"/>
  <c r="U332" i="4"/>
  <c r="T332" i="4"/>
  <c r="U331" i="4"/>
  <c r="T331" i="4"/>
  <c r="U330" i="4"/>
  <c r="T330" i="4"/>
  <c r="U326" i="4"/>
  <c r="T326" i="4"/>
  <c r="U327" i="4"/>
  <c r="T327" i="4"/>
  <c r="U321" i="4"/>
  <c r="T321" i="4"/>
  <c r="U320" i="4"/>
  <c r="T320" i="4"/>
  <c r="U319" i="4"/>
  <c r="T319" i="4"/>
  <c r="U318" i="4"/>
  <c r="T318" i="4"/>
  <c r="U317" i="4"/>
  <c r="T317" i="4"/>
  <c r="U315" i="4"/>
  <c r="T315" i="4"/>
  <c r="U313" i="4"/>
  <c r="T313" i="4"/>
  <c r="U310" i="4"/>
  <c r="T310" i="4"/>
  <c r="U309" i="4"/>
  <c r="T309" i="4"/>
  <c r="U305" i="4"/>
  <c r="T305" i="4"/>
  <c r="U311" i="4"/>
  <c r="T311" i="4"/>
  <c r="U312" i="4"/>
  <c r="T312" i="4"/>
  <c r="U308" i="4"/>
  <c r="T308" i="4"/>
  <c r="U307" i="4"/>
  <c r="T307" i="4"/>
  <c r="U306" i="4"/>
  <c r="T306" i="4"/>
  <c r="Y306" i="4" s="1"/>
  <c r="U283" i="4"/>
  <c r="T283" i="4"/>
  <c r="U302" i="4"/>
  <c r="T302" i="4"/>
  <c r="Y302" i="4" s="1"/>
  <c r="U303" i="4"/>
  <c r="T303" i="4"/>
  <c r="U304" i="4"/>
  <c r="T304" i="4"/>
  <c r="Y304" i="4" s="1"/>
  <c r="U301" i="4"/>
  <c r="T301" i="4"/>
  <c r="U298" i="4"/>
  <c r="T298" i="4"/>
  <c r="Y298" i="4" s="1"/>
  <c r="U294" i="4"/>
  <c r="T294" i="4"/>
  <c r="U296" i="4"/>
  <c r="T296" i="4"/>
  <c r="U267" i="4"/>
  <c r="T267" i="4"/>
  <c r="U297" i="4"/>
  <c r="T297" i="4"/>
  <c r="U295" i="4"/>
  <c r="T295" i="4"/>
  <c r="U293" i="4"/>
  <c r="T293" i="4"/>
  <c r="U291" i="4"/>
  <c r="T291" i="4"/>
  <c r="U287" i="4"/>
  <c r="T287" i="4"/>
  <c r="U290" i="4"/>
  <c r="T290" i="4"/>
  <c r="U289" i="4"/>
  <c r="T289" i="4"/>
  <c r="U285" i="4"/>
  <c r="T285" i="4"/>
  <c r="Y285" i="4" s="1"/>
  <c r="U288" i="4"/>
  <c r="T288" i="4"/>
  <c r="U281" i="4"/>
  <c r="T281" i="4"/>
  <c r="U282" i="4"/>
  <c r="T282" i="4"/>
  <c r="U279" i="4"/>
  <c r="T279" i="4"/>
  <c r="U271" i="4"/>
  <c r="T271" i="4"/>
  <c r="U270" i="4"/>
  <c r="T270" i="4"/>
  <c r="U266" i="4"/>
  <c r="T266" i="4"/>
  <c r="U269" i="4"/>
  <c r="T269" i="4"/>
  <c r="U268" i="4"/>
  <c r="T268" i="4"/>
  <c r="U262" i="4"/>
  <c r="T262" i="4"/>
  <c r="U263" i="4"/>
  <c r="T263" i="4"/>
  <c r="U261" i="4"/>
  <c r="T261" i="4"/>
  <c r="U264" i="4"/>
  <c r="T264" i="4"/>
  <c r="U259" i="4"/>
  <c r="T259" i="4"/>
  <c r="U260" i="4"/>
  <c r="T260" i="4"/>
  <c r="U254" i="4"/>
  <c r="T254" i="4"/>
  <c r="U278" i="4"/>
  <c r="T278" i="4"/>
  <c r="U257" i="4"/>
  <c r="T257" i="4"/>
  <c r="U256" i="4"/>
  <c r="T256" i="4"/>
  <c r="U255" i="4"/>
  <c r="T255" i="4"/>
  <c r="U258" i="4"/>
  <c r="T258" i="4"/>
  <c r="U252" i="4"/>
  <c r="T252" i="4"/>
  <c r="U251" i="4"/>
  <c r="T251" i="4"/>
  <c r="U249" i="4"/>
  <c r="T249" i="4"/>
  <c r="U248" i="4"/>
  <c r="T248" i="4"/>
  <c r="U250" i="4"/>
  <c r="T250" i="4"/>
  <c r="U246" i="4"/>
  <c r="T246" i="4"/>
  <c r="U241" i="4"/>
  <c r="Y241" i="4" s="1"/>
  <c r="AB241" i="4"/>
  <c r="U238" i="4"/>
  <c r="T238" i="4"/>
  <c r="U245" i="4"/>
  <c r="T245" i="4"/>
  <c r="U244" i="4"/>
  <c r="T244" i="4"/>
  <c r="U235" i="4"/>
  <c r="T235" i="4"/>
  <c r="U242" i="4"/>
  <c r="T242" i="4"/>
  <c r="U243" i="4"/>
  <c r="T243" i="4"/>
  <c r="U234" i="4"/>
  <c r="T234" i="4"/>
  <c r="U226" i="4"/>
  <c r="T226" i="4"/>
  <c r="U231" i="4"/>
  <c r="T231" i="4"/>
  <c r="U230" i="4"/>
  <c r="T230" i="4"/>
  <c r="U233" i="4"/>
  <c r="T233" i="4"/>
  <c r="U229" i="4"/>
  <c r="T229" i="4"/>
  <c r="U232" i="4"/>
  <c r="T232" i="4"/>
  <c r="U224" i="4"/>
  <c r="T224" i="4"/>
  <c r="U225" i="4"/>
  <c r="T225" i="4"/>
  <c r="U221" i="4"/>
  <c r="T221" i="4"/>
  <c r="U222" i="4"/>
  <c r="T222" i="4"/>
  <c r="U219" i="4"/>
  <c r="T219" i="4"/>
  <c r="U218" i="4"/>
  <c r="T218" i="4"/>
  <c r="U149" i="4"/>
  <c r="T149" i="4"/>
  <c r="U215" i="4"/>
  <c r="T215" i="4"/>
  <c r="U217" i="4"/>
  <c r="T217" i="4"/>
  <c r="U253" i="4"/>
  <c r="Y253" i="4" s="1"/>
  <c r="U214" i="4"/>
  <c r="T214" i="4"/>
  <c r="U299" i="4"/>
  <c r="Y299" i="4" s="1"/>
  <c r="U212" i="4"/>
  <c r="T212" i="4"/>
  <c r="U213" i="4"/>
  <c r="T213" i="4"/>
  <c r="U210" i="4"/>
  <c r="T210" i="4"/>
  <c r="U206" i="4"/>
  <c r="T206" i="4"/>
  <c r="U207" i="4"/>
  <c r="T207" i="4"/>
  <c r="U208" i="4"/>
  <c r="T208" i="4"/>
  <c r="U205" i="4"/>
  <c r="T205" i="4"/>
  <c r="U195" i="4"/>
  <c r="T195" i="4"/>
  <c r="U201" i="4"/>
  <c r="T201" i="4"/>
  <c r="U202" i="4"/>
  <c r="T202" i="4"/>
  <c r="U196" i="4"/>
  <c r="T196" i="4"/>
  <c r="U198" i="4"/>
  <c r="T198" i="4"/>
  <c r="AB192" i="4"/>
  <c r="U199" i="4"/>
  <c r="T199" i="4"/>
  <c r="U200" i="4"/>
  <c r="T200" i="4"/>
  <c r="U197" i="4"/>
  <c r="T197" i="4"/>
  <c r="U193" i="4"/>
  <c r="T193" i="4"/>
  <c r="U188" i="4"/>
  <c r="T188" i="4"/>
  <c r="U186" i="4"/>
  <c r="T186" i="4"/>
  <c r="U191" i="4"/>
  <c r="T191" i="4"/>
  <c r="U187" i="4"/>
  <c r="T187" i="4"/>
  <c r="U190" i="4"/>
  <c r="T190" i="4"/>
  <c r="U181" i="4"/>
  <c r="U180" i="4" s="1"/>
  <c r="T181" i="4"/>
  <c r="T180" i="4" s="1"/>
  <c r="U185" i="4"/>
  <c r="T185" i="4"/>
  <c r="U184" i="4"/>
  <c r="T184" i="4"/>
  <c r="U182" i="4"/>
  <c r="U175" i="4"/>
  <c r="T175" i="4"/>
  <c r="U174" i="4"/>
  <c r="T174" i="4"/>
  <c r="U170" i="4"/>
  <c r="T170" i="4"/>
  <c r="U171" i="4"/>
  <c r="T171" i="4"/>
  <c r="U172" i="4"/>
  <c r="T172" i="4"/>
  <c r="U165" i="4"/>
  <c r="T165" i="4"/>
  <c r="U169" i="4"/>
  <c r="T169" i="4"/>
  <c r="U166" i="4"/>
  <c r="T166" i="4"/>
  <c r="U167" i="4"/>
  <c r="T167" i="4"/>
  <c r="U168" i="4"/>
  <c r="T168" i="4"/>
  <c r="U160" i="4"/>
  <c r="T160" i="4"/>
  <c r="U163" i="4"/>
  <c r="T163" i="4"/>
  <c r="AA66" i="4"/>
  <c r="U66" i="4"/>
  <c r="T66" i="4"/>
  <c r="U164" i="4"/>
  <c r="T164" i="4"/>
  <c r="U284" i="4"/>
  <c r="T284" i="4"/>
  <c r="U158" i="4"/>
  <c r="T158" i="4"/>
  <c r="U155" i="4"/>
  <c r="T155" i="4"/>
  <c r="U156" i="4"/>
  <c r="T156" i="4"/>
  <c r="U153" i="4"/>
  <c r="T153" i="4"/>
  <c r="U150" i="4"/>
  <c r="T150" i="4"/>
  <c r="U151" i="4"/>
  <c r="T151" i="4"/>
  <c r="U152" i="4"/>
  <c r="T152" i="4"/>
  <c r="U143" i="4"/>
  <c r="T143" i="4"/>
  <c r="U147" i="4"/>
  <c r="T147" i="4"/>
  <c r="U148" i="4"/>
  <c r="T148" i="4"/>
  <c r="U146" i="4"/>
  <c r="T146" i="4"/>
  <c r="U142" i="4"/>
  <c r="T142" i="4"/>
  <c r="U141" i="4"/>
  <c r="T141" i="4"/>
  <c r="U135" i="4"/>
  <c r="T135" i="4"/>
  <c r="U139" i="4"/>
  <c r="T139" i="4"/>
  <c r="U137" i="4"/>
  <c r="T137" i="4"/>
  <c r="U133" i="4"/>
  <c r="T133" i="4"/>
  <c r="U134" i="4"/>
  <c r="T134" i="4"/>
  <c r="AA128" i="4"/>
  <c r="U128" i="4"/>
  <c r="T128" i="4"/>
  <c r="AA130" i="4"/>
  <c r="U130" i="4"/>
  <c r="T130" i="4"/>
  <c r="AA125" i="4"/>
  <c r="U125" i="4"/>
  <c r="T125" i="4"/>
  <c r="AA121" i="4"/>
  <c r="U121" i="4"/>
  <c r="T121" i="4"/>
  <c r="AA127" i="4"/>
  <c r="U127" i="4"/>
  <c r="T127" i="4"/>
  <c r="AA126" i="4"/>
  <c r="U126" i="4"/>
  <c r="T126" i="4"/>
  <c r="AA124" i="4"/>
  <c r="U124" i="4"/>
  <c r="T124" i="4"/>
  <c r="AA123" i="4"/>
  <c r="U123" i="4"/>
  <c r="T123" i="4"/>
  <c r="AA120" i="4"/>
  <c r="U120" i="4"/>
  <c r="T120" i="4"/>
  <c r="AA119" i="4"/>
  <c r="U119" i="4"/>
  <c r="T119" i="4"/>
  <c r="AA114" i="4"/>
  <c r="U114" i="4"/>
  <c r="T114" i="4"/>
  <c r="AA118" i="4"/>
  <c r="U118" i="4"/>
  <c r="T118" i="4"/>
  <c r="AA111" i="4"/>
  <c r="U111" i="4"/>
  <c r="T111" i="4"/>
  <c r="AA112" i="4"/>
  <c r="U112" i="4"/>
  <c r="T112" i="4"/>
  <c r="AA110" i="4"/>
  <c r="U110" i="4"/>
  <c r="T110" i="4"/>
  <c r="AA71" i="4"/>
  <c r="AA107" i="4"/>
  <c r="U107" i="4"/>
  <c r="T107" i="4"/>
  <c r="AA108" i="4"/>
  <c r="U108" i="4"/>
  <c r="T108" i="4"/>
  <c r="AA109" i="4"/>
  <c r="U109" i="4"/>
  <c r="T109" i="4"/>
  <c r="AA99" i="4"/>
  <c r="U99" i="4"/>
  <c r="T99" i="4"/>
  <c r="AA106" i="4"/>
  <c r="AA102" i="4"/>
  <c r="U102" i="4"/>
  <c r="T102" i="4"/>
  <c r="AA100" i="4"/>
  <c r="U100" i="4"/>
  <c r="T100" i="4"/>
  <c r="AA105" i="4"/>
  <c r="U105" i="4"/>
  <c r="T105" i="4"/>
  <c r="AA95" i="4"/>
  <c r="U95" i="4"/>
  <c r="T95" i="4"/>
  <c r="AA97" i="4"/>
  <c r="U97" i="4"/>
  <c r="T97" i="4"/>
  <c r="AA98" i="4"/>
  <c r="U98" i="4"/>
  <c r="T98" i="4"/>
  <c r="AA92" i="4"/>
  <c r="U92" i="4"/>
  <c r="T92" i="4"/>
  <c r="AA91" i="4"/>
  <c r="U91" i="4"/>
  <c r="T91" i="4"/>
  <c r="AA90" i="4"/>
  <c r="U90" i="4"/>
  <c r="T90" i="4"/>
  <c r="AA87" i="4"/>
  <c r="U87" i="4"/>
  <c r="T87" i="4"/>
  <c r="AA86" i="4"/>
  <c r="U86" i="4"/>
  <c r="T86" i="4"/>
  <c r="AA88" i="4"/>
  <c r="U88" i="4"/>
  <c r="T88" i="4"/>
  <c r="AA89" i="4"/>
  <c r="AA84" i="4"/>
  <c r="U84" i="4"/>
  <c r="T84" i="4"/>
  <c r="AA82" i="4"/>
  <c r="U82" i="4"/>
  <c r="T82" i="4"/>
  <c r="AA76" i="4"/>
  <c r="U76" i="4"/>
  <c r="T76" i="4"/>
  <c r="AA77" i="4"/>
  <c r="U77" i="4"/>
  <c r="T77" i="4"/>
  <c r="AA75" i="4"/>
  <c r="U75" i="4"/>
  <c r="T75" i="4"/>
  <c r="AA78" i="4"/>
  <c r="U78" i="4"/>
  <c r="T78" i="4"/>
  <c r="AA80" i="4"/>
  <c r="U80" i="4"/>
  <c r="T80" i="4"/>
  <c r="AA79" i="4"/>
  <c r="U79" i="4"/>
  <c r="T79" i="4"/>
  <c r="AA81" i="4"/>
  <c r="U81" i="4"/>
  <c r="T81" i="4"/>
  <c r="AA68" i="4"/>
  <c r="U68" i="4"/>
  <c r="T68" i="4"/>
  <c r="AA65" i="4"/>
  <c r="U65" i="4"/>
  <c r="T65" i="4"/>
  <c r="AA64" i="4"/>
  <c r="U64" i="4"/>
  <c r="T64" i="4"/>
  <c r="AA62" i="4"/>
  <c r="U62" i="4"/>
  <c r="T62" i="4"/>
  <c r="AA57" i="4"/>
  <c r="U57" i="4"/>
  <c r="T57" i="4"/>
  <c r="AA60" i="4"/>
  <c r="U60" i="4"/>
  <c r="T60" i="4"/>
  <c r="AA59" i="4"/>
  <c r="U59" i="4"/>
  <c r="T59" i="4"/>
  <c r="AA56" i="4"/>
  <c r="U56" i="4"/>
  <c r="T56" i="4"/>
  <c r="U227" i="4"/>
  <c r="T227" i="4"/>
  <c r="AA51" i="4"/>
  <c r="U51" i="4"/>
  <c r="T51" i="4"/>
  <c r="AA53" i="4"/>
  <c r="U53" i="4"/>
  <c r="T53" i="4"/>
  <c r="AA52" i="4"/>
  <c r="U52" i="4"/>
  <c r="T52" i="4"/>
  <c r="AA54" i="4"/>
  <c r="U54" i="4"/>
  <c r="T54" i="4"/>
  <c r="AA55" i="4"/>
  <c r="U55" i="4"/>
  <c r="T55" i="4"/>
  <c r="AA48" i="4"/>
  <c r="U48" i="4"/>
  <c r="T48" i="4"/>
  <c r="AA44" i="4"/>
  <c r="T44" i="4"/>
  <c r="AA50" i="4"/>
  <c r="U50" i="4"/>
  <c r="T50" i="4"/>
  <c r="AA46" i="4"/>
  <c r="T46" i="4"/>
  <c r="Y46" i="4" s="1"/>
  <c r="AA47" i="4"/>
  <c r="U47" i="4"/>
  <c r="T47" i="4"/>
  <c r="AA43" i="4"/>
  <c r="U43" i="4"/>
  <c r="T43" i="4"/>
  <c r="AA67" i="4"/>
  <c r="U67" i="4"/>
  <c r="T67" i="4"/>
  <c r="AA49" i="4"/>
  <c r="U49" i="4"/>
  <c r="T49" i="4"/>
  <c r="AA41" i="4"/>
  <c r="U41" i="4"/>
  <c r="T41" i="4"/>
  <c r="AA39" i="4"/>
  <c r="U39" i="4"/>
  <c r="T39" i="4"/>
  <c r="AA40" i="4"/>
  <c r="U40" i="4"/>
  <c r="T40" i="4"/>
  <c r="AA37" i="4"/>
  <c r="U37" i="4"/>
  <c r="T37" i="4"/>
  <c r="AI36" i="4"/>
  <c r="AA38" i="4"/>
  <c r="U38" i="4"/>
  <c r="T38" i="4"/>
  <c r="AA36" i="4"/>
  <c r="U36" i="4"/>
  <c r="T36" i="4"/>
  <c r="AA33" i="4"/>
  <c r="U33" i="4"/>
  <c r="T33" i="4"/>
  <c r="AA34" i="4"/>
  <c r="U34" i="4"/>
  <c r="T34" i="4"/>
  <c r="AA35" i="4"/>
  <c r="U35" i="4"/>
  <c r="T35" i="4"/>
  <c r="AA30" i="4"/>
  <c r="U30" i="4"/>
  <c r="T30" i="4"/>
  <c r="AA29" i="4"/>
  <c r="U29" i="4"/>
  <c r="T29" i="4"/>
  <c r="AA32" i="4"/>
  <c r="U32" i="4"/>
  <c r="T32" i="4"/>
  <c r="AA28" i="4"/>
  <c r="U28" i="4"/>
  <c r="T28" i="4"/>
  <c r="AA27" i="4"/>
  <c r="U27" i="4"/>
  <c r="T27" i="4"/>
  <c r="AA26" i="4"/>
  <c r="U26" i="4"/>
  <c r="T26" i="4"/>
  <c r="AA72" i="4"/>
  <c r="AJ22" i="4"/>
  <c r="AI22" i="4"/>
  <c r="AA73" i="4"/>
  <c r="AJ21" i="4"/>
  <c r="AI21" i="4"/>
  <c r="AA70" i="4"/>
  <c r="AJ20" i="4"/>
  <c r="AI20" i="4"/>
  <c r="AA69" i="4"/>
  <c r="AJ18" i="4"/>
  <c r="AI18" i="4"/>
  <c r="AA22" i="4"/>
  <c r="U22" i="4"/>
  <c r="T22" i="4"/>
  <c r="AJ17" i="4"/>
  <c r="AI17" i="4"/>
  <c r="AA20" i="4"/>
  <c r="U20" i="4"/>
  <c r="T20" i="4"/>
  <c r="AJ16" i="4"/>
  <c r="AI16" i="4"/>
  <c r="AA21" i="4"/>
  <c r="U21" i="4"/>
  <c r="T21" i="4"/>
  <c r="AJ15" i="4"/>
  <c r="AI15" i="4"/>
  <c r="AA17" i="4"/>
  <c r="U17" i="4"/>
  <c r="T17" i="4"/>
  <c r="AJ14" i="4"/>
  <c r="AI14" i="4"/>
  <c r="AA16" i="4"/>
  <c r="U16" i="4"/>
  <c r="T16" i="4"/>
  <c r="AJ13" i="4"/>
  <c r="AI13" i="4"/>
  <c r="AA15" i="4"/>
  <c r="U15" i="4"/>
  <c r="T15" i="4"/>
  <c r="AJ12" i="4"/>
  <c r="AI12" i="4"/>
  <c r="AA11" i="4"/>
  <c r="U11" i="4"/>
  <c r="T11" i="4"/>
  <c r="AJ11" i="4"/>
  <c r="AI11" i="4"/>
  <c r="AA13" i="4"/>
  <c r="U13" i="4"/>
  <c r="T13" i="4"/>
  <c r="AJ10" i="4"/>
  <c r="AI10" i="4"/>
  <c r="U12" i="4"/>
  <c r="T12" i="4"/>
  <c r="AA9" i="4"/>
  <c r="U9" i="4"/>
  <c r="T9" i="4"/>
  <c r="AA8" i="4"/>
  <c r="U8" i="4"/>
  <c r="T8" i="4"/>
  <c r="AA4" i="4"/>
  <c r="U4" i="4"/>
  <c r="T4" i="4"/>
  <c r="AJ5" i="4"/>
  <c r="U89" i="4" s="1"/>
  <c r="AI5" i="4"/>
  <c r="T177" i="4" l="1"/>
  <c r="U177" i="4"/>
  <c r="T237" i="4"/>
  <c r="Q237" i="4" s="1"/>
  <c r="Y308" i="4"/>
  <c r="Y311" i="4"/>
  <c r="Y312" i="4"/>
  <c r="Y310" i="4"/>
  <c r="Y315" i="4"/>
  <c r="Y318" i="4"/>
  <c r="Y320" i="4"/>
  <c r="Y327" i="4"/>
  <c r="Y309" i="4"/>
  <c r="Y333" i="4"/>
  <c r="Y330" i="4"/>
  <c r="Y332" i="4"/>
  <c r="Y313" i="4"/>
  <c r="Y317" i="4"/>
  <c r="Y319" i="4"/>
  <c r="Y321" i="4"/>
  <c r="Y326" i="4"/>
  <c r="Y331" i="4"/>
  <c r="Y307" i="4"/>
  <c r="Y294" i="4"/>
  <c r="X294" i="4" s="1"/>
  <c r="G294" i="4" s="1"/>
  <c r="AD294" i="4" s="1"/>
  <c r="Y301" i="4"/>
  <c r="Y303" i="4"/>
  <c r="Y305" i="4"/>
  <c r="Y269" i="4"/>
  <c r="X269" i="4" s="1"/>
  <c r="Y279" i="4"/>
  <c r="X279" i="4" s="1"/>
  <c r="G279" i="4" s="1"/>
  <c r="AD279" i="4" s="1"/>
  <c r="Y282" i="4"/>
  <c r="X282" i="4" s="1"/>
  <c r="G282" i="4" s="1"/>
  <c r="AD282" i="4" s="1"/>
  <c r="Y283" i="4"/>
  <c r="Y263" i="4"/>
  <c r="X263" i="4" s="1"/>
  <c r="G263" i="4" s="1"/>
  <c r="AD263" i="4" s="1"/>
  <c r="Y248" i="4"/>
  <c r="X248" i="4" s="1"/>
  <c r="G248" i="4" s="1"/>
  <c r="AD248" i="4" s="1"/>
  <c r="Y251" i="4"/>
  <c r="X251" i="4" s="1"/>
  <c r="G251" i="4" s="1"/>
  <c r="AD251" i="4" s="1"/>
  <c r="Y215" i="4"/>
  <c r="Y218" i="4"/>
  <c r="Y222" i="4"/>
  <c r="Y225" i="4"/>
  <c r="Y232" i="4"/>
  <c r="Y233" i="4"/>
  <c r="Y231" i="4"/>
  <c r="Y234" i="4"/>
  <c r="Y244" i="4"/>
  <c r="X244" i="4" s="1"/>
  <c r="G244" i="4" s="1"/>
  <c r="AD244" i="4" s="1"/>
  <c r="Y243" i="4"/>
  <c r="Y227" i="4"/>
  <c r="Y229" i="4"/>
  <c r="Y230" i="4"/>
  <c r="Y226" i="4"/>
  <c r="Y217" i="4"/>
  <c r="Y219" i="4"/>
  <c r="Y221" i="4"/>
  <c r="Y224" i="4"/>
  <c r="U324" i="4"/>
  <c r="T324" i="4"/>
  <c r="Y200" i="4"/>
  <c r="X200" i="4" s="1"/>
  <c r="G200" i="4" s="1"/>
  <c r="AD200" i="4" s="1"/>
  <c r="Y212" i="4"/>
  <c r="Y214" i="4"/>
  <c r="Y196" i="4"/>
  <c r="X196" i="4" s="1"/>
  <c r="G196" i="4" s="1"/>
  <c r="AD196" i="4" s="1"/>
  <c r="Y205" i="4"/>
  <c r="X205" i="4" s="1"/>
  <c r="G205" i="4" s="1"/>
  <c r="AD205" i="4" s="1"/>
  <c r="Y210" i="4"/>
  <c r="X210" i="4" s="1"/>
  <c r="G210" i="4" s="1"/>
  <c r="AD210" i="4" s="1"/>
  <c r="Y198" i="4"/>
  <c r="X198" i="4" s="1"/>
  <c r="G198" i="4" s="1"/>
  <c r="AD198" i="4" s="1"/>
  <c r="Y206" i="4"/>
  <c r="X206" i="4" s="1"/>
  <c r="G206" i="4" s="1"/>
  <c r="AD206" i="4" s="1"/>
  <c r="Y213" i="4"/>
  <c r="Y188" i="4"/>
  <c r="X188" i="4" s="1"/>
  <c r="G188" i="4" s="1"/>
  <c r="AD188" i="4" s="1"/>
  <c r="Y197" i="4"/>
  <c r="X197" i="4" s="1"/>
  <c r="G197" i="4" s="1"/>
  <c r="AD197" i="4" s="1"/>
  <c r="Y255" i="4"/>
  <c r="Y195" i="4"/>
  <c r="X195" i="4" s="1"/>
  <c r="G195" i="4" s="1"/>
  <c r="AD195" i="4" s="1"/>
  <c r="Y186" i="4"/>
  <c r="X186" i="4" s="1"/>
  <c r="G186" i="4" s="1"/>
  <c r="AD186" i="4" s="1"/>
  <c r="Y149" i="4"/>
  <c r="Y124" i="4"/>
  <c r="X124" i="4" s="1"/>
  <c r="G124" i="4" s="1"/>
  <c r="AD124" i="4" s="1"/>
  <c r="Y125" i="4"/>
  <c r="X125" i="4" s="1"/>
  <c r="G125" i="4" s="1"/>
  <c r="AD125" i="4" s="1"/>
  <c r="Y160" i="4"/>
  <c r="X160" i="4" s="1"/>
  <c r="G160" i="4" s="1"/>
  <c r="AD160" i="4" s="1"/>
  <c r="Y168" i="4"/>
  <c r="X168" i="4" s="1"/>
  <c r="G168" i="4" s="1"/>
  <c r="AD168" i="4" s="1"/>
  <c r="Y166" i="4"/>
  <c r="X166" i="4" s="1"/>
  <c r="G166" i="4" s="1"/>
  <c r="AD166" i="4" s="1"/>
  <c r="Y165" i="4"/>
  <c r="X165" i="4" s="1"/>
  <c r="G165" i="4" s="1"/>
  <c r="AD165" i="4" s="1"/>
  <c r="Y171" i="4"/>
  <c r="Y120" i="4"/>
  <c r="X120" i="4" s="1"/>
  <c r="G120" i="4" s="1"/>
  <c r="AD120" i="4" s="1"/>
  <c r="Y127" i="4"/>
  <c r="X127" i="4" s="1"/>
  <c r="G127" i="4" s="1"/>
  <c r="AD127" i="4" s="1"/>
  <c r="Y128" i="4"/>
  <c r="X128" i="4" s="1"/>
  <c r="G128" i="4" s="1"/>
  <c r="AD128" i="4" s="1"/>
  <c r="Y163" i="4"/>
  <c r="X163" i="4" s="1"/>
  <c r="G163" i="4" s="1"/>
  <c r="AD163" i="4" s="1"/>
  <c r="Y167" i="4"/>
  <c r="X167" i="4" s="1"/>
  <c r="G167" i="4" s="1"/>
  <c r="AD167" i="4" s="1"/>
  <c r="Y169" i="4"/>
  <c r="X169" i="4" s="1"/>
  <c r="G169" i="4" s="1"/>
  <c r="AD169" i="4" s="1"/>
  <c r="Y172" i="4"/>
  <c r="X172" i="4" s="1"/>
  <c r="G172" i="4" s="1"/>
  <c r="AD172" i="4" s="1"/>
  <c r="Y164" i="4"/>
  <c r="X164" i="4" s="1"/>
  <c r="G164" i="4" s="1"/>
  <c r="AD164" i="4" s="1"/>
  <c r="Y153" i="4"/>
  <c r="X153" i="4" s="1"/>
  <c r="G153" i="4" s="1"/>
  <c r="AD153" i="4" s="1"/>
  <c r="Y155" i="4"/>
  <c r="X155" i="4" s="1"/>
  <c r="G155" i="4" s="1"/>
  <c r="AD155" i="4" s="1"/>
  <c r="Y156" i="4"/>
  <c r="X156" i="4" s="1"/>
  <c r="G156" i="4" s="1"/>
  <c r="AD156" i="4" s="1"/>
  <c r="Y158" i="4"/>
  <c r="X158" i="4" s="1"/>
  <c r="G158" i="4" s="1"/>
  <c r="AD158" i="4" s="1"/>
  <c r="Y146" i="4"/>
  <c r="X146" i="4" s="1"/>
  <c r="G146" i="4" s="1"/>
  <c r="AD146" i="4" s="1"/>
  <c r="Y152" i="4"/>
  <c r="X152" i="4" s="1"/>
  <c r="G152" i="4" s="1"/>
  <c r="AD152" i="4" s="1"/>
  <c r="Y150" i="4"/>
  <c r="X150" i="4" s="1"/>
  <c r="G150" i="4" s="1"/>
  <c r="AD150" i="4" s="1"/>
  <c r="Y148" i="4"/>
  <c r="X148" i="4" s="1"/>
  <c r="G148" i="4" s="1"/>
  <c r="AD148" i="4" s="1"/>
  <c r="Y147" i="4"/>
  <c r="X147" i="4" s="1"/>
  <c r="G147" i="4" s="1"/>
  <c r="AD147" i="4" s="1"/>
  <c r="Y143" i="4"/>
  <c r="X143" i="4" s="1"/>
  <c r="G143" i="4" s="1"/>
  <c r="AD143" i="4" s="1"/>
  <c r="Y151" i="4"/>
  <c r="X151" i="4" s="1"/>
  <c r="G151" i="4" s="1"/>
  <c r="AD151" i="4" s="1"/>
  <c r="Y284" i="4"/>
  <c r="X284" i="4" s="1"/>
  <c r="G284" i="4" s="1"/>
  <c r="AD284" i="4" s="1"/>
  <c r="Y139" i="4"/>
  <c r="X139" i="4" s="1"/>
  <c r="G139" i="4" s="1"/>
  <c r="AD139" i="4" s="1"/>
  <c r="Y141" i="4"/>
  <c r="X141" i="4" s="1"/>
  <c r="G141" i="4" s="1"/>
  <c r="AD141" i="4" s="1"/>
  <c r="Y137" i="4"/>
  <c r="X137" i="4" s="1"/>
  <c r="G137" i="4" s="1"/>
  <c r="AD137" i="4" s="1"/>
  <c r="Y142" i="4"/>
  <c r="X142" i="4" s="1"/>
  <c r="G142" i="4" s="1"/>
  <c r="AD142" i="4" s="1"/>
  <c r="Y126" i="4"/>
  <c r="Y130" i="4"/>
  <c r="X130" i="4" s="1"/>
  <c r="G130" i="4" s="1"/>
  <c r="AD130" i="4" s="1"/>
  <c r="Y133" i="4"/>
  <c r="X133" i="4" s="1"/>
  <c r="G133" i="4" s="1"/>
  <c r="AD133" i="4" s="1"/>
  <c r="Y177" i="4"/>
  <c r="U237" i="4"/>
  <c r="Y123" i="4"/>
  <c r="X123" i="4" s="1"/>
  <c r="G123" i="4" s="1"/>
  <c r="AD123" i="4" s="1"/>
  <c r="Y121" i="4"/>
  <c r="X121" i="4" s="1"/>
  <c r="G121" i="4" s="1"/>
  <c r="AD121" i="4" s="1"/>
  <c r="Y134" i="4"/>
  <c r="X134" i="4" s="1"/>
  <c r="G134" i="4" s="1"/>
  <c r="AD134" i="4" s="1"/>
  <c r="Y135" i="4"/>
  <c r="X135" i="4" s="1"/>
  <c r="G135" i="4" s="1"/>
  <c r="AD135" i="4" s="1"/>
  <c r="Y52" i="4"/>
  <c r="Y57" i="4"/>
  <c r="Y68" i="4"/>
  <c r="Y78" i="4"/>
  <c r="Y8" i="4"/>
  <c r="X8" i="4" s="1"/>
  <c r="Y15" i="4"/>
  <c r="Y20" i="4"/>
  <c r="Y26" i="4"/>
  <c r="Y34" i="4"/>
  <c r="Y40" i="4"/>
  <c r="Y67" i="4"/>
  <c r="Y9" i="4"/>
  <c r="X9" i="4" s="1"/>
  <c r="G9" i="4" s="1"/>
  <c r="AD9" i="4" s="1"/>
  <c r="Y11" i="4"/>
  <c r="Y29" i="4"/>
  <c r="Y33" i="4"/>
  <c r="Y39" i="4"/>
  <c r="Y48" i="4"/>
  <c r="Y56" i="4"/>
  <c r="Y75" i="4"/>
  <c r="Y84" i="4"/>
  <c r="Y90" i="4"/>
  <c r="Y97" i="4"/>
  <c r="Y100" i="4"/>
  <c r="Y108" i="4"/>
  <c r="X108" i="4" s="1"/>
  <c r="G108" i="4" s="1"/>
  <c r="AD108" i="4" s="1"/>
  <c r="Y118" i="4"/>
  <c r="X118" i="4" s="1"/>
  <c r="G118" i="4" s="1"/>
  <c r="AD118" i="4" s="1"/>
  <c r="Y13" i="4"/>
  <c r="Y41" i="4"/>
  <c r="Y88" i="4"/>
  <c r="Y91" i="4"/>
  <c r="Y107" i="4"/>
  <c r="X107" i="4" s="1"/>
  <c r="G107" i="4" s="1"/>
  <c r="AD107" i="4" s="1"/>
  <c r="Y110" i="4"/>
  <c r="Y114" i="4"/>
  <c r="Y82" i="4"/>
  <c r="Y87" i="4"/>
  <c r="AB12" i="4"/>
  <c r="Y12" i="4"/>
  <c r="Y17" i="4"/>
  <c r="Y28" i="4"/>
  <c r="Y30" i="4"/>
  <c r="AB36" i="4"/>
  <c r="Y36" i="4"/>
  <c r="Y43" i="4"/>
  <c r="Y50" i="4"/>
  <c r="AB55" i="4"/>
  <c r="Y55" i="4"/>
  <c r="AB51" i="4"/>
  <c r="Y51" i="4"/>
  <c r="AB59" i="4"/>
  <c r="Y59" i="4"/>
  <c r="AB79" i="4"/>
  <c r="Y79" i="4"/>
  <c r="AB77" i="4"/>
  <c r="Y77" i="4"/>
  <c r="AB174" i="4"/>
  <c r="Y174" i="4"/>
  <c r="AB182" i="4"/>
  <c r="Y182" i="4"/>
  <c r="AB185" i="4"/>
  <c r="Y185" i="4"/>
  <c r="AB190" i="4"/>
  <c r="Y190" i="4"/>
  <c r="AB191" i="4"/>
  <c r="Y191" i="4"/>
  <c r="AB235" i="4"/>
  <c r="Y235" i="4"/>
  <c r="AB245" i="4"/>
  <c r="Y245" i="4"/>
  <c r="AB246" i="4"/>
  <c r="Y246" i="4"/>
  <c r="AB255" i="4"/>
  <c r="AB257" i="4"/>
  <c r="Y257" i="4"/>
  <c r="AB254" i="4"/>
  <c r="Y254" i="4"/>
  <c r="AB259" i="4"/>
  <c r="Y259" i="4"/>
  <c r="AB261" i="4"/>
  <c r="Y261" i="4"/>
  <c r="AB262" i="4"/>
  <c r="Y262" i="4"/>
  <c r="AB270" i="4"/>
  <c r="Y270" i="4"/>
  <c r="AB281" i="4"/>
  <c r="Y281" i="4"/>
  <c r="AB289" i="4"/>
  <c r="Y289" i="4"/>
  <c r="AB287" i="4"/>
  <c r="Y287" i="4"/>
  <c r="AB295" i="4"/>
  <c r="Y295" i="4"/>
  <c r="AB267" i="4"/>
  <c r="Y267" i="4"/>
  <c r="AB21" i="4"/>
  <c r="Y21" i="4"/>
  <c r="X21" i="4" s="1"/>
  <c r="AB27" i="4"/>
  <c r="Y27" i="4"/>
  <c r="AB53" i="4"/>
  <c r="Y53" i="4"/>
  <c r="Y81" i="4"/>
  <c r="Y66" i="4"/>
  <c r="X66" i="4" s="1"/>
  <c r="G66" i="4" s="1"/>
  <c r="AD66" i="4" s="1"/>
  <c r="AB202" i="4"/>
  <c r="Y202" i="4"/>
  <c r="AB208" i="4"/>
  <c r="Y208" i="4"/>
  <c r="Y98" i="4"/>
  <c r="Y105" i="4"/>
  <c r="X105" i="4" s="1"/>
  <c r="G105" i="4" s="1"/>
  <c r="AD105" i="4" s="1"/>
  <c r="Y109" i="4"/>
  <c r="X109" i="4" s="1"/>
  <c r="G109" i="4" s="1"/>
  <c r="AD109" i="4" s="1"/>
  <c r="Y111" i="4"/>
  <c r="AB170" i="4"/>
  <c r="Y170" i="4"/>
  <c r="AB175" i="4"/>
  <c r="Y175" i="4"/>
  <c r="AB184" i="4"/>
  <c r="Y184" i="4"/>
  <c r="AB181" i="4"/>
  <c r="Y181" i="4"/>
  <c r="Y187" i="4"/>
  <c r="X187" i="4" s="1"/>
  <c r="AB187" i="4"/>
  <c r="AB242" i="4"/>
  <c r="Y242" i="4"/>
  <c r="AB238" i="4"/>
  <c r="Y238" i="4"/>
  <c r="AB250" i="4"/>
  <c r="Y250" i="4"/>
  <c r="AB249" i="4"/>
  <c r="Y249" i="4"/>
  <c r="AB252" i="4"/>
  <c r="Y252" i="4"/>
  <c r="AB258" i="4"/>
  <c r="Y258" i="4"/>
  <c r="AB256" i="4"/>
  <c r="Y256" i="4"/>
  <c r="AB278" i="4"/>
  <c r="Y278" i="4"/>
  <c r="AB260" i="4"/>
  <c r="Y260" i="4"/>
  <c r="AB264" i="4"/>
  <c r="Y264" i="4"/>
  <c r="AB268" i="4"/>
  <c r="Y268" i="4"/>
  <c r="AB266" i="4"/>
  <c r="Y266" i="4"/>
  <c r="AB271" i="4"/>
  <c r="Y271" i="4"/>
  <c r="AB288" i="4"/>
  <c r="Y288" i="4"/>
  <c r="AB290" i="4"/>
  <c r="Y290" i="4"/>
  <c r="AB291" i="4"/>
  <c r="Y291" i="4"/>
  <c r="AB293" i="4"/>
  <c r="Y293" i="4"/>
  <c r="AB297" i="4"/>
  <c r="Y297" i="4"/>
  <c r="AB296" i="4"/>
  <c r="Y296" i="4"/>
  <c r="AB4" i="4"/>
  <c r="Y4" i="4"/>
  <c r="X4" i="4" s="1"/>
  <c r="G4" i="4" s="1"/>
  <c r="AD4" i="4" s="1"/>
  <c r="AB16" i="4"/>
  <c r="Y16" i="4"/>
  <c r="AB22" i="4"/>
  <c r="Y22" i="4"/>
  <c r="AB32" i="4"/>
  <c r="Y32" i="4"/>
  <c r="AB35" i="4"/>
  <c r="Y35" i="4"/>
  <c r="Y38" i="4"/>
  <c r="Y37" i="4"/>
  <c r="X37" i="4" s="1"/>
  <c r="AB49" i="4"/>
  <c r="Y49" i="4"/>
  <c r="Y47" i="4"/>
  <c r="AB44" i="4"/>
  <c r="Y44" i="4"/>
  <c r="Y54" i="4"/>
  <c r="Y60" i="4"/>
  <c r="AB80" i="4"/>
  <c r="Y80" i="4"/>
  <c r="AB76" i="4"/>
  <c r="Y76" i="4"/>
  <c r="Y86" i="4"/>
  <c r="Y92" i="4"/>
  <c r="Y95" i="4"/>
  <c r="X95" i="4" s="1"/>
  <c r="G95" i="4" s="1"/>
  <c r="AD95" i="4" s="1"/>
  <c r="Y102" i="4"/>
  <c r="X102" i="4" s="1"/>
  <c r="G102" i="4" s="1"/>
  <c r="AD102" i="4" s="1"/>
  <c r="Y99" i="4"/>
  <c r="Y112" i="4"/>
  <c r="X112" i="4" s="1"/>
  <c r="G112" i="4" s="1"/>
  <c r="AD112" i="4" s="1"/>
  <c r="Y119" i="4"/>
  <c r="X119" i="4" s="1"/>
  <c r="G119" i="4" s="1"/>
  <c r="AD119" i="4" s="1"/>
  <c r="AB201" i="4"/>
  <c r="Y201" i="4"/>
  <c r="AB207" i="4"/>
  <c r="Y207" i="4"/>
  <c r="AB199" i="4"/>
  <c r="Y199" i="4"/>
  <c r="AB193" i="4"/>
  <c r="Y193" i="4"/>
  <c r="AB65" i="4"/>
  <c r="Y65" i="4"/>
  <c r="AB64" i="4"/>
  <c r="Y64" i="4"/>
  <c r="AB62" i="4"/>
  <c r="Y62" i="4"/>
  <c r="AB11" i="4"/>
  <c r="X285" i="4"/>
  <c r="G285" i="4" s="1"/>
  <c r="AD285" i="4" s="1"/>
  <c r="AB37" i="4"/>
  <c r="T89" i="4"/>
  <c r="U106" i="4"/>
  <c r="T106" i="4"/>
  <c r="AB60" i="4"/>
  <c r="AB282" i="4"/>
  <c r="AB68" i="4"/>
  <c r="AB269" i="4"/>
  <c r="AB54" i="4"/>
  <c r="AB82" i="4"/>
  <c r="AB186" i="4"/>
  <c r="AB188" i="4"/>
  <c r="AB197" i="4"/>
  <c r="AB200" i="4"/>
  <c r="AB198" i="4"/>
  <c r="AB196" i="4"/>
  <c r="AB195" i="4"/>
  <c r="AB205" i="4"/>
  <c r="AB206" i="4"/>
  <c r="AB210" i="4"/>
  <c r="AB279" i="4"/>
  <c r="AB34" i="4"/>
  <c r="AB294" i="4"/>
  <c r="AB40" i="4"/>
  <c r="AB99" i="4"/>
  <c r="Q89" i="4"/>
  <c r="AB118" i="4"/>
  <c r="AB8" i="4"/>
  <c r="AB47" i="4"/>
  <c r="AB86" i="4"/>
  <c r="AB92" i="4"/>
  <c r="AB100" i="4"/>
  <c r="AB107" i="4"/>
  <c r="AB111" i="4"/>
  <c r="AB95" i="4"/>
  <c r="AB41" i="4"/>
  <c r="AB43" i="4"/>
  <c r="AB88" i="4"/>
  <c r="AB91" i="4"/>
  <c r="AB97" i="4"/>
  <c r="AB102" i="4"/>
  <c r="AB108" i="4"/>
  <c r="AB112" i="4"/>
  <c r="AB119" i="4"/>
  <c r="AB126" i="4"/>
  <c r="AB139" i="4"/>
  <c r="AB67" i="4"/>
  <c r="AB46" i="4"/>
  <c r="AB87" i="4"/>
  <c r="AB38" i="4"/>
  <c r="AB39" i="4"/>
  <c r="AB50" i="4"/>
  <c r="AB227" i="4"/>
  <c r="AB78" i="4"/>
  <c r="AB90" i="4"/>
  <c r="AB98" i="4"/>
  <c r="AB105" i="4"/>
  <c r="AB109" i="4"/>
  <c r="AB110" i="4"/>
  <c r="AB114" i="4"/>
  <c r="AB143" i="4"/>
  <c r="AB163" i="4"/>
  <c r="AB165" i="4"/>
  <c r="AB9" i="4"/>
  <c r="AB56" i="4"/>
  <c r="AB84" i="4"/>
  <c r="AB124" i="4"/>
  <c r="AB148" i="4"/>
  <c r="AB156" i="4"/>
  <c r="AB244" i="4"/>
  <c r="AJ23" i="4"/>
  <c r="U70" i="4" s="1"/>
  <c r="AB52" i="4"/>
  <c r="AB81" i="4"/>
  <c r="AB75" i="4"/>
  <c r="AB137" i="4"/>
  <c r="AB141" i="4"/>
  <c r="AB66" i="4"/>
  <c r="AB169" i="4"/>
  <c r="T71" i="4"/>
  <c r="AB26" i="4"/>
  <c r="AB28" i="4"/>
  <c r="AB29" i="4"/>
  <c r="AB30" i="4"/>
  <c r="AB123" i="4"/>
  <c r="AB121" i="4"/>
  <c r="AB128" i="4"/>
  <c r="AB133" i="4"/>
  <c r="AB135" i="4"/>
  <c r="AB146" i="4"/>
  <c r="AB147" i="4"/>
  <c r="AB151" i="4"/>
  <c r="AB153" i="4"/>
  <c r="AB158" i="4"/>
  <c r="AB164" i="4"/>
  <c r="AB166" i="4"/>
  <c r="AB248" i="4"/>
  <c r="AB142" i="4"/>
  <c r="AB150" i="4"/>
  <c r="AB284" i="4"/>
  <c r="AB168" i="4"/>
  <c r="AB251" i="4"/>
  <c r="AB33" i="4"/>
  <c r="AB48" i="4"/>
  <c r="AB57" i="4"/>
  <c r="AB125" i="4"/>
  <c r="AB120" i="4"/>
  <c r="AB127" i="4"/>
  <c r="AB130" i="4"/>
  <c r="AB134" i="4"/>
  <c r="AB152" i="4"/>
  <c r="AB155" i="4"/>
  <c r="AB160" i="4"/>
  <c r="AB167" i="4"/>
  <c r="AB172" i="4"/>
  <c r="AB263" i="4"/>
  <c r="AB285" i="4"/>
  <c r="AI23" i="4"/>
  <c r="T72" i="4" s="1"/>
  <c r="T236" i="4"/>
  <c r="T240" i="4"/>
  <c r="U71" i="4"/>
  <c r="U236" i="4"/>
  <c r="U240" i="4"/>
  <c r="AB13" i="4"/>
  <c r="AB15" i="4"/>
  <c r="AB17" i="4"/>
  <c r="AB20" i="4"/>
  <c r="AB171" i="4"/>
  <c r="AB213" i="4"/>
  <c r="AB212" i="4"/>
  <c r="AB299" i="4"/>
  <c r="AB214" i="4"/>
  <c r="AB253" i="4"/>
  <c r="AB217" i="4"/>
  <c r="AB215" i="4"/>
  <c r="AB149" i="4"/>
  <c r="AB218" i="4"/>
  <c r="AB219" i="4"/>
  <c r="AB222" i="4"/>
  <c r="AB221" i="4"/>
  <c r="AB225" i="4"/>
  <c r="AB224" i="4"/>
  <c r="AB232" i="4"/>
  <c r="AB229" i="4"/>
  <c r="AB233" i="4"/>
  <c r="AB230" i="4"/>
  <c r="AB231" i="4"/>
  <c r="AB226" i="4"/>
  <c r="AB234" i="4"/>
  <c r="AB243" i="4"/>
  <c r="AB301" i="4"/>
  <c r="AB304" i="4"/>
  <c r="AB303" i="4"/>
  <c r="AB302" i="4"/>
  <c r="AB283" i="4"/>
  <c r="AB306" i="4"/>
  <c r="AB307" i="4"/>
  <c r="AB308" i="4"/>
  <c r="AB312" i="4"/>
  <c r="AB311" i="4"/>
  <c r="AB305" i="4"/>
  <c r="AB309" i="4"/>
  <c r="AB310" i="4"/>
  <c r="AB313" i="4"/>
  <c r="AB315" i="4"/>
  <c r="AB317" i="4"/>
  <c r="AB318" i="4"/>
  <c r="AB319" i="4"/>
  <c r="AB320" i="4"/>
  <c r="AB321" i="4"/>
  <c r="AB327" i="4"/>
  <c r="AB326" i="4"/>
  <c r="AB330" i="4"/>
  <c r="AB331" i="4"/>
  <c r="AB332" i="4"/>
  <c r="AB333" i="4"/>
  <c r="AB335" i="4"/>
  <c r="AB336" i="4"/>
  <c r="AB298" i="4"/>
  <c r="Y237" i="4" l="1"/>
  <c r="X237" i="4" s="1"/>
  <c r="Y240" i="4"/>
  <c r="Y324" i="4"/>
  <c r="X324" i="4" s="1"/>
  <c r="G324" i="4" s="1"/>
  <c r="F324" i="4" s="1"/>
  <c r="Y236" i="4"/>
  <c r="AB324" i="4"/>
  <c r="G269" i="4"/>
  <c r="AD269" i="4" s="1"/>
  <c r="Y71" i="4"/>
  <c r="AB89" i="4"/>
  <c r="Y89" i="4"/>
  <c r="AB106" i="4"/>
  <c r="Y106" i="4"/>
  <c r="X49" i="4"/>
  <c r="Z49" i="4" s="1"/>
  <c r="Z143" i="4"/>
  <c r="Z139" i="4"/>
  <c r="Z158" i="4"/>
  <c r="Z107" i="4"/>
  <c r="Z112" i="4"/>
  <c r="Z198" i="4"/>
  <c r="Z244" i="4"/>
  <c r="Z163" i="4"/>
  <c r="X20" i="4"/>
  <c r="G20" i="4" s="1"/>
  <c r="AD20" i="4" s="1"/>
  <c r="X43" i="4"/>
  <c r="G43" i="4" s="1"/>
  <c r="AD43" i="4" s="1"/>
  <c r="X84" i="4"/>
  <c r="G84" i="4" s="1"/>
  <c r="AD84" i="4" s="1"/>
  <c r="X82" i="4"/>
  <c r="G82" i="4" s="1"/>
  <c r="AD82" i="4" s="1"/>
  <c r="X90" i="4"/>
  <c r="G90" i="4" s="1"/>
  <c r="AD90" i="4" s="1"/>
  <c r="Z167" i="4"/>
  <c r="X174" i="4"/>
  <c r="G174" i="4" s="1"/>
  <c r="AD174" i="4" s="1"/>
  <c r="X53" i="4"/>
  <c r="G53" i="4" s="1"/>
  <c r="AD53" i="4" s="1"/>
  <c r="X79" i="4"/>
  <c r="G79" i="4" s="1"/>
  <c r="AD79" i="4" s="1"/>
  <c r="X191" i="4"/>
  <c r="G191" i="4" s="1"/>
  <c r="AD191" i="4" s="1"/>
  <c r="X208" i="4"/>
  <c r="G208" i="4" s="1"/>
  <c r="AD208" i="4" s="1"/>
  <c r="X76" i="4"/>
  <c r="G76" i="4" s="1"/>
  <c r="AD76" i="4" s="1"/>
  <c r="X192" i="4"/>
  <c r="G192" i="4" s="1"/>
  <c r="AD192" i="4" s="1"/>
  <c r="G37" i="4"/>
  <c r="AD37" i="4" s="1"/>
  <c r="X190" i="4"/>
  <c r="G190" i="4" s="1"/>
  <c r="AD190" i="4" s="1"/>
  <c r="X254" i="4"/>
  <c r="G254" i="4" s="1"/>
  <c r="AD254" i="4" s="1"/>
  <c r="X15" i="4"/>
  <c r="G15" i="4" s="1"/>
  <c r="AD15" i="4" s="1"/>
  <c r="X28" i="4"/>
  <c r="G28" i="4" s="1"/>
  <c r="AD28" i="4" s="1"/>
  <c r="X34" i="4"/>
  <c r="G34" i="4" s="1"/>
  <c r="AD34" i="4" s="1"/>
  <c r="X47" i="4"/>
  <c r="G47" i="4" s="1"/>
  <c r="AD47" i="4" s="1"/>
  <c r="X56" i="4"/>
  <c r="G56" i="4" s="1"/>
  <c r="AD56" i="4" s="1"/>
  <c r="X39" i="4"/>
  <c r="G39" i="4" s="1"/>
  <c r="AD39" i="4" s="1"/>
  <c r="X40" i="4"/>
  <c r="G40" i="4" s="1"/>
  <c r="AD40" i="4" s="1"/>
  <c r="X68" i="4"/>
  <c r="G68" i="4" s="1"/>
  <c r="AD68" i="4" s="1"/>
  <c r="X75" i="4"/>
  <c r="X78" i="4"/>
  <c r="G78" i="4" s="1"/>
  <c r="AD78" i="4" s="1"/>
  <c r="X91" i="4"/>
  <c r="G91" i="4" s="1"/>
  <c r="AD91" i="4" s="1"/>
  <c r="X100" i="4"/>
  <c r="G100" i="4" s="1"/>
  <c r="AD100" i="4" s="1"/>
  <c r="X114" i="4"/>
  <c r="G114" i="4" s="1"/>
  <c r="AD114" i="4" s="1"/>
  <c r="Z269" i="4"/>
  <c r="Z196" i="4"/>
  <c r="Z284" i="4"/>
  <c r="Z148" i="4"/>
  <c r="Z121" i="4"/>
  <c r="Z146" i="4"/>
  <c r="Z160" i="4"/>
  <c r="Z152" i="4"/>
  <c r="Z188" i="4"/>
  <c r="Z130" i="4"/>
  <c r="Z166" i="4"/>
  <c r="Z153" i="4"/>
  <c r="Z134" i="4"/>
  <c r="Z195" i="4"/>
  <c r="Z133" i="4"/>
  <c r="X202" i="4"/>
  <c r="G202" i="4" s="1"/>
  <c r="AD202" i="4" s="1"/>
  <c r="X257" i="4"/>
  <c r="G257" i="4" s="1"/>
  <c r="AD257" i="4" s="1"/>
  <c r="X22" i="4"/>
  <c r="G22" i="4" s="1"/>
  <c r="AD22" i="4" s="1"/>
  <c r="X80" i="4"/>
  <c r="G80" i="4" s="1"/>
  <c r="AD80" i="4" s="1"/>
  <c r="X278" i="4"/>
  <c r="G278" i="4" s="1"/>
  <c r="AD278" i="4" s="1"/>
  <c r="X29" i="4"/>
  <c r="G29" i="4" s="1"/>
  <c r="AD29" i="4" s="1"/>
  <c r="X98" i="4"/>
  <c r="G98" i="4" s="1"/>
  <c r="AD98" i="4" s="1"/>
  <c r="X111" i="4"/>
  <c r="G111" i="4" s="1"/>
  <c r="AD111" i="4" s="1"/>
  <c r="Z205" i="4"/>
  <c r="X11" i="4"/>
  <c r="X185" i="4"/>
  <c r="G185" i="4" s="1"/>
  <c r="AD185" i="4" s="1"/>
  <c r="X32" i="4"/>
  <c r="G32" i="4" s="1"/>
  <c r="AD32" i="4" s="1"/>
  <c r="X59" i="4"/>
  <c r="G59" i="4" s="1"/>
  <c r="AD59" i="4" s="1"/>
  <c r="X77" i="4"/>
  <c r="G77" i="4" s="1"/>
  <c r="AD77" i="4" s="1"/>
  <c r="X12" i="4"/>
  <c r="G12" i="4" s="1"/>
  <c r="AD12" i="4" s="1"/>
  <c r="X170" i="4"/>
  <c r="G170" i="4" s="1"/>
  <c r="AD170" i="4" s="1"/>
  <c r="X201" i="4"/>
  <c r="G201" i="4" s="1"/>
  <c r="AD201" i="4" s="1"/>
  <c r="X44" i="4"/>
  <c r="G44" i="4" s="1"/>
  <c r="AD44" i="4" s="1"/>
  <c r="X242" i="4"/>
  <c r="G242" i="4" s="1"/>
  <c r="AD242" i="4" s="1"/>
  <c r="X17" i="4"/>
  <c r="G17" i="4" s="1"/>
  <c r="AD17" i="4" s="1"/>
  <c r="X41" i="4"/>
  <c r="G41" i="4" s="1"/>
  <c r="AD41" i="4" s="1"/>
  <c r="X227" i="4"/>
  <c r="G227" i="4" s="1"/>
  <c r="AD227" i="4" s="1"/>
  <c r="X52" i="4"/>
  <c r="G52" i="4" s="1"/>
  <c r="AD52" i="4" s="1"/>
  <c r="X30" i="4"/>
  <c r="G30" i="4" s="1"/>
  <c r="AD30" i="4" s="1"/>
  <c r="X64" i="4"/>
  <c r="G64" i="4" s="1"/>
  <c r="AD64" i="4" s="1"/>
  <c r="X81" i="4"/>
  <c r="G81" i="4" s="1"/>
  <c r="AD81" i="4" s="1"/>
  <c r="X87" i="4"/>
  <c r="G87" i="4" s="1"/>
  <c r="AD87" i="4" s="1"/>
  <c r="X86" i="4"/>
  <c r="G86" i="4" s="1"/>
  <c r="AD86" i="4" s="1"/>
  <c r="X126" i="4"/>
  <c r="G126" i="4" s="1"/>
  <c r="AD126" i="4" s="1"/>
  <c r="X99" i="4"/>
  <c r="G99" i="4" s="1"/>
  <c r="AD99" i="4" s="1"/>
  <c r="X110" i="4"/>
  <c r="G110" i="4" s="1"/>
  <c r="AD110" i="4" s="1"/>
  <c r="Z263" i="4"/>
  <c r="Z165" i="4"/>
  <c r="Z156" i="4"/>
  <c r="Z141" i="4"/>
  <c r="Z123" i="4"/>
  <c r="Z95" i="4"/>
  <c r="Z135" i="4"/>
  <c r="Z125" i="4"/>
  <c r="Z169" i="4"/>
  <c r="Z120" i="4"/>
  <c r="Z197" i="4"/>
  <c r="Z151" i="4"/>
  <c r="Z119" i="4"/>
  <c r="Z200" i="4"/>
  <c r="Z127" i="4"/>
  <c r="X36" i="4"/>
  <c r="G36" i="4" s="1"/>
  <c r="AD36" i="4" s="1"/>
  <c r="X256" i="4"/>
  <c r="G256" i="4" s="1"/>
  <c r="AD256" i="4" s="1"/>
  <c r="X55" i="4"/>
  <c r="G55" i="4" s="1"/>
  <c r="AD55" i="4" s="1"/>
  <c r="X181" i="4"/>
  <c r="X51" i="4"/>
  <c r="G51" i="4" s="1"/>
  <c r="AD51" i="4" s="1"/>
  <c r="X193" i="4"/>
  <c r="G193" i="4" s="1"/>
  <c r="AD193" i="4" s="1"/>
  <c r="X27" i="4"/>
  <c r="G27" i="4" s="1"/>
  <c r="AD27" i="4" s="1"/>
  <c r="X184" i="4"/>
  <c r="G184" i="4" s="1"/>
  <c r="AD184" i="4" s="1"/>
  <c r="X255" i="4"/>
  <c r="G255" i="4" s="1"/>
  <c r="AD255" i="4" s="1"/>
  <c r="X48" i="4"/>
  <c r="X67" i="4"/>
  <c r="G67" i="4" s="1"/>
  <c r="AD67" i="4" s="1"/>
  <c r="Z109" i="4"/>
  <c r="Z105" i="4"/>
  <c r="Z128" i="4"/>
  <c r="G21" i="4"/>
  <c r="AD21" i="4" s="1"/>
  <c r="G187" i="4"/>
  <c r="AD187" i="4" s="1"/>
  <c r="X35" i="4"/>
  <c r="G35" i="4" s="1"/>
  <c r="AD35" i="4" s="1"/>
  <c r="X62" i="4"/>
  <c r="G62" i="4" s="1"/>
  <c r="AD62" i="4" s="1"/>
  <c r="X175" i="4"/>
  <c r="G175" i="4" s="1"/>
  <c r="AD175" i="4" s="1"/>
  <c r="X199" i="4"/>
  <c r="G199" i="4" s="1"/>
  <c r="AD199" i="4" s="1"/>
  <c r="X16" i="4"/>
  <c r="G16" i="4" s="1"/>
  <c r="AD16" i="4" s="1"/>
  <c r="X65" i="4"/>
  <c r="G65" i="4" s="1"/>
  <c r="AD65" i="4" s="1"/>
  <c r="X182" i="4"/>
  <c r="G182" i="4" s="1"/>
  <c r="AD182" i="4" s="1"/>
  <c r="X207" i="4"/>
  <c r="X246" i="4"/>
  <c r="G246" i="4" s="1"/>
  <c r="AD246" i="4" s="1"/>
  <c r="X26" i="4"/>
  <c r="G26" i="4" s="1"/>
  <c r="AD26" i="4" s="1"/>
  <c r="X13" i="4"/>
  <c r="G13" i="4" s="1"/>
  <c r="AD13" i="4" s="1"/>
  <c r="X33" i="4"/>
  <c r="G33" i="4" s="1"/>
  <c r="AD33" i="4" s="1"/>
  <c r="X38" i="4"/>
  <c r="G38" i="4" s="1"/>
  <c r="AD38" i="4" s="1"/>
  <c r="X54" i="4"/>
  <c r="G54" i="4" s="1"/>
  <c r="AD54" i="4" s="1"/>
  <c r="X50" i="4"/>
  <c r="G50" i="4" s="1"/>
  <c r="AD50" i="4" s="1"/>
  <c r="X46" i="4"/>
  <c r="X57" i="4"/>
  <c r="G57" i="4" s="1"/>
  <c r="AD57" i="4" s="1"/>
  <c r="X60" i="4"/>
  <c r="G60" i="4" s="1"/>
  <c r="AD60" i="4" s="1"/>
  <c r="X88" i="4"/>
  <c r="G88" i="4" s="1"/>
  <c r="AD88" i="4" s="1"/>
  <c r="X92" i="4"/>
  <c r="G92" i="4" s="1"/>
  <c r="AD92" i="4" s="1"/>
  <c r="X97" i="4"/>
  <c r="G97" i="4" s="1"/>
  <c r="AD97" i="4" s="1"/>
  <c r="Z102" i="4"/>
  <c r="Z210" i="4"/>
  <c r="Z168" i="4"/>
  <c r="Z150" i="4"/>
  <c r="Z137" i="4"/>
  <c r="Z118" i="4"/>
  <c r="Z66" i="4"/>
  <c r="Z251" i="4"/>
  <c r="Z172" i="4"/>
  <c r="Z155" i="4"/>
  <c r="Z142" i="4"/>
  <c r="Z124" i="4"/>
  <c r="Z206" i="4"/>
  <c r="Z108" i="4"/>
  <c r="Z186" i="4"/>
  <c r="Z164" i="4"/>
  <c r="Z147" i="4"/>
  <c r="Z248" i="4"/>
  <c r="X289" i="4"/>
  <c r="G289" i="4" s="1"/>
  <c r="AD289" i="4" s="1"/>
  <c r="X290" i="4"/>
  <c r="G290" i="4" s="1"/>
  <c r="AD290" i="4" s="1"/>
  <c r="X288" i="4"/>
  <c r="G288" i="4" s="1"/>
  <c r="AD288" i="4" s="1"/>
  <c r="X295" i="4"/>
  <c r="G295" i="4" s="1"/>
  <c r="AD295" i="4" s="1"/>
  <c r="X293" i="4"/>
  <c r="G293" i="4" s="1"/>
  <c r="AD293" i="4" s="1"/>
  <c r="X291" i="4"/>
  <c r="G291" i="4" s="1"/>
  <c r="AD291" i="4" s="1"/>
  <c r="Z294" i="4"/>
  <c r="Z282" i="4"/>
  <c r="X267" i="4"/>
  <c r="G267" i="4" s="1"/>
  <c r="AD267" i="4" s="1"/>
  <c r="X296" i="4"/>
  <c r="G296" i="4" s="1"/>
  <c r="AD296" i="4" s="1"/>
  <c r="X287" i="4"/>
  <c r="G287" i="4" s="1"/>
  <c r="AD287" i="4" s="1"/>
  <c r="X297" i="4"/>
  <c r="G297" i="4" s="1"/>
  <c r="AD297" i="4" s="1"/>
  <c r="Z285" i="4"/>
  <c r="Z279" i="4"/>
  <c r="X281" i="4"/>
  <c r="G281" i="4" s="1"/>
  <c r="AD281" i="4" s="1"/>
  <c r="X270" i="4"/>
  <c r="G270" i="4" s="1"/>
  <c r="AD270" i="4" s="1"/>
  <c r="X271" i="4"/>
  <c r="G271" i="4" s="1"/>
  <c r="AD271" i="4" s="1"/>
  <c r="X266" i="4"/>
  <c r="G266" i="4" s="1"/>
  <c r="AD266" i="4" s="1"/>
  <c r="X260" i="4"/>
  <c r="G260" i="4" s="1"/>
  <c r="AD260" i="4" s="1"/>
  <c r="X259" i="4"/>
  <c r="G259" i="4" s="1"/>
  <c r="AD259" i="4" s="1"/>
  <c r="X264" i="4"/>
  <c r="G264" i="4" s="1"/>
  <c r="AD264" i="4" s="1"/>
  <c r="X261" i="4"/>
  <c r="G261" i="4" s="1"/>
  <c r="AD261" i="4" s="1"/>
  <c r="X268" i="4"/>
  <c r="G268" i="4" s="1"/>
  <c r="AD268" i="4" s="1"/>
  <c r="X262" i="4"/>
  <c r="G262" i="4" s="1"/>
  <c r="AD262" i="4" s="1"/>
  <c r="U73" i="4"/>
  <c r="U72" i="4"/>
  <c r="Y72" i="4" s="1"/>
  <c r="U69" i="4"/>
  <c r="AJ24" i="4"/>
  <c r="G8" i="4"/>
  <c r="AD8" i="4" s="1"/>
  <c r="Z8" i="4"/>
  <c r="AB71" i="4"/>
  <c r="Q71" i="4"/>
  <c r="Z9" i="4"/>
  <c r="Z4" i="4"/>
  <c r="X326" i="4"/>
  <c r="X315" i="4"/>
  <c r="X311" i="4"/>
  <c r="X308" i="4"/>
  <c r="G308" i="4" s="1"/>
  <c r="X303" i="4"/>
  <c r="X238" i="4"/>
  <c r="G238" i="4" s="1"/>
  <c r="AD238" i="4" s="1"/>
  <c r="X226" i="4"/>
  <c r="X221" i="4"/>
  <c r="X212" i="4"/>
  <c r="Q177" i="4"/>
  <c r="AB177" i="4"/>
  <c r="AI24" i="4"/>
  <c r="T178" i="4" s="1"/>
  <c r="T73" i="4"/>
  <c r="T70" i="4"/>
  <c r="Y70" i="4" s="1"/>
  <c r="T69" i="4"/>
  <c r="X249" i="4"/>
  <c r="G249" i="4" s="1"/>
  <c r="AD249" i="4" s="1"/>
  <c r="X245" i="4"/>
  <c r="G245" i="4" s="1"/>
  <c r="AD245" i="4" s="1"/>
  <c r="X171" i="4"/>
  <c r="AB237" i="4"/>
  <c r="X332" i="4"/>
  <c r="X321" i="4"/>
  <c r="G321" i="4" s="1"/>
  <c r="X319" i="4"/>
  <c r="X309" i="4"/>
  <c r="X307" i="4"/>
  <c r="X283" i="4"/>
  <c r="X301" i="4"/>
  <c r="X230" i="4"/>
  <c r="X224" i="4"/>
  <c r="X218" i="4"/>
  <c r="X217" i="4"/>
  <c r="X336" i="4"/>
  <c r="G336" i="4" s="1"/>
  <c r="AD336" i="4" s="1"/>
  <c r="X333" i="4"/>
  <c r="X327" i="4"/>
  <c r="X317" i="4"/>
  <c r="X305" i="4"/>
  <c r="X312" i="4"/>
  <c r="X306" i="4"/>
  <c r="X302" i="4"/>
  <c r="X250" i="4"/>
  <c r="G250" i="4" s="1"/>
  <c r="AD250" i="4" s="1"/>
  <c r="X231" i="4"/>
  <c r="X232" i="4"/>
  <c r="X225" i="4"/>
  <c r="X222" i="4"/>
  <c r="X219" i="4"/>
  <c r="X149" i="4"/>
  <c r="X215" i="4"/>
  <c r="X253" i="4"/>
  <c r="X299" i="4"/>
  <c r="X213" i="4"/>
  <c r="Q240" i="4"/>
  <c r="AB240" i="4"/>
  <c r="X298" i="4"/>
  <c r="X335" i="4"/>
  <c r="X330" i="4"/>
  <c r="X313" i="4"/>
  <c r="X252" i="4"/>
  <c r="G252" i="4" s="1"/>
  <c r="AD252" i="4" s="1"/>
  <c r="X229" i="4"/>
  <c r="X214" i="4"/>
  <c r="X331" i="4"/>
  <c r="X320" i="4"/>
  <c r="X318" i="4"/>
  <c r="X310" i="4"/>
  <c r="X304" i="4"/>
  <c r="X235" i="4"/>
  <c r="G235" i="4" s="1"/>
  <c r="AD235" i="4" s="1"/>
  <c r="X234" i="4"/>
  <c r="X233" i="4"/>
  <c r="X258" i="4"/>
  <c r="G258" i="4" s="1"/>
  <c r="AD258" i="4" s="1"/>
  <c r="X241" i="4"/>
  <c r="G241" i="4" s="1"/>
  <c r="AD241" i="4" s="1"/>
  <c r="X243" i="4"/>
  <c r="Q236" i="4"/>
  <c r="AB236" i="4"/>
  <c r="U179" i="4" l="1"/>
  <c r="U178" i="4"/>
  <c r="Y178" i="4"/>
  <c r="AB178" i="4"/>
  <c r="G46" i="4"/>
  <c r="AD46" i="4" s="1"/>
  <c r="G181" i="4"/>
  <c r="AD181" i="4" s="1"/>
  <c r="Y73" i="4"/>
  <c r="Y69" i="4"/>
  <c r="Z187" i="4"/>
  <c r="G48" i="4"/>
  <c r="AD48" i="4" s="1"/>
  <c r="Z11" i="4"/>
  <c r="G11" i="4"/>
  <c r="AD11" i="4" s="1"/>
  <c r="G75" i="4"/>
  <c r="AD75" i="4" s="1"/>
  <c r="G49" i="4"/>
  <c r="AD49" i="4" s="1"/>
  <c r="Z324" i="4"/>
  <c r="AD324" i="4"/>
  <c r="G207" i="4"/>
  <c r="AD207" i="4" s="1"/>
  <c r="Z79" i="4"/>
  <c r="Z254" i="4"/>
  <c r="Z246" i="4"/>
  <c r="Z242" i="4"/>
  <c r="Z80" i="4"/>
  <c r="Z16" i="4"/>
  <c r="Z27" i="4"/>
  <c r="Z81" i="4"/>
  <c r="Z40" i="4"/>
  <c r="Z60" i="4"/>
  <c r="Z17" i="4"/>
  <c r="Z26" i="4"/>
  <c r="Z97" i="4"/>
  <c r="Z207" i="4"/>
  <c r="Z35" i="4"/>
  <c r="Z67" i="4"/>
  <c r="Z52" i="4"/>
  <c r="Z91" i="4"/>
  <c r="Z76" i="4"/>
  <c r="Z208" i="4"/>
  <c r="Z296" i="4"/>
  <c r="Z54" i="4"/>
  <c r="Z55" i="4"/>
  <c r="Z126" i="4"/>
  <c r="Z77" i="4"/>
  <c r="Z98" i="4"/>
  <c r="Z82" i="4"/>
  <c r="Z88" i="4"/>
  <c r="Z33" i="4"/>
  <c r="Z258" i="4"/>
  <c r="Z65" i="4"/>
  <c r="Z175" i="4"/>
  <c r="Z51" i="4"/>
  <c r="Z86" i="4"/>
  <c r="Z41" i="4"/>
  <c r="Z201" i="4"/>
  <c r="Z185" i="4"/>
  <c r="Z29" i="4"/>
  <c r="Z100" i="4"/>
  <c r="Z56" i="4"/>
  <c r="Z37" i="4"/>
  <c r="Z235" i="4"/>
  <c r="Z20" i="4"/>
  <c r="Z46" i="4"/>
  <c r="Z255" i="4"/>
  <c r="Z36" i="4"/>
  <c r="Z110" i="4"/>
  <c r="Z12" i="4"/>
  <c r="Z32" i="4"/>
  <c r="Z257" i="4"/>
  <c r="Z75" i="4"/>
  <c r="Z28" i="4"/>
  <c r="Z260" i="4"/>
  <c r="G214" i="4"/>
  <c r="AD214" i="4" s="1"/>
  <c r="Z214" i="4"/>
  <c r="G217" i="4"/>
  <c r="AD217" i="4" s="1"/>
  <c r="Z217" i="4"/>
  <c r="G212" i="4"/>
  <c r="AD212" i="4" s="1"/>
  <c r="Z212" i="4"/>
  <c r="Z238" i="4"/>
  <c r="G226" i="4"/>
  <c r="AD226" i="4" s="1"/>
  <c r="Z226" i="4"/>
  <c r="Z249" i="4"/>
  <c r="G243" i="4"/>
  <c r="AD243" i="4" s="1"/>
  <c r="Z243" i="4"/>
  <c r="G233" i="4"/>
  <c r="AD233" i="4" s="1"/>
  <c r="Z233" i="4"/>
  <c r="G222" i="4"/>
  <c r="AD222" i="4" s="1"/>
  <c r="Z222" i="4"/>
  <c r="X89" i="4"/>
  <c r="G89" i="4" s="1"/>
  <c r="AD89" i="4" s="1"/>
  <c r="G234" i="4"/>
  <c r="AD234" i="4" s="1"/>
  <c r="Z234" i="4"/>
  <c r="G215" i="4"/>
  <c r="AD215" i="4" s="1"/>
  <c r="Z215" i="4"/>
  <c r="G225" i="4"/>
  <c r="AD225" i="4" s="1"/>
  <c r="Z225" i="4"/>
  <c r="G218" i="4"/>
  <c r="AD218" i="4" s="1"/>
  <c r="Z218" i="4"/>
  <c r="G171" i="4"/>
  <c r="AD171" i="4" s="1"/>
  <c r="Z171" i="4"/>
  <c r="X71" i="4"/>
  <c r="G71" i="4" s="1"/>
  <c r="AD71" i="4" s="1"/>
  <c r="X106" i="4"/>
  <c r="G106" i="4" s="1"/>
  <c r="AD106" i="4" s="1"/>
  <c r="Z287" i="4"/>
  <c r="Z199" i="4"/>
  <c r="Z62" i="4"/>
  <c r="Z21" i="4"/>
  <c r="Z48" i="4"/>
  <c r="Z184" i="4"/>
  <c r="Z245" i="4"/>
  <c r="Z44" i="4"/>
  <c r="Z59" i="4"/>
  <c r="Z264" i="4"/>
  <c r="Z111" i="4"/>
  <c r="Z278" i="4"/>
  <c r="Z22" i="4"/>
  <c r="Z202" i="4"/>
  <c r="Z114" i="4"/>
  <c r="Z78" i="4"/>
  <c r="Z68" i="4"/>
  <c r="Z39" i="4"/>
  <c r="Z47" i="4"/>
  <c r="Z34" i="4"/>
  <c r="Z15" i="4"/>
  <c r="Z190" i="4"/>
  <c r="Z241" i="4"/>
  <c r="Z191" i="4"/>
  <c r="Z53" i="4"/>
  <c r="Z174" i="4"/>
  <c r="Z90" i="4"/>
  <c r="Z84" i="4"/>
  <c r="Z43" i="4"/>
  <c r="G299" i="4"/>
  <c r="AD299" i="4" s="1"/>
  <c r="Z299" i="4"/>
  <c r="G219" i="4"/>
  <c r="AD219" i="4" s="1"/>
  <c r="Z219" i="4"/>
  <c r="G231" i="4"/>
  <c r="AD231" i="4" s="1"/>
  <c r="Z231" i="4"/>
  <c r="G230" i="4"/>
  <c r="AD230" i="4" s="1"/>
  <c r="Z230" i="4"/>
  <c r="G229" i="4"/>
  <c r="AD229" i="4" s="1"/>
  <c r="Z229" i="4"/>
  <c r="G213" i="4"/>
  <c r="AD213" i="4" s="1"/>
  <c r="Z213" i="4"/>
  <c r="G149" i="4"/>
  <c r="AD149" i="4" s="1"/>
  <c r="Z149" i="4"/>
  <c r="G232" i="4"/>
  <c r="AD232" i="4" s="1"/>
  <c r="Z232" i="4"/>
  <c r="G224" i="4"/>
  <c r="AD224" i="4" s="1"/>
  <c r="Z224" i="4"/>
  <c r="G221" i="4"/>
  <c r="AD221" i="4" s="1"/>
  <c r="Z221" i="4"/>
  <c r="Z293" i="4"/>
  <c r="Z92" i="4"/>
  <c r="Z57" i="4"/>
  <c r="Z50" i="4"/>
  <c r="Z38" i="4"/>
  <c r="Z13" i="4"/>
  <c r="Z262" i="4"/>
  <c r="Z182" i="4"/>
  <c r="Z268" i="4"/>
  <c r="Z252" i="4"/>
  <c r="Z193" i="4"/>
  <c r="Z181" i="4"/>
  <c r="Z256" i="4"/>
  <c r="Z99" i="4"/>
  <c r="Z87" i="4"/>
  <c r="Z64" i="4"/>
  <c r="Z30" i="4"/>
  <c r="Z227" i="4"/>
  <c r="Z170" i="4"/>
  <c r="Z261" i="4"/>
  <c r="Z250" i="4"/>
  <c r="Z192" i="4"/>
  <c r="Z259" i="4"/>
  <c r="G331" i="4"/>
  <c r="AD331" i="4" s="1"/>
  <c r="Z331" i="4"/>
  <c r="G312" i="4"/>
  <c r="AD312" i="4" s="1"/>
  <c r="Z312" i="4"/>
  <c r="Z271" i="4"/>
  <c r="G304" i="4"/>
  <c r="AD304" i="4" s="1"/>
  <c r="Z304" i="4"/>
  <c r="G318" i="4"/>
  <c r="AD318" i="4" s="1"/>
  <c r="Z318" i="4"/>
  <c r="G298" i="4"/>
  <c r="AD298" i="4" s="1"/>
  <c r="Z298" i="4"/>
  <c r="G305" i="4"/>
  <c r="AD305" i="4" s="1"/>
  <c r="Z305" i="4"/>
  <c r="G327" i="4"/>
  <c r="AD327" i="4" s="1"/>
  <c r="Z327" i="4"/>
  <c r="G301" i="4"/>
  <c r="AD301" i="4" s="1"/>
  <c r="Z301" i="4"/>
  <c r="G319" i="4"/>
  <c r="AD319" i="4" s="1"/>
  <c r="Z319" i="4"/>
  <c r="G315" i="4"/>
  <c r="AD315" i="4" s="1"/>
  <c r="Z315" i="4"/>
  <c r="Z297" i="4"/>
  <c r="Z267" i="4"/>
  <c r="Z266" i="4"/>
  <c r="Z295" i="4"/>
  <c r="Z289" i="4"/>
  <c r="G311" i="4"/>
  <c r="AD311" i="4" s="1"/>
  <c r="Z311" i="4"/>
  <c r="G313" i="4"/>
  <c r="AD313" i="4" s="1"/>
  <c r="Z313" i="4"/>
  <c r="G302" i="4"/>
  <c r="AD302" i="4" s="1"/>
  <c r="Z302" i="4"/>
  <c r="G333" i="4"/>
  <c r="AD333" i="4" s="1"/>
  <c r="Z333" i="4"/>
  <c r="G283" i="4"/>
  <c r="AD283" i="4" s="1"/>
  <c r="Z283" i="4"/>
  <c r="AD321" i="4"/>
  <c r="Z321" i="4"/>
  <c r="G303" i="4"/>
  <c r="AD303" i="4" s="1"/>
  <c r="Z303" i="4"/>
  <c r="G335" i="4"/>
  <c r="AD335" i="4" s="1"/>
  <c r="Z335" i="4"/>
  <c r="G309" i="4"/>
  <c r="AD309" i="4" s="1"/>
  <c r="Z309" i="4"/>
  <c r="G320" i="4"/>
  <c r="AD320" i="4" s="1"/>
  <c r="Z320" i="4"/>
  <c r="G310" i="4"/>
  <c r="AD310" i="4" s="1"/>
  <c r="Z310" i="4"/>
  <c r="G330" i="4"/>
  <c r="AD330" i="4" s="1"/>
  <c r="Z330" i="4"/>
  <c r="G306" i="4"/>
  <c r="AD306" i="4" s="1"/>
  <c r="Z306" i="4"/>
  <c r="G317" i="4"/>
  <c r="AD317" i="4" s="1"/>
  <c r="Z317" i="4"/>
  <c r="Z336" i="4"/>
  <c r="G307" i="4"/>
  <c r="AD307" i="4" s="1"/>
  <c r="Z307" i="4"/>
  <c r="G332" i="4"/>
  <c r="AD332" i="4" s="1"/>
  <c r="Z332" i="4"/>
  <c r="AD308" i="4"/>
  <c r="Z308" i="4"/>
  <c r="G326" i="4"/>
  <c r="AD326" i="4" s="1"/>
  <c r="Z326" i="4"/>
  <c r="Z291" i="4"/>
  <c r="Z270" i="4"/>
  <c r="Z288" i="4"/>
  <c r="Z290" i="4"/>
  <c r="Z281" i="4"/>
  <c r="Z253" i="4"/>
  <c r="G253" i="4"/>
  <c r="F253" i="4" s="1"/>
  <c r="T136" i="4"/>
  <c r="U136" i="4"/>
  <c r="AJ25" i="4"/>
  <c r="AJ26" i="4" s="1"/>
  <c r="AB72" i="4"/>
  <c r="Q72" i="4"/>
  <c r="AB69" i="4"/>
  <c r="X177" i="4"/>
  <c r="AB70" i="4"/>
  <c r="Q70" i="4"/>
  <c r="T179" i="4"/>
  <c r="AI25" i="4"/>
  <c r="AI26" i="4" s="1"/>
  <c r="X236" i="4"/>
  <c r="X240" i="4"/>
  <c r="AB73" i="4"/>
  <c r="Q73" i="4"/>
  <c r="AD253" i="4" l="1"/>
  <c r="X178" i="4"/>
  <c r="G178" i="4" s="1"/>
  <c r="U323" i="4"/>
  <c r="T323" i="4"/>
  <c r="Y180" i="4"/>
  <c r="AB180" i="4"/>
  <c r="Y179" i="4"/>
  <c r="Y136" i="4"/>
  <c r="AB338" i="4"/>
  <c r="U239" i="4"/>
  <c r="F89" i="4"/>
  <c r="F71" i="4"/>
  <c r="Z71" i="4"/>
  <c r="Z89" i="4"/>
  <c r="G236" i="4"/>
  <c r="Z236" i="4"/>
  <c r="G240" i="4"/>
  <c r="AD240" i="4" s="1"/>
  <c r="Z240" i="4"/>
  <c r="Z106" i="4"/>
  <c r="G177" i="4"/>
  <c r="F177" i="4" s="1"/>
  <c r="Z177" i="4"/>
  <c r="G237" i="4"/>
  <c r="F237" i="4" s="1"/>
  <c r="Z237" i="4"/>
  <c r="Q136" i="4"/>
  <c r="AB136" i="4"/>
  <c r="X73" i="4"/>
  <c r="G73" i="4" s="1"/>
  <c r="T239" i="4"/>
  <c r="Y323" i="4"/>
  <c r="X70" i="4"/>
  <c r="X69" i="4"/>
  <c r="G69" i="4" s="1"/>
  <c r="AD69" i="4" s="1"/>
  <c r="Q179" i="4"/>
  <c r="AB179" i="4"/>
  <c r="X72" i="4"/>
  <c r="G72" i="4" s="1"/>
  <c r="AD72" i="4" s="1"/>
  <c r="Z178" i="4" l="1"/>
  <c r="F178" i="4"/>
  <c r="AD178" i="4"/>
  <c r="X180" i="4"/>
  <c r="G180" i="4" s="1"/>
  <c r="AD180" i="4" s="1"/>
  <c r="Y239" i="4"/>
  <c r="AD177" i="4"/>
  <c r="AD73" i="4"/>
  <c r="F73" i="4"/>
  <c r="X338" i="4"/>
  <c r="G338" i="4" s="1"/>
  <c r="AD338" i="4" s="1"/>
  <c r="AB323" i="4"/>
  <c r="Q323" i="4"/>
  <c r="X323" i="4"/>
  <c r="G323" i="4" s="1"/>
  <c r="AD237" i="4"/>
  <c r="AD236" i="4"/>
  <c r="F236" i="4"/>
  <c r="F240" i="4"/>
  <c r="G70" i="4"/>
  <c r="AD70" i="4" s="1"/>
  <c r="Z70" i="4"/>
  <c r="Z73" i="4"/>
  <c r="X136" i="4"/>
  <c r="G136" i="4" s="1"/>
  <c r="AD136" i="4" s="1"/>
  <c r="Z72" i="4"/>
  <c r="Z69" i="4"/>
  <c r="F72" i="4"/>
  <c r="F69" i="4"/>
  <c r="Q239" i="4"/>
  <c r="AB239" i="4"/>
  <c r="X179" i="4"/>
  <c r="G179" i="4" s="1"/>
  <c r="AD179" i="4" s="1"/>
  <c r="F70" i="4" l="1"/>
  <c r="Z180" i="4"/>
  <c r="Z338" i="4"/>
  <c r="Z323" i="4"/>
  <c r="AD323" i="4"/>
  <c r="F323" i="4"/>
  <c r="F136" i="4"/>
  <c r="Z136" i="4"/>
  <c r="Z179" i="4"/>
  <c r="F179" i="4"/>
  <c r="X239" i="4"/>
  <c r="G239" i="4" l="1"/>
  <c r="AD239" i="4" s="1"/>
  <c r="Z239" i="4"/>
  <c r="F239" i="4" l="1"/>
  <c r="X93" i="4" l="1"/>
  <c r="G93" i="4" s="1"/>
  <c r="AD93" i="4" s="1"/>
  <c r="AB93" i="4"/>
  <c r="Z93"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JL</author>
  </authors>
  <commentList>
    <comment ref="T106" authorId="0" shapeId="0" xr:uid="{0F594789-96D1-48D3-8496-8BFD7CAACCEB}">
      <text>
        <r>
          <rPr>
            <sz val="9"/>
            <color indexed="81"/>
            <rFont val="Tahoma"/>
            <family val="2"/>
          </rPr>
          <t>4th Sun in April unless it's Easter, then 3rd Sun</t>
        </r>
      </text>
    </comment>
    <comment ref="T136" authorId="0" shapeId="0" xr:uid="{3AAEE779-470C-4B04-AEA1-1BFFB9072283}">
      <text>
        <r>
          <rPr>
            <sz val="9"/>
            <color indexed="81"/>
            <rFont val="Tahoma"/>
            <family val="2"/>
          </rPr>
          <t xml:space="preserve">If 5th Sunday in April, then April, else last Sunday in May
</t>
        </r>
      </text>
    </comment>
  </commentList>
</comments>
</file>

<file path=xl/sharedStrings.xml><?xml version="1.0" encoding="utf-8"?>
<sst xmlns="http://schemas.openxmlformats.org/spreadsheetml/2006/main" count="5759" uniqueCount="3023">
  <si>
    <t>State</t>
  </si>
  <si>
    <t>City</t>
  </si>
  <si>
    <t>SC</t>
  </si>
  <si>
    <t>Simpsonville</t>
  </si>
  <si>
    <t>Book</t>
  </si>
  <si>
    <t>Address</t>
  </si>
  <si>
    <t>When</t>
  </si>
  <si>
    <t>Name</t>
  </si>
  <si>
    <t>USA</t>
  </si>
  <si>
    <t>Info</t>
  </si>
  <si>
    <t>Spartanburg</t>
  </si>
  <si>
    <t>AL</t>
  </si>
  <si>
    <t>Collinsville</t>
  </si>
  <si>
    <t>Pine Grove Church</t>
  </si>
  <si>
    <t>Alabama State Sacred Harp Musical Convention</t>
  </si>
  <si>
    <t>William Walker Memorial</t>
  </si>
  <si>
    <t>Warrior</t>
  </si>
  <si>
    <t>GA</t>
  </si>
  <si>
    <t>Ila</t>
  </si>
  <si>
    <t>Chattahoochee Musical Convention</t>
  </si>
  <si>
    <t>OR</t>
  </si>
  <si>
    <t>Portland</t>
  </si>
  <si>
    <t>Pacific Northwest Sacred Harp Convention</t>
  </si>
  <si>
    <t>France</t>
  </si>
  <si>
    <t>Paris</t>
  </si>
  <si>
    <t>Roberta</t>
  </si>
  <si>
    <t>Georgian Harmony Singing</t>
  </si>
  <si>
    <t>Montgomery</t>
  </si>
  <si>
    <t>Rotunda Singing</t>
  </si>
  <si>
    <t>Australia</t>
  </si>
  <si>
    <t>Decatur</t>
  </si>
  <si>
    <t>Carrollton</t>
  </si>
  <si>
    <t>Sacred Harp</t>
  </si>
  <si>
    <t>Georgian Harmony</t>
  </si>
  <si>
    <t>Cooper Book</t>
  </si>
  <si>
    <t>https://www.google.com/maps/place/272+Hutcheson+Ferry+Rd,+Whitesburg,+GA+30185/@33.5569681,-84.9683227,17z/data=!4m13!1m7!3m6!1s0x888b2d1e827b121f:0x159a79234be7b7c!2s272+Hutcheson+Ferry+Rd,+Whitesburg,+GA+30185!3b1!8m2!3d33.5569612!4d-84.9661287!3m4!1s0x888b2d1e827b121f:0x159a79234be7b7c!8m2!3d33.5569612!4d-84.9661287||272 Hutcheson Ferry Rd, Whitesburg, GA 30185</t>
  </si>
  <si>
    <t>IL</t>
  </si>
  <si>
    <t>Chicago</t>
  </si>
  <si>
    <t>Lincoln's Birthday Singing</t>
  </si>
  <si>
    <t>https://www.google.com/maps/place/Ida+Noyes+Hall/@41.788035,-87.5978739,17z/data=!3m1!4b1!4m5!3m4!1s0x880e2916fd81ab11:0xfa4bcef9eec30285!8m2!3d41.7880019!4d-87.595652||Ida Noyes Hall, University of Chicago, Chicago IL</t>
  </si>
  <si>
    <t>TX</t>
  </si>
  <si>
    <t>MA</t>
  </si>
  <si>
    <t>Boston</t>
  </si>
  <si>
    <t>Boston All-Day Singing</t>
  </si>
  <si>
    <t>https://www.google.com/maps/place/First+Church+In+Jamaica+Plain/@42.3100378,-71.1184159,684m/data=!3m2!1e3!4b1!4m5!3m4!1s0x89e3796c0dd6df57:0x74ff58f2ba5d447b!8m2!3d42.3100881!4d-71.1161193||First Church in Jamaica Plain UU, 6 Eliot Street, Jamaica Plain</t>
  </si>
  <si>
    <t>ME</t>
  </si>
  <si>
    <t>Henagar</t>
  </si>
  <si>
    <t>Barrett's Singing</t>
  </si>
  <si>
    <t>MN</t>
  </si>
  <si>
    <t>Minneapolis</t>
  </si>
  <si>
    <t>Shenandoah Harmony</t>
  </si>
  <si>
    <t>Maine Singing Weekend</t>
  </si>
  <si>
    <t>Centreville</t>
  </si>
  <si>
    <t>May, Sat before 2nd Sun</t>
  </si>
  <si>
    <t>Antioch Baptist Church</t>
  </si>
  <si>
    <t xml:space="preserve">https://www.google.com/maps/place/Antioch+Baptist+Church/@32.9470211,-86.9998405,17z/data=!3m1!4b1!4m5!3m4!1s0x888f2ea699e7e0c7:0x7039bb3fddac1f6e!8m2!3d32.9469552!4d-86.9976531||Antioch Baptist Church, 185 Church Lane, Centreville, AL </t>
  </si>
  <si>
    <t>Nth</t>
  </si>
  <si>
    <t>Start</t>
  </si>
  <si>
    <t>Date Range</t>
  </si>
  <si>
    <t>Month #</t>
  </si>
  <si>
    <t>Oct, Sat before 3rd Sun</t>
  </si>
  <si>
    <t>Nov, 4th Sun &amp; Sat before</t>
  </si>
  <si>
    <t>Aug, 1st Sun &amp; Sat before</t>
  </si>
  <si>
    <t>Apr, 3rd Sun</t>
  </si>
  <si>
    <t xml:space="preserve">Mar, Sat before 3rd Sun </t>
  </si>
  <si>
    <t>Jan, 4th Sun &amp; Sat before</t>
  </si>
  <si>
    <t>Jan, New Year's Day</t>
  </si>
  <si>
    <t>Start Date</t>
  </si>
  <si>
    <t>End Date</t>
  </si>
  <si>
    <t>Feb, Sat before 3rd Sun</t>
  </si>
  <si>
    <t>BaseDayofWeek</t>
  </si>
  <si>
    <t>#SingingDays</t>
  </si>
  <si>
    <t>BaseOffsetEndDate</t>
  </si>
  <si>
    <t>Waco</t>
  </si>
  <si>
    <t>https://www.google.com/maps/place/Shiloh+Church/@33.6610783,-85.2783184,17z/data=!4m8!1m2!2m1!1sShiloh+Primitive+Baptist+Church,+225+Shiloh+Church+Road,+Waco+GA!3m4!1s0x0:0x70090fb97f5929aa!8m2!3d33.6606632!4d-85.278284||Shiloh Primitive Baptist Church, 225 Shiloh Church Road, Waco GA</t>
  </si>
  <si>
    <t>Fultondale</t>
  </si>
  <si>
    <t>National Sacred Harp Convention</t>
  </si>
  <si>
    <t>https://www.google.com/maps/place/Fultondale+Friendship+Hall/@33.6081069,-86.8013569,17z/data=!3m1!4b1!4m5!3m4!1s0x888904edbb511197:0x216a6136516f1fe5!8m2!3d33.6081069!4d-86.798782||Friendship Hall, Alabama Square Dance Association, 1024 Old Walker Chapel Road, Fultondale</t>
  </si>
  <si>
    <t>AR</t>
  </si>
  <si>
    <t>Canada</t>
  </si>
  <si>
    <t>Que</t>
  </si>
  <si>
    <t>Jun, 1st Sun &amp; Sat before</t>
  </si>
  <si>
    <t>Jul, Sat before 2nd Sun</t>
  </si>
  <si>
    <t>Apr, Fri before 2nd Sun</t>
  </si>
  <si>
    <t>Sep, Sat before 2nd Sun</t>
  </si>
  <si>
    <t>Heflin</t>
  </si>
  <si>
    <t>https://www.google.com/maps/place/Shoal+Creek+Baptist+Church/@33.7756593,-85.5666816,17z/data=!4m12!1m6!3m5!1s0x888aff5fe64e09fb:0x1beea6e70d895c07!2sShoal+Creek+Baptist+Church!8m2!3d33.7756549!4d-85.5641067!3m4!1s0x888aff5fe64e09fb:0x1beea6e70d895c07!8m2!3d33.7756549!4d-85.5641067||Shoal Creek Baptist Church, Talladega National Forest</t>
  </si>
  <si>
    <t>MO</t>
  </si>
  <si>
    <t>Bowling Green</t>
  </si>
  <si>
    <t>Sacred Harp, Missouri Harmony</t>
  </si>
  <si>
    <t>https://www.google.com/maps/place/Siloam+Church/@39.2440589,-91.2951979,16.25z/data=!4m12!1m6!3m5!1s0x87dc2d3bd0f9a9c5:0x587e7bb0abbbe0c1!2sSiloam+Church!8m2!3d39.2447334!4d-91.2907251!3m4!1s0x87dc2d3bd0f9a9c5:0x587e7bb0abbbe0c1!8m2!3d39.2447334!4d-91.2907251|| Old Paths Bible Church, CR 410 near Bowling Green MO</t>
  </si>
  <si>
    <t>Wootten Family New Years Eve Singing</t>
  </si>
  <si>
    <t>Ider</t>
  </si>
  <si>
    <t>Year</t>
  </si>
  <si>
    <t>5th Sunday</t>
  </si>
  <si>
    <t>Calculations</t>
  </si>
  <si>
    <t>Ref1</t>
  </si>
  <si>
    <t>1st Fifth Sun</t>
  </si>
  <si>
    <t>2nd Fifth Sun</t>
  </si>
  <si>
    <t>3rd Fifth Sun</t>
  </si>
  <si>
    <t>4th Fifth Sun</t>
  </si>
  <si>
    <t>Ivey Memorial</t>
  </si>
  <si>
    <t>FL</t>
  </si>
  <si>
    <t>Bethlehem PBC 5th Sunday Singing</t>
  </si>
  <si>
    <t>McMahan</t>
  </si>
  <si>
    <t>Southwest Texas Convention</t>
  </si>
  <si>
    <t>Southwest Texas Convention, Fall Session</t>
  </si>
  <si>
    <t>Union Musical Sacred Harp Convention</t>
  </si>
  <si>
    <t>Alpharetta</t>
  </si>
  <si>
    <t>Lacy Memorial Singing</t>
  </si>
  <si>
    <t>https://www.google.com/maps/place/Fuller+Cemetery/@34.7034106,-85.6785415,17z/data=!3m1!4b1!4m5!3m4!1s0x8861cbf0a95fbfe9:0xfdd2b1f19cc4902e!8m2!3d34.7034063!4d-85.6740622||Fuller Cemetery, Ider, AL 35981</t>
  </si>
  <si>
    <t>Fort Worth</t>
  </si>
  <si>
    <t>William J. Reynolds Sacred Harp Singing</t>
  </si>
  <si>
    <t>Jan, Last Saturday</t>
  </si>
  <si>
    <t>NC</t>
  </si>
  <si>
    <t>Cullowhee</t>
  </si>
  <si>
    <t>Sep, Last Saturday</t>
  </si>
  <si>
    <t>Mountain Heritage Day Singing</t>
  </si>
  <si>
    <t>https://www.google.com/maps/place/Western+Carolina+University/@35.3090152,-83.1885552,17z/data=!3m1!4b1!4m5!3m4!1s0x88591414cc415beb:0x3e36bde0147e977a!8m2!3d35.3090108!4d-83.1863612||Western Carolina University, Cullowhee NC 28723</t>
  </si>
  <si>
    <t>Jul, 4th Sun &amp; Fri/Sat before</t>
  </si>
  <si>
    <t>Map Shortcode</t>
  </si>
  <si>
    <t>&lt;iframe src="https://www.google.com/maps/embed?pb=!1m18!1m12!1m3!1d36641.175325225806!2d-83.32743306459078!3d34.15619375887063!2m3!1f0!2f0!3f0!3m2!1i1024!2i768!4f13.1!3m3!1m2!1s0x88f619e3dc1071cd%3A0x2026ab304169bc8d!2s1547%20Adams%20Clarke%20Rd%2C%20Commerce%2C%20GA%2030530!5e0!3m2!1sen!2sus!4v1671519923162!5m2!1sen!2sus" width="600" height="450" style="border:0;" allowfullscreen="" loading="lazy" referrerpolicy="no-referrer-when-downgrade"&gt;&lt;/iframe&gt;</t>
  </si>
  <si>
    <t>&lt;iframe src="https://www.google.com/maps/embed?pb=!1m18!1m12!1m3!1d184116.28424936224!2d-83.97149083109741!3d32.742095210293755!2m3!1f0!2f0!3f0!3m2!1i1024!2i768!4f13.1!3m3!1m2!1s0x88f3922e94296b77%3A0x310d278c976e4ff1!2s93%20S%20Mathews%20St%2C%20Roberta%2C%20GA%2031078!5e0!3m2!1sen!2sus!4v1671520074647!5m2!1sen!2sus" width="600" height="450" style="border:0;" allowfullscreen="" loading="lazy" referrerpolicy="no-referrer-when-downgrade"&gt;&lt;/iframe&gt;</t>
  </si>
  <si>
    <t>&lt;iframe src="https://www.google.com/maps/embed?pb=!1m18!1m12!1m3!1d101773.72454743943!2d-86.32040732559672!3d32.377699742625374!2m3!1f0!2f0!3f0!3m2!1i1024!2i768!4f13.1!3m3!1m2!1s0x888e8160041b4467%3A0xeeaa2e76b61516ba!2sAlabama%20Department%20of%20Archives%20%26%20History!5e0!3m2!1sen!2sus!4v1671520133515!5m2!1sen!2sus" width="600" height="450" style="border:0;" allowfullscreen="" loading="lazy" referrerpolicy="no-referrer-when-downgrade"&gt;&lt;/iframe&gt;</t>
  </si>
  <si>
    <t>&lt;iframe src="https://www.google.com/maps/embed?pb=!1m18!1m12!1m3!1d106858.13402860376!2d-87.67222076793924!3d41.78535836713515!2m3!1f0!2f0!3f0!3m2!1i1024!2i768!4f13.1!3m3!1m2!1s0x880e2916fd81ab11%3A0xfa4bcef9eec30285!2sIda%20Noyes%20Hall!5e0!3m2!1sen!2sus!4v1671520161104!5m2!1sen!2sus" width="600" height="450" style="border:0;" allowfullscreen="" loading="lazy" referrerpolicy="no-referrer-when-downgrade"&gt;&lt;/iframe&gt;</t>
  </si>
  <si>
    <t>&lt;iframe src="https://www.google.com/maps/embed?pb=!1m14!1m8!1m3!1d83467.05838112328!2d-84.34232923354406!3d33.73223825303166!3m2!1i1024!2i768!4f13.1!3m3!1m2!1s0x88f5aa1110c117d1%3A0xa64c2f31c7044b5c!2s3965%20Glenwood%20Rd%2C%20Decatur%2C%20GA%2030032!5e0!3m2!1sen!2sus!4v1671520200172!5m2!1sen!2sus" width="600" height="450" style="border:0;" allowfullscreen="" loading="lazy" referrerpolicy="no-referrer-when-downgrade"&gt;&lt;/iframe&gt;</t>
  </si>
  <si>
    <t>&lt;iframe src="https://www.google.com/maps/embed?pb=!1m14!1m8!1m3!1d64659.567570354775!2d-81.95601644688378!3d34.95969121224217!3m2!1i1024!2i768!4f13.1!3m3!1m2!1s0x885775f1f0590a7f%3A0xd84cacbb311202f0!2sSecond%20Presbyterian%20Church!5e0!3m2!1sen!2sus!4v1671520513819!5m2!1sen!2sus" width="600" height="450" style="border:0;" allowfullscreen="" loading="lazy" referrerpolicy="no-referrer-when-downgrade"&gt;&lt;/iframe&gt;</t>
  </si>
  <si>
    <t>&lt;iframe src="https://www.google.com/maps/embed?pb=!1m18!1m12!1m3!1d65238.47733185803!2d-85.85670562027754!3d34.21911520067488!2m3!1f0!2f0!3f0!3m2!1i1024!2i768!4f13.1!3m3!1m2!1s0x888a6dd2c045adcd%3A0xbe84d9b846871fe0!2sPine%20Grove%20Church!5e0!3m2!1sen!2sus!4v1671520544733!5m2!1sen!2sus" width="600" height="450" style="border:0;" allowfullscreen="" loading="lazy" referrerpolicy="no-referrer-when-downgrade"&gt;&lt;/iframe&gt;</t>
  </si>
  <si>
    <t>&lt;iframe src="https://www.google.com/maps/embed?pb=!1m18!1m12!1m3!1d227047.55324750283!2d-87.0070417254037!3d32.93765551655518!2m3!1f0!2f0!3f0!3m2!1i1024!2i768!4f13.1!3m3!1m2!1s0x888f2ea699e7e0c7%3A0x7039bb3fddac1f6e!2sAntioch%20Baptist%20Church!5e0!3m2!1sen!2sus!4v1671520604719!5m2!1sen!2sus" width="600" height="450" style="border:0;" allowfullscreen="" loading="lazy" referrerpolicy="no-referrer-when-downgrade"&gt;&lt;/iframe&gt;</t>
  </si>
  <si>
    <t>&lt;iframe src="https://www.google.com/maps/embed?pb=!1m14!1m8!1m3!1d119211.81270143657!2d-85.15947692428641!3d33.710838759379484!3m2!1i1024!2i768!4f13.1!3m3!1m2!1s0x888b275e26fd65b7%3A0x9193d62821b61c47!2sHolly%20Springs%20Primitive%20Baptist%20Church!5e0!3m2!1sen!2sus!4v1671520671250!5m2!1sen!2sus" width="600" height="450" style="border:0;" allowfullscreen="" loading="lazy" referrerpolicy="no-referrer-when-downgrade"&gt;&lt;/iframe&gt;</t>
  </si>
  <si>
    <t>&lt;iframe src="https://www.google.com/maps/embed?pb=!1m14!1m8!1m3!1d86077.15476576464!2d-85.0486444609885!3d33.56776008024995!3m2!1i1024!2i768!4f13.1!3m3!1m2!1s0x888b2d1e827b121f%3A0x159a79234be7b7c!2s272%20Hutcheson%20Ferry%20Rd%2C%20Whitesburg%2C%20GA%2030185!5e0!3m2!1sen!2sus!4v1671520789726!5m2!1sen!2sus" width="600" height="450" style="border:0;" allowfullscreen="" loading="lazy" referrerpolicy="no-referrer-when-downgrade"&gt;&lt;/iframe&gt;</t>
  </si>
  <si>
    <t>&lt;iframe src="https://www.google.com/maps/embed?pb=!1m14!1m8!1m3!1d87362.5735434459!2d-82.29697993515997!3d34.75464545327848!3m2!1i1024!2i768!4f13.1!3m3!1m2!1s0x885826989e2b9447%3A0x13dcebc9eae8bdb2!2sThe%20Church%20of%20Greenville!5e0!3m2!1sen!2sus!4v1671520826660!5m2!1sen!2sus" width="600" height="450" style="border:0;" allowfullscreen="" loading="lazy" referrerpolicy="no-referrer-when-downgrade"&gt;&lt;/iframe&gt;</t>
  </si>
  <si>
    <t>&lt;iframe src="https://www.google.com/maps/embed?pb=!1m14!1m8!1m3!1d96506.88880339802!2d-85.27274836170498!3d33.66721780027601!3m2!1i1024!2i768!4f13.1!3m3!1m2!1s0x0%3A0x70090fb97f5929aa!2sShiloh%20Church!5e0!3m2!1sen!2sus!4v1671521043036!5m2!1sen!2sus" width="600" height="450" style="border:0;" allowfullscreen="" loading="lazy" referrerpolicy="no-referrer-when-downgrade"&gt;&lt;/iframe&gt;</t>
  </si>
  <si>
    <t>&lt;iframe src="https://www.google.com/maps/embed?pb=!1m18!1m12!1m3!1d67630.71590955427!2d-86.80428454303853!3d33.61138653767125!2m3!1f0!2f0!3f0!3m2!1i1024!2i768!4f13.1!3m3!1m2!1s0x888904edbb511197%3A0x216a6136516f1fe5!2sFultondale%20Friendship%20Hall!5e0!3m2!1sen!2sus!4v1671521073596!5m2!1sen!2sus" width="600" height="450" style="border:0;" allowfullscreen="" loading="lazy" referrerpolicy="no-referrer-when-downgrade"&gt;&lt;/iframe&gt;</t>
  </si>
  <si>
    <t>&lt;iframe src="https://www.google.com/maps/embed?pb=!1m14!1m8!1m3!1d137183.31252927825!2d-91.38790853670157!3d39.23644042644864!3m2!1i1024!2i768!4f13.1!3m3!1m2!1s0x87dc2d3bd0f9a9c5%3A0x587e7bb0abbbe0c1!2sSiloam%20Church!5e0!3m2!1sen!2sus!4v1671521195726!5m2!1sen!2sus" width="600" height="450" style="border:0;" allowfullscreen="" loading="lazy" referrerpolicy="no-referrer-when-downgrade"&gt;&lt;/iframe&gt;</t>
  </si>
  <si>
    <t>&lt;iframe src="https://www.google.com/maps/embed?pb=!1m14!1m8!1m3!1d96440.59037585225!2d-87.06034214193575!3d33.72626487252752!3m2!1i1024!2i768!4f13.1!3m3!1m2!1s0x8888f8ed2b6b90bf%3A0xe36af1df6be972b4!2sLiberty%20Church!5e0!3m2!1sen!2sus!4v1671521320270!5m2!1sen!2sus" width="600" height="450" style="border:0;" allowfullscreen="" loading="lazy" referrerpolicy="no-referrer-when-downgrade"&gt;&lt;/iframe&gt;</t>
  </si>
  <si>
    <t>&lt;iframe src="https://www.google.com/maps/embed?pb=!1m18!1m12!1m3!1d46334.472698698024!2d-85.7413696102467!3d34.655018298469386!2m3!1f0!2f0!3f0!3m2!1i1024!2i768!4f13.1!3m3!1m2!1s0x8861cf835856b6f7%3A0x7de4110f0866a5f!2sLiberty%20Baptist%20Church!5e0!3m2!1sen!2sus!4v1671521347256!5m2!1sen!2sus" width="600" height="450" style="border:0;" allowfullscreen="" loading="lazy" referrerpolicy="no-referrer-when-downgrade"&gt;&lt;/iframe&gt;</t>
  </si>
  <si>
    <t>&lt;iframe src="https://www.google.com/maps/embed?pb=!1m18!1m12!1m3!1d402149.3985394167!2d-97.45476829224017!3d29.884683788489344!2m3!1f0!2f0!3f0!3m2!1i1024!2i768!4f13.1!3m3!1m2!1s0x86435bfd910e62b9%3A0xa7a707500f099da8!2sBethel%20Primitive%20Baptist%20Church!5e0!3m2!1sen!2sus!4v1671521409314!5m2!1sen!2sus" width="600" height="450" style="border:0;" allowfullscreen="" loading="lazy" referrerpolicy="no-referrer-when-downgrade"&gt;&lt;/iframe&gt;</t>
  </si>
  <si>
    <t>&lt;iframe src="https://www.google.com/maps/embed?pb=!1m18!1m12!1m3!1d104980.90753481706!2d-85.71251971285548!3d34.68869716669432!2m3!1f0!2f0!3f0!3m2!1i1024!2i768!4f13.1!3m3!1m2!1s0x8861cbf0a95fbfe9%3A0xfdd2b1f19cc4902e!2sFuller%20Cemetery!5e0!3m2!1sen!2sus!4v1671521527638!5m2!1sen!2sus" width="600" height="450" style="border:0;" allowfullscreen="" loading="lazy" referrerpolicy="no-referrer-when-downgrade"&gt;&lt;/iframe&gt;</t>
  </si>
  <si>
    <t>&lt;iframe src="https://www.google.com/maps/embed?pb=!1m18!1m12!1m3!1d288996.75734340434!2d-83.21102124769011!3d35.32914837568359!2m3!1f0!2f0!3f0!3m2!1i1024!2i768!4f13.1!3m3!1m2!1s0x88591414cc415beb%3A0x3e36bde0147e977a!2sWestern%20Carolina%20University!5e0!3m2!1sen!2sus!4v1671521589876!5m2!1sen!2sus" width="600" height="450" style="border:0;" allowfullscreen="" loading="lazy" referrerpolicy="no-referrer-when-downgrade"&gt;&lt;/iframe&gt;</t>
  </si>
  <si>
    <t>&lt;iframe src="https://www.google.com/maps/embed?pb=!1m18!1m12!1m3!1d52988.75107316082!2d-71.12868108126668!3d42.31104570029682!2m3!1f0!2f0!3f0!3m2!1i1024!2i768!4f13.1!3m3!1m2!1s0x89e3796c0dd6df57%3A0x74ff58f2ba5d447b!2sFirst%20Church%20In%20Jamaica%20Plain!5e0!3m2!1sen!2sus!4v1671523336834!5m2!1sen!2sus" width="600" height="450" style="border:0;" allowfullscreen="" loading="lazy" referrerpolicy="no-referrer-when-downgrade"&gt;&lt;/iframe&gt;</t>
  </si>
  <si>
    <t>&lt;iframe src="https://www.google.com/maps/embed?pb=!1m14!1m8!1m3!1d176744.43795487648!2d-85.71849116330117!3d33.78851894764667!3m2!1i1024!2i768!4f13.1!3m3!1m2!1s0x888aff5fe64e09fb%3A0x1beea6e70d895c07!2sShoal%20Creek%20Baptist%20Church!5e0!3m2!1sen!2sus!4v1671554529013!5m2!1sen!2sus" width="600" height="450" style="border:0;" allowfullscreen="" loading="lazy" referrerpolicy="no-referrer-when-downgrade"&gt;&lt;/iframe&gt;</t>
  </si>
  <si>
    <t>OH</t>
  </si>
  <si>
    <t>Cincinnati</t>
  </si>
  <si>
    <t>UK</t>
  </si>
  <si>
    <t>https://www.google.com/maps/place/Holy+Trinity+Church,+Mapperley/@52.9654616,-1.3999022,11.79z/data=!4m5!3m4!1s0x4879edb32d701d21:0xa20f0fa0a903bb7e!8m2!3d52.9818722!4d-1.353661?hl=en||Holy Trinity Church, Mapperley - 28 Church Ln, Mapperley, Ilkeston DE7 6BS, United Kingdom</t>
  </si>
  <si>
    <t>&lt;iframe src="https://www.google.com/maps/embed?pb=!1m18!1m12!1m3!1d143781.6612674934!2d-1.4546044430222838!3d52.962768605896194!2m3!1f0!2f0!3f0!3m2!1i1024!2i768!4f13.1!3m3!1m2!1s0x4879edb32d701d21%3A0xa20f0fa0a903bb7e!2sHoly%20Trinity%20Church%2C%20Mapperley!5e0!3m2!1sen!2sus!4v1671587565193!5m2!1sen!2sus" width="600" height="450" style="border:0;" allowfullscreen="" loading="lazy" referrerpolicy="no-referrer-when-downgrade"&gt;&lt;/iframe&gt;</t>
  </si>
  <si>
    <t>UK New Year's Day Singing</t>
  </si>
  <si>
    <t>New Year's Day Georgian Harmony Singing</t>
  </si>
  <si>
    <t>https://www.google.com/maps/place/Unitarian+Universalist+Church+of+Palo+Alto/@37.4257727,-122.1317867,13.88z/data=!4m5!3m4!1s0x808fba6e9c00b17b:0xafecca4eeae694a9!8m2!3d37.4193023!4d-122.1122365?hl=en||Unitarian Universalist Church of Palo Alto, 505 E Charleston Rd, Palo Alto, CA 94306</t>
  </si>
  <si>
    <t>&lt;iframe src="https://www.google.com/maps/embed?pb=!1m18!1m12!1m3!1d496551.65900082514!2d-122.20784279962358!3d37.40797308445707!2m3!1f0!2f0!3f0!3m2!1i1024!2i768!4f13.1!3m3!1m2!1s0x808fba6e9c00b17b%3A0xafecca4eeae694a9!2sUnitarian%20Universalist%20Church%20of%20Palo%20Alto!5e0!3m2!1sen!2sus!4v1671588113752!5m2!1sen!2sus" width="600" height="450" style="border:0;" allowfullscreen="" loading="lazy" referrerpolicy="no-referrer-when-downgrade"&gt;&lt;/iframe&gt;</t>
  </si>
  <si>
    <t>CA</t>
  </si>
  <si>
    <t>Palo Alto</t>
  </si>
  <si>
    <t>Shady Grove Singing</t>
  </si>
  <si>
    <t>Jan, 1st Sun</t>
  </si>
  <si>
    <t>Bremen</t>
  </si>
  <si>
    <t>Chicago Anniversary Singing</t>
  </si>
  <si>
    <t>Jan, 2nd Sun</t>
  </si>
  <si>
    <t>https://www.google.com/maps/place/Kilbourn+Park/@41.9116102,-87.8388311,11.79z/data=!4m5!3m4!1s0x880fcc5305aaecc9:0x762a1d9896e0c07f!8m2!3d41.9440637!4d-87.7389881||Kilbourn Park fieldhouse, 3501 N Kilbourn, Chicago</t>
  </si>
  <si>
    <t>&lt;iframe src="https://www.google.com/maps/embed?pb=!1m18!1m12!1m3!1d139596.65972962073!2d-87.86380173919193!3d41.932572131651284!2m3!1f0!2f0!3f0!3m2!1i1024!2i768!4f13.1!3m3!1m2!1s0x880fcc5305aaecc9%3A0x762a1d9896e0c07f!2sKilbourn%20Park!5e0!3m2!1sen!2sus!4v1671589110169!5m2!1sen!2sus" width="600" height="450" style="border:0;" allowfullscreen="" loading="lazy" referrerpolicy="no-referrer-when-downgrade"&gt;&lt;/iframe&gt;</t>
  </si>
  <si>
    <t>Boldo</t>
  </si>
  <si>
    <t>Jan, Sat before 2nd Sun</t>
  </si>
  <si>
    <t>Lillian Calvert and Irene Woodley Memorial</t>
  </si>
  <si>
    <t>Uncle Jack Kerr and Henry Kerr Memorial</t>
  </si>
  <si>
    <t xml:space="preserve">https://www.google.com/maps/place/Campground+United+Methodist+Church/@33.7599738,-85.4596174,13.18z/data=!4m5!3m4!1s0x888ae316de1b6987:0x45c8f7199bfd967a!8m2!3d33.7703346!4d-85.4130787||Camp Ground Methodist Church, 24581 County Road 49, Muscadine AL </t>
  </si>
  <si>
    <t>&lt;iframe src="https://www.google.com/maps/embed?pb=!1m18!1m12!1m3!1d75777.58950075599!2d-85.49327961994881!3d33.76472854695567!2m3!1f0!2f0!3f0!3m2!1i1024!2i768!4f13.1!3m3!1m2!1s0x888ae316de1b6987%3A0x45c8f7199bfd967a!2sCampground%20United%20Methodist%20Church!5e0!3m2!1sen!2sus!4v1671590058977!5m2!1sen!2sus" width="600" height="450" style="border:0;" allowfullscreen="" loading="lazy" referrerpolicy="no-referrer-when-downgrade"&gt;&lt;/iframe&gt;</t>
  </si>
  <si>
    <t>Muscadine</t>
  </si>
  <si>
    <t>Helms-Bayne Memorial</t>
  </si>
  <si>
    <t>Ozark</t>
  </si>
  <si>
    <t>https://www.google.com/maps/place/Pleasant+Grove+Primitive+Baptist+Church/@31.4621898,-85.6468686,13.53z/data=!4m5!3m4!1s0x88927dde6707a459:0xeadd7bdf39843a5f!8m2!3d31.4580957!4d-85.6250643||Pleasant Grove PBC, 1201 Eufaula St, Ozark, AL 36360</t>
  </si>
  <si>
    <t>&lt;iframe src="https://www.google.com/maps/embed?pb=!1m18!1m12!1m3!1d329427.2100847132!2d-85.76240636948108!3d31.48301671476493!2m3!1f0!2f0!3f0!3m2!1i1024!2i768!4f13.1!3m3!1m2!1s0x88927dde6707a459%3A0xeadd7bdf39843a5f!2sPleasant%20Grove%20Primitive%20Baptist%20Church!5e0!3m2!1sen!2sus!4v1671590388139!5m2!1sen!2sus" width="600" height="450" style="border:0;" allowfullscreen="" loading="lazy" referrerpolicy="no-referrer-when-downgrade"&gt;&lt;/iframe&gt;</t>
  </si>
  <si>
    <t>All-California Sacred Harp Convention</t>
  </si>
  <si>
    <t>Creel Memorial Christian Harmony Singing</t>
  </si>
  <si>
    <t>Corner</t>
  </si>
  <si>
    <t>Jan, 3rd Sun</t>
  </si>
  <si>
    <t>&lt;iframe src="https://www.google.com/maps/embed?pb=!1m18!1m12!1m3!1d252365.689242976!2d-86.97282165368031!3d33.790759436707695!2m3!1f0!2f0!3f0!3m2!1i1024!2i768!4f13.1!3m3!1m2!1s0x888855d4b22ef0c7%3A0x2b57dbe2e51c9b68!2sOld%20County%20Line%20Church!5e0!3m2!1sen!2sus!4v1671600700521!5m2!1sen!2sus" width="600" height="450" style="border:0;" allowfullscreen="" loading="lazy" referrerpolicy="no-referrer-when-downgrade"&gt;&lt;/iframe&gt;</t>
  </si>
  <si>
    <t>PA</t>
  </si>
  <si>
    <t>Keystone Convention</t>
  </si>
  <si>
    <t>Feb, Sat before 1st Sun</t>
  </si>
  <si>
    <t>Feb, 1st Sun</t>
  </si>
  <si>
    <t>Burnham and Brown Memorial</t>
  </si>
  <si>
    <t>https://www.google.com/maps/place/Wesley+Foundation/@33.8071583,-85.7930856,13.18z/data=!4m5!3m4!1s0x888a51fc0e3873fb:0x31eea10a53c342b7!8m2!3d33.8197!4d-85.7621||Wesley Foundation, 510 Pelham Rd N, Jacksonville, AL 36265</t>
  </si>
  <si>
    <t>&lt;iframe src="https://www.google.com/maps/embed?pb=!1m18!1m12!1m3!1d171724.12228864388!2d-85.84370491282951!3d33.78289778471527!2m3!1f0!2f0!3f0!3m2!1i1024!2i768!4f13.1!3m3!1m2!1s0x888a51fc0e3873fb%3A0x31eea10a53c342b7!2sWesley%20Foundation!5e0!3m2!1sen!2sus!4v1671602032113!5m2!1sen!2sus" width="600" height="450" style="border:0;" allowfullscreen="" loading="lazy" referrerpolicy="no-referrer-when-downgrade"&gt;&lt;/iframe&gt;</t>
  </si>
  <si>
    <t>Jacksonville</t>
  </si>
  <si>
    <t>Samson</t>
  </si>
  <si>
    <t>Central Music Convention</t>
  </si>
  <si>
    <t>&lt;iframe src="https://www.google.com/maps/embed?pb=!1m18!1m12!1m3!1d160629.1027262632!2d-86.18098872198767!3d31.127746088384857!2m3!1f0!2f0!3f0!3m2!1i1024!2i768!4f13.1!3m3!1m2!1s0x88923c9a0882bdd7%3A0xccc29e160fcf7153!2s654%20Traveler&amp;#39;s%20Rest%20Rd%2C%20Samson%2C%20AL%2036477!5e0!3m2!1sen!2sus!4v1671602267273!5m2!1sen!2sus" width="600" height="450" style="border:0;" allowfullscreen="" loading="lazy" referrerpolicy="no-referrer-when-downgrade"&gt;&lt;/iframe&gt;</t>
  </si>
  <si>
    <t>Feb, Sat before 2nd Sun</t>
  </si>
  <si>
    <t>Baylor University Singing</t>
  </si>
  <si>
    <t>&lt;iframe src="https://www.google.com/maps/embed?pb=!1m18!1m12!1m3!1d227788.20397904352!2d-97.00909895593581!3d31.57565413156653!2m3!1f0!2f0!3f0!3m2!1i1024!2i768!4f13.1!3m3!1m2!1s0x864f83b802bac7d9%3A0xcbcfcd26a574c059!2sGeorge%20W%20Truett%20Theological!5e0!3m2!1sen!2sus!4v1671602468134!5m2!1sen!2sus" width="600" height="450" style="border:0;" allowfullscreen="" loading="lazy" referrerpolicy="no-referrer-when-downgrade"&gt;&lt;/iframe&gt;</t>
  </si>
  <si>
    <t>Sanders Memorial</t>
  </si>
  <si>
    <t>&lt;iframe src="https://www.google.com/maps/embed?pb=!1m18!1m12!1m3!1d156159.1915241099!2d-87.01554780013973!3d33.67501308766254!2m3!1f0!2f0!3f0!3m2!1i1024!2i768!4f13.1!3m3!1m2!1s0x8888f8ed2b6b90bf%3A0xe36af1df6be972b4!2sLiberty%20Church!5e0!3m2!1sen!2sus!4v1671602852274!5m2!1sen!2sus" width="600" height="450" style="border:0;" allowfullscreen="" loading="lazy" referrerpolicy="no-referrer-when-downgrade"&gt;&lt;/iframe&gt;</t>
  </si>
  <si>
    <t>Emory University</t>
  </si>
  <si>
    <t>Feb, 2nd Sun</t>
  </si>
  <si>
    <t>Daviston</t>
  </si>
  <si>
    <t>https://www.google.com/maps/place/University+Church+of+Christ/@33.2137292,-87.5237242,15.26z/data=!4m13!1m7!3m6!1s0x8888a815079948bd:0x5cac7c0602042cda!2s1200+Julia+Tutwiler+Dr,+Tuscaloosa,+AL+35404!3b1!8m2!3d33.2141284!4d-87.5220451!3m4!1s0x8888a8151aaad683:0x96c53d289cc21a2d!8m2!3d33.2139225!4d-87.5225199||University Church of Christ, 1200 Julia Tutwiler Dr, Tuscaloosa, Alabama 35404</t>
  </si>
  <si>
    <t>Alabama Collegiate Singing</t>
  </si>
  <si>
    <t>Tuscaloosa</t>
  </si>
  <si>
    <t>&lt;iframe src="https://www.google.com/maps/embed?pb=!1m14!1m8!1m3!1d116511.17435075075!2d-87.53190506437446!3d33.193423220470194!3m2!1i1024!2i768!4f13.1!3m3!1m2!1s0x8888a8151aaad683%3A0x96c53d289cc21a2d!2sUniversity%20Church%20of%20Christ!5e0!3m2!1sen!2sus!4v1671603711125!5m2!1sen!2sus" width="600" height="450" style="border:0;" allowfullscreen="" loading="lazy" referrerpolicy="no-referrer-when-downgrade"&gt;&lt;/iframe&gt;</t>
  </si>
  <si>
    <t>Feb, 3rd Sun &amp; Sat before</t>
  </si>
  <si>
    <t>WA</t>
  </si>
  <si>
    <t>Seattle</t>
  </si>
  <si>
    <t>Pacific Northwest Convention</t>
  </si>
  <si>
    <t>Feb, Sat before 4th Sun</t>
  </si>
  <si>
    <t>South Yorkshire Singing</t>
  </si>
  <si>
    <t>Sheffield</t>
  </si>
  <si>
    <t xml:space="preserve">https://www.google.com/maps/place/Wisewood+Methodist+Church/@53.4037246,-1.5223458,13.26z/data=!4m5!3m4!1s0x487978cf4a190673:0xc29b37691a231dcd!8m2!3d53.408136!4d-1.5181602?hl=en||Wisewood Methodist Church, Ben Lane Sheffield, S6 4SB, United Kingdom </t>
  </si>
  <si>
    <t>&lt;iframe src="https://www.google.com/maps/embed?pb=!1m18!1m12!1m3!1d105612.31523972128!2d-1.5516632958858771!3d53.395261337359784!2m3!1f0!2f0!3f0!3m2!1i1024!2i768!4f13.1!3m3!1m2!1s0x487978cf4a190673%3A0xc29b37691a231dcd!2sWisewood%20Methodist%20Church!5e0!3m2!1sen!2sus!4v1671604581008!5m2!1sen!2sus" width="600" height="450" style="border:0;" allowfullscreen="" loading="lazy" referrerpolicy="no-referrer-when-downgrade"&gt;&lt;/iframe&gt;</t>
  </si>
  <si>
    <t>https://www.google.com/maps/place/Pioneer+Museum+of+Alabama/@31.8152546,-85.9775435,12.49z/data=!4m5!3m4!1s0x888debeebcc70373:0xc5759dcf2213f6b0!8m2!3d31.824607!4d-85.9960447||Pioneer Museum of Alabama, 248 US-231, Troy, AL 36081</t>
  </si>
  <si>
    <t>&lt;iframe src="https://www.google.com/maps/embed?pb=!1m18!1m12!1m3!1d125331.48532610679!2d-86.03383429393224!3d31.825845959430055!2m3!1f0!2f0!3f0!3m2!1i1024!2i768!4f13.1!3m3!1m2!1s0x888debeebcc70373%3A0xc5759dcf2213f6b0!2sPioneer%20Museum%20of%20Alabama!5e0!3m2!1sen!2sus!4v1671604759938!5m2!1sen!2sus" width="600" height="450" style="border:0;" allowfullscreen="" loading="lazy" referrerpolicy="no-referrer-when-downgrade"&gt;&lt;/iframe&gt;</t>
  </si>
  <si>
    <t>Troy</t>
  </si>
  <si>
    <t>Troy All-Day Singing</t>
  </si>
  <si>
    <t>San Antonio</t>
  </si>
  <si>
    <t>&lt;iframe src="https://www.google.com/maps/embed?pb=!1m18!1m12!1m3!1d185060.84088006176!2d-98.56204900299676!3d29.517900502601496!2m3!1f0!2f0!3f0!3m2!1i1024!2i768!4f13.1!3m3!1m2!1s0x865c6031fda197d3%3A0x1df4b3aaa4509323!2sCoker%20United%20Methodist%20Church!5e0!3m2!1sen!2sus!4v1671604945886!5m2!1sen!2sus" width="600" height="450" style="border:0;" allowfullscreen="" loading="lazy" referrerpolicy="no-referrer-when-downgrade"&gt;&lt;/iframe&gt;</t>
  </si>
  <si>
    <t>Feb, 4th Sun</t>
  </si>
  <si>
    <t>Mar, Sat before 1st Sun</t>
  </si>
  <si>
    <t>Gordo</t>
  </si>
  <si>
    <t>Elmore Center Singing</t>
  </si>
  <si>
    <t>https://www.google.com/maps/place/Center-Elmore+Memorial+Methodist+Church/@33.2877885,-87.9269328,13.18z/data=!4m5!3m4!1s0x88866db17080efb7:0xf207141697c98047!8m2!3d33.2798407!4d-87.9069629||Elmore Center United Methodist Church, 1165 County Road 21, Gordo AL</t>
  </si>
  <si>
    <t>&lt;iframe src="https://www.google.com/maps/embed?pb=!1m18!1m12!1m3!1d106722.166797058!2d-87.97395804354359!3d33.29088066877094!2m3!1f0!2f0!3f0!3m2!1i1024!2i768!4f13.1!3m3!1m2!1s0x88866db17080efb7%3A0xf207141697c98047!2sCenter-Elmore%20Memorial%20Methodist%20Church!5e0!3m2!1sen!2sus!4v1671605731141!5m2!1sen!2sus" width="600" height="450" style="border:0;" allowfullscreen="" loading="lazy" referrerpolicy="no-referrer-when-downgrade"&gt;&lt;/iframe&gt;</t>
  </si>
  <si>
    <t>Arie and Mona Galloway Memorial</t>
  </si>
  <si>
    <t>Ohio State Convention</t>
  </si>
  <si>
    <t>Mar, 1st Sun &amp; Sat before</t>
  </si>
  <si>
    <t>https://www.google.com/maps/place/Pullen+Memorial+Baptist+Church/@35.7898571,-78.7253512,12.49z/data=!4m5!3m4!1s0x89acf58bd806470f:0xc4fa5d8a2d13ff5!8m2!3d35.7847489!4d-78.6611518?hl=en||Pullen Memorial Baptist Chapel, 1801 Hillsborough St., Raleigh, NC 27605</t>
  </si>
  <si>
    <t>&lt;iframe src="https://www.google.com/maps/embed?pb=!1m18!1m12!1m3!1d73940.00712162381!2d-78.7253512047067!3d35.78985705840375!2m3!1f0!2f0!3f0!3m2!1i1024!2i768!4f13.1!3m3!1m2!1s0x89acf58bd806470f%3A0xc4fa5d8a2d13ff5!2sPullen%20Memorial%20Baptist%20Church!5e0!3m2!1sen!2sus!4v1671606198041!5m2!1sen!2sus" width="600" height="450" style="border:0;" allowfullscreen="" loading="lazy" referrerpolicy="no-referrer-when-downgrade"&gt;&lt;/iframe&gt;</t>
  </si>
  <si>
    <t>Raleigh</t>
  </si>
  <si>
    <t>Ephesus</t>
  </si>
  <si>
    <t>Mar, 1st Sun</t>
  </si>
  <si>
    <t>Rogers Memorial</t>
  </si>
  <si>
    <t>https://www.google.com/maps/place/Ephesus+Elementary+School/@33.419268,-85.2935238,11.57z/data=!4m5!3m4!1s0x888b3e3e80d2fc59:0xeacca7a0960ea9bf!8m2!3d33.4057275!4d-85.2529945||Ephesus School, 24414 GA-100, Roopville, GA 30170</t>
  </si>
  <si>
    <t>&lt;iframe src="https://www.google.com/maps/embed?pb=!1m18!1m12!1m3!1d143623.05392271755!2d-85.2935237677996!3d33.41926797934343!2m3!1f0!2f0!3f0!3m2!1i1024!2i768!4f13.1!3m3!1m2!1s0x888b3e3e80d2fc59%3A0xeacca7a0960ea9bf!2sEphesus%20Elementary%20School!5e0!3m2!1sen!2sus!4v1671606425774!5m2!1sen!2sus" width="600" height="450" style="border:0;" allowfullscreen="" loading="lazy" referrerpolicy="no-referrer-when-downgrade"&gt;&lt;/iframe&gt;</t>
  </si>
  <si>
    <t>Texas State Convention</t>
  </si>
  <si>
    <t>Opp</t>
  </si>
  <si>
    <t>Mar, Sat before 2nd Sun</t>
  </si>
  <si>
    <t>John Etheridge Singing</t>
  </si>
  <si>
    <t>https://www.google.com/maps/place/Valley+Grove+Church/@31.383326,-86.3287595,12.14z/data=!4m5!3m4!1s0x8891f7f8638c3039:0x6c3a664a76d16962!8m2!3d31.3905512!4d-86.2643986||Valley Grove Primitive Baptist Church, 27952 US-331, Opp, AL 36467</t>
  </si>
  <si>
    <t>&lt;iframe src="https://www.google.com/maps/embed?pb=!1m18!1m12!1m3!1d259241.7028422213!2d-86.42854168329396!3d31.381628125403758!2m3!1f0!2f0!3f0!3m2!1i1024!2i768!4f13.1!3m3!1m2!1s0x8891f7f8638c3039%3A0x6c3a664a76d16962!2sValley%20Grove%20Church!5e0!3m2!1sen!2sus!4v1671635620115!5m2!1sen!2sus" width="600" height="450" style="border:0;" allowfullscreen="" loading="lazy" referrerpolicy="no-referrer-when-downgrade"&gt;&lt;/iframe&gt;</t>
  </si>
  <si>
    <t>Sussex Shape Note Singing</t>
  </si>
  <si>
    <t>https://www.google.com/maps/place/Staplefield+Village+Hall/@51.0281719,-0.2474615,11.1z/data=!4m5!3m4!1s0x4875f29ecbfc80e7:0xa9e932ccd851f29f!8m2!3d51.036777!4d-0.179214||Staplefield Village Hall, Cuckfield Rd, Staplefield, Haywards Heath RH17 6ET, United Kingdom</t>
  </si>
  <si>
    <t>Crawley</t>
  </si>
  <si>
    <t>&lt;iframe src="https://www.google.com/maps/embed?pb=!1m18!1m12!1m3!1d150132.31913794926!2d-0.24746153349696207!3d51.0281719097364!2m3!1f0!2f0!3f0!3m2!1i1024!2i768!4f13.1!3m3!1m2!1s0x4875f29ecbfc80e7%3A0xa9e932ccd851f29f!2sStaplefield%20Village%20Hall!5e0!3m2!1sen!2sus!4v1671635935457!5m2!1sen!2sus" width="600" height="450" style="border:0;" allowfullscreen="" loading="lazy" referrerpolicy="no-referrer-when-downgrade"&gt;&lt;/iframe&gt;</t>
  </si>
  <si>
    <t>Mar, 2nd Sun &amp; Sat before</t>
  </si>
  <si>
    <t>Missouri State Convention</t>
  </si>
  <si>
    <t>Western Massachusetts Sacred Harp Convention</t>
  </si>
  <si>
    <t>Northampton</t>
  </si>
  <si>
    <t>Andalusia</t>
  </si>
  <si>
    <t>Mar, 2nd Sun</t>
  </si>
  <si>
    <t>Enon Singing</t>
  </si>
  <si>
    <t>https://www.google.com/maps/search/Enon+Baptist+Church,+Andalusia,+Alabama/@31.2182549,-86.456623,11.53z||31.171289157952558, -86.39219295290548, Enon Baptist Church, Cravey Bridge Rd, Andalusia AL</t>
  </si>
  <si>
    <t>&lt;iframe src="https://www.google.com/maps/embed?pb=!1m18!1m12!1m3!1d126119.95570708891!2d-86.4164092396546!3d31.240249186051873!2m3!1f0!2f0!3f0!3m2!1i1024!2i768!4f13.1!3m3!1m2!1s0x88918d0946831157%3A0x5cd6c02aeebe8bf6!2sEnon%20Baptist%20Church!5e0!3m2!1sen!2sus!4v1671636943606!5m2!1sen!2sus" width="600" height="450" style="border:0;" allowfullscreen="" loading="lazy" referrerpolicy="no-referrer-when-downgrade"&gt;&lt;/iframe&gt;</t>
  </si>
  <si>
    <t>MS</t>
  </si>
  <si>
    <t>Oxford</t>
  </si>
  <si>
    <t>Oxford Singing</t>
  </si>
  <si>
    <t>Hoboken</t>
  </si>
  <si>
    <t>Stephenson, Wall and Hocutt Memorial Singing</t>
  </si>
  <si>
    <t>Double Springs</t>
  </si>
  <si>
    <t>Mar, 3rd Sun</t>
  </si>
  <si>
    <t>Godsey Sisters and Sandra Spradlin Memorial</t>
  </si>
  <si>
    <t>Bloomington</t>
  </si>
  <si>
    <t>Mar, Sat before 4th Sun</t>
  </si>
  <si>
    <t>MI</t>
  </si>
  <si>
    <t>https://www.google.com/maps/place/Cross+Roads+Presbyterian+Church/@40.4080158,-79.8267179,11.44z/data=!4m5!3m4!1s0x8834e9eff0e2a84f:0x3b0f76a07954ac24!8m2!3d40.4116035!4d-79.7522848||Crossroads Presbyterian Church, 2310 Haymaker Road, Monroeville, Pennsylvania 15146</t>
  </si>
  <si>
    <t>&lt;iframe src="https://www.google.com/maps/embed?pb=!1m18!1m12!1m3!1d142883.4601878913!2d-79.82671787642023!3d40.40801575143186!2m3!1f0!2f0!3f0!3m2!1i1024!2i768!4f13.1!3m3!1m2!1s0x8834e9eff0e2a84f%3A0x3b0f76a07954ac24!2sCross%20Roads%20Presbyterian%20Church!5e0!3m2!1sen!2sus!4v1671662118808!5m2!1sen!2sus" width="600" height="450" style="border:0;" allowfullscreen="" loading="lazy" referrerpolicy="no-referrer-when-downgrade"&gt;&lt;/iframe&gt;</t>
  </si>
  <si>
    <t>Monroeville</t>
  </si>
  <si>
    <t>VT</t>
  </si>
  <si>
    <t>Vermont All-Day Singing</t>
  </si>
  <si>
    <t>Jun, Sat before 3rd Sun</t>
  </si>
  <si>
    <t>Mar, 4th Sun &amp; Sat before</t>
  </si>
  <si>
    <t>Georgia State Convention</t>
  </si>
  <si>
    <t>Bonifay</t>
  </si>
  <si>
    <t>Jones Memorial Singing</t>
  </si>
  <si>
    <t>&lt;iframe src="https://www.google.com/maps/embed?pb=!1m18!1m12!1m3!1d100057.46368209532!2d-86.20761210938649!3d31.281751505204717!2m3!1f0!2f0!3f0!3m2!1i1024!2i768!4f13.1!3m3!1m2!1s0x88921e0af8d82129%3A0xdfdd5abb14501b2c!2sCool%20Springs%20Church!5e0!3m2!1sen!2sus!4v1671667076069!5m2!1sen!2sus" width="600" height="450" style="border:0;" allowfullscreen="" loading="lazy" referrerpolicy="no-referrer-when-downgrade"&gt;&lt;/iframe&gt;</t>
  </si>
  <si>
    <t>Harpeth Valley-Priestley Miller Memorial</t>
  </si>
  <si>
    <t>TN</t>
  </si>
  <si>
    <t>Nashville</t>
  </si>
  <si>
    <t xml:space="preserve">https://www.google.com/maps/place/Radnor+Primitive+Baptist+Church/@36.0557023,-86.726827,17z/data=!3m1!4b1!4m5!3m4!1s0x88646fe882b6e08b:0x86912973c84e1ba7!8m2!3d36.0556895!4d-86.7245985||Radnor Primitive Baptist Church, 503 Brewer Drive, Nashville </t>
  </si>
  <si>
    <t>&lt;iframe src="https://www.google.com/maps/embed?pb=!1m18!1m12!1m3!1d107444.00086593653!2d-86.77045524330751!3d36.074893944146496!2m3!1f0!2f0!3f0!3m2!1i1024!2i768!4f13.1!3m3!1m2!1s0x88646fe882b6e08b%3A0x86912973c84e1ba7!2sRadnor%20Primitive%20Baptist%20Church!5e0!3m2!1sen!2sus!4v1671670370553!5m2!1sen!2sus" width="600" height="450" style="border:0;" allowfullscreen="" loading="lazy" referrerpolicy="no-referrer-when-downgrade"&gt;&lt;/iframe&gt;</t>
  </si>
  <si>
    <t>IA</t>
  </si>
  <si>
    <t>Des Moines</t>
  </si>
  <si>
    <t>Brighton</t>
  </si>
  <si>
    <t xml:space="preserve">https://www.google.com/maps/place/Exeter+Street+Hall/@50.8013436,-0.2061353,11.1z/data=!4m5!3m4!1s0x4875856553cde945:0x736a29a7db0329d9!8m2!3d50.8356091!4d-0.1492884||Exeter Street Hall, 16-17 Exeter St Brighton, BN1 5PG, United Kingdom </t>
  </si>
  <si>
    <t>&lt;iframe src="https://www.google.com/maps/embed?pb=!1m18!1m12!1m3!1d466404.7944293992!2d-0.23385974172877178!3d50.799015632995!2m3!1f0!2f0!3f0!3m2!1i1024!2i768!4f13.1!3m3!1m2!1s0x4875856553cde945%3A0x736a29a7db0329d9!2sExeter%20Street%20Hall!5e0!3m2!1sen!2sus!4v1671670719228!5m2!1sen!2sus" width="600" height="450" style="border:0;" allowfullscreen="" loading="lazy" referrerpolicy="no-referrer-when-downgrade"&gt;&lt;/iframe&gt;</t>
  </si>
  <si>
    <t>Brighton Sacred Harp Singing Day</t>
  </si>
  <si>
    <t>Sweetwater All-Day Singing</t>
  </si>
  <si>
    <t>Micanopy</t>
  </si>
  <si>
    <t>https://www.google.com/maps/place/Church+of+the+Mediator+Episcopal+Church/@29.5305304,-82.3791005,11.1z/data=!4m5!3m4!1s0x88e89eebe206c2bb:0xd0437a584f0deeae!8m2!3d29.5066991!4d-82.2792677||Church of the Mediator, 401 NE Cholokka Blvd., Micanopy, Florida</t>
  </si>
  <si>
    <t>&lt;iframe src="https://www.google.com/maps/embed?pb=!1m18!1m12!1m3!1d207697.84319781535!2d-82.37910045096957!3d29.530530371403785!2m3!1f0!2f0!3f0!3m2!1i1024!2i768!4f13.1!3m3!1m2!1s0x88e89eebe206c2bb%3A0xd0437a584f0deeae!2sChurch%20of%20the%20Mediator%20Episcopal%20Church!5e0!3m2!1sen!2sus!4v1671670813039!5m2!1sen!2sus" width="600" height="450" style="border:0;" allowfullscreen="" loading="lazy" referrerpolicy="no-referrer-when-downgrade"&gt;&lt;/iframe&gt;</t>
  </si>
  <si>
    <t>Hugh Bill McGuire Memorial</t>
  </si>
  <si>
    <t>Potomac River Convention</t>
  </si>
  <si>
    <t>Bruce</t>
  </si>
  <si>
    <t>Apr, Sat before 1st Sun</t>
  </si>
  <si>
    <t>VA</t>
  </si>
  <si>
    <t>Arlington</t>
  </si>
  <si>
    <t>Apr, 1st Sun</t>
  </si>
  <si>
    <t>Edwardsville Baptist Church Singing</t>
  </si>
  <si>
    <t>https://www.google.com/maps/place/Edwardsville+Baptist+Church/@33.6976831,-85.5288428,12.49z/data=!4m5!3m4!1s0x888b03ce75b15f0b:0x1e21a9478c1d45d6!8m2!3d33.7064766!4d-85.5088489||Edwardsville Baptist Church, 4062 Burton St, Heflin, AL 36264</t>
  </si>
  <si>
    <t>&lt;iframe src="https://www.google.com/maps/embed?pb=!1m18!1m12!1m3!1d75836.81943332656!2d-85.52884277905943!3d33.697683116409436!2m3!1f0!2f0!3f0!3m2!1i1024!2i768!4f13.1!3m3!1m2!1s0x888b03ce75b15f0b%3A0x1e21a9478c1d45d6!2sEdwardsville%20Baptist%20Church!5e0!3m2!1sen!2sus!4v1671671250866!5m2!1sen!2sus" width="600" height="450" style="border:0;" allowfullscreen="" loading="lazy" referrerpolicy="no-referrer-when-downgrade"&gt;&lt;/iframe&gt;</t>
  </si>
  <si>
    <t>Edwardsville</t>
  </si>
  <si>
    <t>Elder Homer Benefield, Katherine Benefield, and Mildred Johnson Memorial</t>
  </si>
  <si>
    <t>https://www.google.com/maps/place/Seabold+Hall/@47.6778239,-122.6113156,11.79z/data=!4m13!1m7!3m6!1s0x54903ce72e6c3453:0x3d1c9c1c60983722!2s14450+Komedal+Rd+NE,+Bainbridge+Island,+WA+98110!3b1!8m2!3d47.693996!4d-122.5580989!3m4!1s0x54903ce725b0fca5:0x24f130fa0087d38d!8m2!3d47.693751!4d-122.5583807||Seabold Hall, 14450 Komedal Rd NE, Bainbridge Island, WA 98110</t>
  </si>
  <si>
    <t>&lt;iframe src="https://www.google.com/maps/embed?pb=!1m18!1m12!1m3!1d99317.41773674724!2d-122.6113155974594!3d47.67782388407751!2m3!1f0!2f0!3f0!3m2!1i1024!2i768!4f13.1!3m3!1m2!1s0x54903ce725b0fca5%3A0x24f130fa0087d38d!2sSeabold%20Hall!5e0!3m2!1sen!2sus!4v1671671534575!5m2!1sen!2sus" width="600" height="450" style="border:0;" allowfullscreen="" loading="lazy" referrerpolicy="no-referrer-when-downgrade"&gt;&lt;/iframe&gt;</t>
  </si>
  <si>
    <t>Apr, Sat before 2nd Sun</t>
  </si>
  <si>
    <t>Bainbridge Island</t>
  </si>
  <si>
    <t>Bainbridge Island All-Day Singing</t>
  </si>
  <si>
    <t>State Line Church Singing</t>
  </si>
  <si>
    <t>Barfield Memorial</t>
  </si>
  <si>
    <t>Palm Sunday Singing</t>
  </si>
  <si>
    <t>Easter</t>
  </si>
  <si>
    <t>Antioch Baptist Church Singing</t>
  </si>
  <si>
    <t>Apr, 2nd Sun</t>
  </si>
  <si>
    <t>https://www.google.com/maps/place/Antioch+Church/@34.7489308,-85.639078,14.25z/data=!4m5!3m4!1s0x8861cae5fc405981:0x6cd6f5f4160f73d9!8m2!3d34.7505968!4d-85.6282949||Antioch Baptist Church, 844 Co Rd 783, Ider, AL 35981</t>
  </si>
  <si>
    <t>&lt;iframe src="https://www.google.com/maps/embed?pb=!1m18!1m12!1m3!1d45405.41764140655!2d-85.64967127316092!3d34.737833513393056!2m3!1f0!2f0!3f0!3m2!1i1024!2i768!4f13.1!3m3!1m2!1s0x8861cae5fc405981%3A0x6cd6f5f4160f73d9!2sAntioch%20Church!5e0!3m2!1sen!2sus!4v1671675003387!5m2!1sen!2sus" width="600" height="450" style="border:0;" allowfullscreen="" loading="lazy" referrerpolicy="no-referrer-when-downgrade"&gt;&lt;/iframe&gt;</t>
  </si>
  <si>
    <t>County Line Church Singing</t>
  </si>
  <si>
    <t>Apr, Sat before 3rd Sun</t>
  </si>
  <si>
    <t>Middle Georgia Sacred Harp Singing</t>
  </si>
  <si>
    <t>Barnesville</t>
  </si>
  <si>
    <t>&lt;iframe src="https://www.google.com/maps/embed?pb=!1m18!1m12!1m3!1d97149.84508410888!2d-84.14579650648261!3d33.08976322515585!2m3!1f0!2f0!3f0!3m2!1i1024!2i768!4f13.1!3m3!1m2!1s0x88f4707d20fdd50f%3A0xbc452b3eaede7115!2sUnion%20Church!5e0!3m2!1sen!2sus!4v1671675895108!5m2!1sen!2sus" width="600" height="450" style="border:0;" allowfullscreen="" loading="lazy" referrerpolicy="no-referrer-when-downgrade"&gt;&lt;/iframe&gt;</t>
  </si>
  <si>
    <t>Enon Primitive Baptist Church Singing</t>
  </si>
  <si>
    <t>&lt;iframe src="https://www.google.com/maps/embed?pb=!1m18!1m12!1m3!1d151412.28206570458!2d-88.95409881540314!3d33.84544894933053!2m3!1f0!2f0!3f0!3m2!1i1024!2i768!4f13.1!3m3!1m2!1s0x8880d651b00cc11f%3A0x15cf2ed1788a93ab!2sEnon%20Primitive%20Baptist%20Church!5e0!3m2!1sen!2sus!4v1671676626845!5m2!1sen!2sus" width="600" height="450" style="border:0;" allowfullscreen="" loading="lazy" referrerpolicy="no-referrer-when-downgrade"&gt;&lt;/iframe&gt;</t>
  </si>
  <si>
    <t>Houston</t>
  </si>
  <si>
    <t>Old Harmony Singing</t>
  </si>
  <si>
    <t>https://www.google.com/maps/place/Old+Harmony+Church/@33.6327224,-85.4556174,11.79z/data=!4m5!3m4!1s0x888b1cc069665133:0xed00111845c534b9!8m2!3d33.6459405!4d-85.4185651||Old Harmony Primitive Baptist Church, 3490 County Road 60, Heflin, Alabama</t>
  </si>
  <si>
    <t>&lt;iframe src="https://www.google.com/maps/embed?pb=!1m18!1m12!1m3!1d156247.27616071602!2d-85.45383644343815!3d33.62647641547691!2m3!1f0!2f0!3f0!3m2!1i1024!2i768!4f13.1!3m3!1m2!1s0x888b1cc069665133%3A0xed00111845c534b9!2sOld%20Harmony%20Church!5e0!3m2!1sen!2sus!4v1671676782857!5m2!1sen!2sus" width="600" height="450" style="border:0;" allowfullscreen="" loading="lazy" referrerpolicy="no-referrer-when-downgrade"&gt;&lt;/iframe&gt;</t>
  </si>
  <si>
    <t>New Haven Singing</t>
  </si>
  <si>
    <t>CT</t>
  </si>
  <si>
    <t>New Haven</t>
  </si>
  <si>
    <t>Oliver Kindig-Stokes Memorial</t>
  </si>
  <si>
    <t>York</t>
  </si>
  <si>
    <t>Apr, Sat before 4th Sun</t>
  </si>
  <si>
    <t>Golden Gate All-Day Singing</t>
  </si>
  <si>
    <t>Atlanta Sacred Harp Singing</t>
  </si>
  <si>
    <t>https://www.google.com/maps/place/Ithaca+Friends+Meeting/@42.4448907,-76.5231139,12.83z/data=!4m5!3m4!1s0x89d08178f7aae0fb:0xb33029a08582bfe8!8m2!3d42.4452129!4d-76.5045936||Ithaca Friends Meeting House, 120 3rd St., Ithaca, NY 14850</t>
  </si>
  <si>
    <t>&lt;iframe src="https://www.google.com/maps/embed?pb=!1m18!1m12!1m3!1d52875.9284973948!2d-76.52311385042412!3d42.44489073976726!2m3!1f0!2f0!3f0!3m2!1i1024!2i768!4f13.1!3m3!1m2!1s0x89d08178f7aae0fb%3A0xb33029a08582bfe8!2sIthaca%20Friends%20Meeting!5e0!3m2!1sen!2sus!4v1671683622539!5m2!1sen!2sus" width="600" height="450" style="border:0;" allowfullscreen="" loading="lazy" referrerpolicy="no-referrer-when-downgrade"&gt;&lt;/iframe&gt;</t>
  </si>
  <si>
    <t>NY</t>
  </si>
  <si>
    <t>Ithaca</t>
  </si>
  <si>
    <t>New York State Regional (Spring)</t>
  </si>
  <si>
    <t>https://www.google.com/maps/place/Old+Pine+Grove+Church/@32.1107254,-94.7465062,12.14z/data=!4m12!1m6!3m5!1s0x8637b74fc84abfeb:0xca5d1376d62f27ac!2sOld+Pine+Grove+Church!8m2!3d32.102056!4d-94.6533735!3m4!1s0x8637b74fc84abfeb:0xca5d1376d62f27ac!8m2!3d32.102056!4d-94.6533735||Old Pine Grove Church, 4401-5065 County Rd 364 S, Henderson, TX 75654</t>
  </si>
  <si>
    <t>&lt;iframe src="https://www.google.com/maps/embed?pb=!1m18!1m12!1m3!1d222552.83199073008!2d-94.69659473506604!3d32.13966378956024!2m3!1f0!2f0!3f0!3m2!1i1024!2i768!4f13.1!3m3!1m2!1s0x8637b74fc2e1930b%3A0xdd5d5ba79831b0e9!2sOld%20Pine%20Grove%20Cemetery!5e0!3m2!1sen!2sus!4v1671683873120!5m2!1sen!2sus" width="600" height="450" style="border:0;" allowfullscreen="" loading="lazy" referrerpolicy="no-referrer-when-downgrade"&gt;&lt;/iframe&gt;</t>
  </si>
  <si>
    <t>Rusk County Convention</t>
  </si>
  <si>
    <t>Henderson</t>
  </si>
  <si>
    <t>Apr, 4th Sun &amp; Sat before</t>
  </si>
  <si>
    <t xml:space="preserve">https://www.google.com/maps/place/Kegworth+Village+Hall/@52.8370161,-1.3076189,13.04z/data=!4m5!3m4!1s0x4879e668d7c347b1:0xc421fc186a8f7637!8m2!3d52.8378263!4d-1.2762146?hl=en||Kegworth Village Hall, Nottingham Road Kegworth, Leicestershire, DE74 2FH, United Kingdom </t>
  </si>
  <si>
    <t>&lt;iframe src="https://www.google.com/maps/embed?pb=!1m18!1m12!1m3!1d108003.75552213115!2d-1.3033785275334153!3d52.846597241115894!2m3!1f0!2f0!3f0!3m2!1i1024!2i768!4f13.1!3m3!1m2!1s0x4879e668d7c347b1%3A0xc421fc186a8f7637!2sKegworth%20Village%20Hall!5e0!3m2!1sen!2sus!4v1671684551751!5m2!1sen!2sus" width="600" height="450" style="border:0;" allowfullscreen="" loading="lazy" referrerpolicy="no-referrer-when-downgrade"&gt;&lt;/iframe&gt;</t>
  </si>
  <si>
    <t>East Midlands Sacred Harp Convention</t>
  </si>
  <si>
    <t>Kegworth</t>
  </si>
  <si>
    <t>Friendship Church Singing</t>
  </si>
  <si>
    <t>Apr, 4th Sun</t>
  </si>
  <si>
    <t>https://www.google.com/maps/place/Friendship+Church/@34.2345598,-87.5213911,11.92z/data=!4m12!1m6!3m5!1s0x888809966160bc75:0x3e7aa076f172dab8!2sFriendship+Church!8m2!3d34.2368474!4d-87.5140929!3m4!1s0x888809966160bc75:0x3e7aa076f172dab8!8m2!3d34.2368474!4d-87.5140929||Friendship Church, 1847 Co Rd 23, Haleyville, AL 35565</t>
  </si>
  <si>
    <t>&lt;iframe src="https://www.google.com/maps/embed?pb=!1m18!1m12!1m3!1d111830.06712226491!2d-87.52139114375686!3d34.2345598199816!2m3!1f0!2f0!3f0!3m2!1i1024!2i768!4f13.1!3m3!1m2!1s0x888809966160bc75%3A0x3e7aa076f172dab8!2sFriendship%20Church!5e0!3m2!1sen!2sus!4v1671684961136!5m2!1sen!2sus" width="600" height="450" style="border:0;" allowfullscreen="" loading="lazy" referrerpolicy="no-referrer-when-downgrade"&gt;&lt;/iframe&gt;</t>
  </si>
  <si>
    <t>Haleyville</t>
  </si>
  <si>
    <t>https://www.google.com/maps/place/Saint+Michaels+Church/@33.8246294,-85.4202539,12.69z/data=!4m12!1m6!3m5!1s0x888ae491cf6dcec9:0x9464869ba44fda4a!2sSaint+Michaels+Church!8m2!3d33.815227!4d-85.4069!3m4!1s0x888ae491cf6dcec9:0x9464869ba44fda4a!8m2!3d33.815227!4d-85.4069||St. Michael Lutheran Church, 2213 County Road 14, Muscadine, AL</t>
  </si>
  <si>
    <t>&lt;iframe src="https://www.google.com/maps/embed?pb=!1m18!1m12!1m3!1d116755.86096243444!2d-85.45084819937071!3d33.844694671162706!2m3!1f0!2f0!3f0!3m2!1i1024!2i768!4f13.1!3m3!1m2!1s0x888ae491cf6dcec9%3A0x9464869ba44fda4a!2sSaint%20Michaels%20Church!5e0!3m2!1sen!2sus!4v1671685102368!5m2!1sen!2sus" width="600" height="450" style="border:0;" allowfullscreen="" loading="lazy" referrerpolicy="no-referrer-when-downgrade"&gt;&lt;/iframe&gt;</t>
  </si>
  <si>
    <t>Alewin-Laminack Memorial</t>
  </si>
  <si>
    <t>Huntsville</t>
  </si>
  <si>
    <t>May, Sat before 1st Sun</t>
  </si>
  <si>
    <t>Huntsville Sacred Harp Singing</t>
  </si>
  <si>
    <t>May, 1st Sun &amp; Sat before</t>
  </si>
  <si>
    <t>KY</t>
  </si>
  <si>
    <t>May, 1st Sun</t>
  </si>
  <si>
    <t>Heath Memorial</t>
  </si>
  <si>
    <t>&lt;iframe src="https://www.google.com/maps/embed?pb=!1m18!1m12!1m3!1d61116.57046259863!2d-85.61115121500725!3d31.46801656068568!2m3!1f0!2f0!3f0!3m2!1i1024!2i768!4f13.1!3m3!1m2!1s0x889280d6306ae4df%3A0x67108172c16e3080!2sMabson%20United%20Methodist%20Church!5e0!3m2!1sen!2sus!4v1671687311941!5m2!1sen!2sus" width="600" height="450" style="border:0;" allowfullscreen="" loading="lazy" referrerpolicy="no-referrer-when-downgrade"&gt;&lt;/iframe&gt;</t>
  </si>
  <si>
    <t>Dutton</t>
  </si>
  <si>
    <t>Shady Grove Baptist Church Singing</t>
  </si>
  <si>
    <t>&lt;iframe src="https://www.google.com/maps/embed?pb=!1m18!1m12!1m3!1d51052.99887281812!2d-85.94961726707625!3d34.59630442734172!2m3!1f0!2f0!3f0!3m2!1i1024!2i768!4f13.1!3m3!1m2!1s0x8861e7801bed26bd%3A0x1a40bd60e5f1f5c7!2sSection%20Farm%20Market!5e0!3m2!1sen!2sus!4v1671687598805!5m2!1sen!2sus" width="600" height="450" style="border:0;" allowfullscreen="" loading="lazy" referrerpolicy="no-referrer-when-downgrade"&gt;&lt;/iframe&gt;</t>
  </si>
  <si>
    <t>Shady Grove (Keeton Cemetery)</t>
  </si>
  <si>
    <t>Nauvoo</t>
  </si>
  <si>
    <t>&lt;iframe src="https://www.google.com/maps/embed?pb=!1m18!1m12!1m3!1d407195.30563254334!2d-87.66208270196776!3d34.04115436159834!2m3!1f0!2f0!3f0!3m2!1i1024!2i768!4f13.1!3m3!1m2!1s0x888877543bccf847%3A0xb97df52778295105!2sKeeton%20Cemetery%2C%20Nauvoo%2C%20AL%2035578!5e0!3m2!1sen!2sus!4v1671687737385!5m2!1sen!2sus" width="600" height="450" style="border:0;" allowfullscreen="" loading="lazy" referrerpolicy="no-referrer-when-downgrade"&gt;&lt;/iframe&gt;</t>
  </si>
  <si>
    <t>https://www.google.com/maps/place/Grace+Chapel+Primitive+Baptist/@35.1529211,-90.0746031,11.1z/data=!4m5!3m4!1s0x887f83c3fe9afdfb:0x2c49ab30ed37412!8m2!3d35.1539931!4d-89.9111197||Grace Chapel Primitive Baptist Church, 838 Berclair Road, Memphis, Tennessee</t>
  </si>
  <si>
    <t>&lt;iframe src="https://www.google.com/maps/embed?pb=!1m18!1m12!1m3!1d195171.68277227247!2d-90.07460308993913!3d35.15292111361758!2m3!1f0!2f0!3f0!3m2!1i1024!2i768!4f13.1!3m3!1m2!1s0x887f83c3fe9afdfb%3A0x2c49ab30ed37412!2sGrace%20Chapel%20Primitive%20Baptist!5e0!3m2!1sen!2sus!4v1671687865089!5m2!1sen!2sus" width="600" height="450" style="border:0;" allowfullscreen="" loading="lazy" referrerpolicy="no-referrer-when-downgrade"&gt;&lt;/iframe&gt;</t>
  </si>
  <si>
    <t>Memphis</t>
  </si>
  <si>
    <t>Memphis Singing</t>
  </si>
  <si>
    <t>https://www.google.com/maps/place/Oolenoy+Community+House/@34.9130297,-82.6878531,11.1z/data=!4m5!3m4!1s0x8859b4aca836d23d:0xae0c3f686c66979a!8m2!3d34.9925815!4d-82.6435312||Oolenoy Community Center, 5301 Dacusville Hwy (SC135), Pickens, South Carolina</t>
  </si>
  <si>
    <t>&lt;iframe src="https://www.google.com/maps/embed?pb=!1m18!1m12!1m3!1d195745.41073434436!2d-82.68785311699446!3d34.9130297032118!2m3!1f0!2f0!3f0!3m2!1i1024!2i768!4f13.1!3m3!1m2!1s0x8859b4aca836d23d%3A0xae0c3f686c66979a!2sOolenoy%20Community%20House!5e0!3m2!1sen!2sus!4v1671688007980!5m2!1sen!2sus" width="600" height="450" style="border:0;" allowfullscreen="" loading="lazy" referrerpolicy="no-referrer-when-downgrade"&gt;&lt;/iframe&gt;</t>
  </si>
  <si>
    <t xml:space="preserve">Pumpkintown Shape Note Singing </t>
  </si>
  <si>
    <t>Pickens</t>
  </si>
  <si>
    <t>Mid-Michigan Singing</t>
  </si>
  <si>
    <t>Okemos</t>
  </si>
  <si>
    <t>https://www.google.com/maps/place/Faith+Lutheran+Church/@42.7160247,-84.414891,11.72z/data=!4m5!3m4!1s0x8822dd6c0375a227:0xafc1cfdb1535a50b!8m2!3d42.7125864!4d-84.4112791||Faith Lutheran Church, 4515 Dobie Rd, Okemos, MI 48864</t>
  </si>
  <si>
    <t>&lt;iframe src="https://www.google.com/maps/embed?pb=!1m18!1m12!1m3!1d113722.72240987585!2d-84.4148909961425!3d42.716024748015386!2m3!1f0!2f0!3f0!3m2!1i1024!2i768!4f13.1!3m3!1m2!1s0x8822dd6c0375a227%3A0xafc1cfdb1535a50b!2sFaith%20Lutheran%20Church!5e0!3m2!1sen!2sus!4v1671688329884!5m2!1sen!2sus" width="600" height="450" style="border:0;" allowfullscreen="" loading="lazy" referrerpolicy="no-referrer-when-downgrade"&gt;&lt;/iframe&gt;</t>
  </si>
  <si>
    <t>Bristol Singing</t>
  </si>
  <si>
    <t>Bristol</t>
  </si>
  <si>
    <t>https://www.google.com/maps/place/Quaker+Meeting+House+(Frenchay)/@51.5042524,-2.5862847,12.14z/data=!4m5!3m4!1s0x48719010bd8dd179:0x7b7ab777c58318a3!8m2!3d51.4987705!4d-2.5182316||Frenchay Quaker Meeting House, Beckspool Rd, Frenchay, Avon, Bristol BS16 1NT, United Kingdom</t>
  </si>
  <si>
    <t>&lt;iframe src="https://www.google.com/maps/embed?pb=!1m18!1m12!1m3!1d72177.58766193234!2d-2.586284730639461!3d51.50425242160272!2m3!1f0!2f0!3f0!3m2!1i1024!2i768!4f13.1!3m3!1m2!1s0x48719010bd8dd179%3A0x7b7ab777c58318a3!2sQuaker%20Meeting%20House%20(Frenchay)!5e0!3m2!1sen!2sus!4v1671688452260!5m2!1sen!2sus" width="600" height="450" style="border:0;" allowfullscreen="" loading="lazy" referrerpolicy="no-referrer-when-downgrade"&gt;&lt;/iframe&gt;</t>
  </si>
  <si>
    <t>Vinemont</t>
  </si>
  <si>
    <t>&lt;iframe src="https://www.google.com/maps/embed?pb=!1m18!1m12!1m3!1d62156.126713044534!2d-86.83088284503525!3d34.241407840162196!2m3!1f0!2f0!3f0!3m2!1i1024!2i768!4f13.1!3m3!1m2!1s0x8889ce0d863e0c0d%3A0x823889f961eeada1!2sMt.%20Olive%20at%20Providence%20Primitive%20Baptist%20Church!5e0!3m2!1sen!2sus!4v1671688728591!5m2!1sen!2sus" width="600" height="450" style="border:0;" allowfullscreen="" loading="lazy" referrerpolicy="no-referrer-when-downgrade"&gt;&lt;/iframe&gt;</t>
  </si>
  <si>
    <t>May, Sat before 3rd Sun</t>
  </si>
  <si>
    <t>Kentucky State Sacred Harp Convention</t>
  </si>
  <si>
    <t>Versailles</t>
  </si>
  <si>
    <t>https://www.google.com/maps/place/Pisgah+Presbyterian+Church/@38.0467597,-84.689805,12.14z/data=!4m5!3m4!1s0x884268f10b68839b:0xb75800cae93b2176!8m2!3d38.0541795!4d-84.6545936||Pisgah Presbyterian Church, 710 Pisgah Pike, Versailles, KY 40383</t>
  </si>
  <si>
    <t>&lt;iframe src="https://www.google.com/maps/embed?pb=!1m18!1m12!1m3!1d79057.18589667224!2d-84.67108010472937!3d38.02861348763907!2m3!1f0!2f0!3f0!3m2!1i1024!2i768!4f13.1!3m3!1m2!1s0x884268f10b68839b%3A0xb75800cae93b2176!2sPisgah%20Presbyterian%20Church!5e0!3m2!1sen!2sus!4v1671688844230!5m2!1sen!2sus" width="600" height="450" style="border:0;" allowfullscreen="" loading="lazy" referrerpolicy="no-referrer-when-downgrade"&gt;&lt;/iframe&gt;</t>
  </si>
  <si>
    <t>Goodshaw Sacred Harp Singing</t>
  </si>
  <si>
    <t>https://www.google.com/maps/place/Goodshaw+Baptist+Church/@53.7407273,-2.4070168,11.58z/data=!4m5!3m4!1s0x487b981da5623539:0xb5d1eebfe49f18ce!8m2!3d53.7297545!4d-2.2872036||Goodshaw Baptist Church, Chapel Street, Goodshaw, Rossendale, Lancashire, UK</t>
  </si>
  <si>
    <t>&lt;iframe src="https://www.google.com/maps/embed?pb=!1m18!1m12!1m3!1d100795.93194979688!2d-2.40701679424992!3d53.74072728705523!2m3!1f0!2f0!3f0!3m2!1i1024!2i768!4f13.1!3m3!1m2!1s0x487b981da5623539%3A0xb5d1eebfe49f18ce!2sGoodshaw%20Baptist%20Church!5e0!3m2!1sen!2sus!4v1671689039192!5m2!1sen!2sus" width="600" height="450" style="border:0;" allowfullscreen="" loading="lazy" referrerpolicy="no-referrer-when-downgrade"&gt;&lt;/iframe&gt;</t>
  </si>
  <si>
    <t>Goodshaw</t>
  </si>
  <si>
    <t>AK</t>
  </si>
  <si>
    <t>Washington</t>
  </si>
  <si>
    <t>Cane Creek Church Singing</t>
  </si>
  <si>
    <t>May, 3rd Sun</t>
  </si>
  <si>
    <t>&lt;iframe src="https://www.google.com/maps/embed?pb=!1m18!1m12!1m3!1d59623.148181717595!2d-85.54141291004096!3d33.685989806457485!2m3!1f0!2f0!3f0!3m2!1i1024!2i768!4f13.1!3m3!1m2!1s0x888b018ebd3ae9c9%3A0xcd5452a2e70b78b3!2sLower%20Cane%20Creek%20Primitive%20Baptist%20Church!5e0!3m2!1sen!2sus!4v1671689344125!5m2!1sen!2sus" width="600" height="450" style="border:0;" allowfullscreen="" loading="lazy" referrerpolicy="no-referrer-when-downgrade"&gt;&lt;/iframe&gt;</t>
  </si>
  <si>
    <t>Concord Baptist Church Singing</t>
  </si>
  <si>
    <t>Ellard</t>
  </si>
  <si>
    <t>&lt;iframe src="https://www.google.com/maps/embed?pb=!1m18!1m12!1m3!1d40411.050379977474!2d-89.43676387498884!3d34.01562691240351!2m3!1f0!2f0!3f0!3m2!1i1024!2i768!4f13.1!3m3!1m2!1s0x88805851489847ad%3A0xc4a6832aae4f4b72!2sConcord%20Cemetery%2C%20Bruce%2C%20MS%2038915!5e0!3m2!1sen!2sus!4v1671689632947!5m2!1sen!2sus" width="600" height="450" style="border:0;" allowfullscreen="" loading="lazy" referrerpolicy="no-referrer-when-downgrade"&gt;&lt;/iframe&gt;</t>
  </si>
  <si>
    <t>Vicksburg</t>
  </si>
  <si>
    <t>May, 4th Sun &amp; Sat before</t>
  </si>
  <si>
    <t>John Merritt Memorial Singing</t>
  </si>
  <si>
    <t>https://www.google.com/maps/place/Old+Court+House+Museum/@32.3539837,-90.9172348,13.18z/data=!4m5!3m4!1s0x8628e027f3291267:0x489849b670ff1b56!8m2!3d32.3521263!4d-90.878624||Old Courthouse Museum, 1008 Cherry Street, Vicksburg, Mississippi</t>
  </si>
  <si>
    <t>&lt;iframe src="https://www.google.com/maps/embed?pb=!1m18!1m12!1m3!1d47583.24640830484!2d-90.91525645356255!3d32.35370520484805!2m3!1f0!2f0!3f0!3m2!1i1024!2i768!4f13.1!3m3!1m2!1s0x8628e027f3291267%3A0x489849b670ff1b56!2sOld%20Court%20House%20Museum!5e0!3m2!1sen!2sus!4v1671689724946!5m2!1sen!2sus" width="600" height="450" style="border:0;" allowfullscreen="" loading="lazy" referrerpolicy="no-referrer-when-downgrade"&gt;&lt;/iframe&gt;</t>
  </si>
  <si>
    <t>Germany</t>
  </si>
  <si>
    <t>Ger</t>
  </si>
  <si>
    <t>Berlin</t>
  </si>
  <si>
    <t>Germany Sacred Harp Convention</t>
  </si>
  <si>
    <t>The Big Singing</t>
  </si>
  <si>
    <t>&lt;iframe src="https://www.google.com/maps/embed?pb=!1m18!1m12!1m3!1d67524.18773718459!2d-88.36513362790228!3d36.861432160842114!2m3!1f0!2f0!3f0!3m2!1i1024!2i768!4f13.1!3m3!1m2!1s0x887a43be3bd4a305%3A0x99f73cb390b424e!2sMarshll%20County%20Courthouse!5e0!3m2!1sen!2sus!4v1671689916990!5m2!1sen!2sus" width="600" height="450" style="border:0;" allowfullscreen="" loading="lazy" referrerpolicy="no-referrer-when-downgrade"&gt;&lt;/iframe&gt;</t>
  </si>
  <si>
    <t>Benton</t>
  </si>
  <si>
    <t>Rocky Mount Homecoming/Hillabee Sacred Harp Convention</t>
  </si>
  <si>
    <t>May, 4th Sun</t>
  </si>
  <si>
    <t>https://www.google.com/maps/place/Beda+Baptist+Church/@31.1144288,-86.5695637,10.69z/data=!4m5!3m4!1s0x8891bce00084f027:0x615ac152a056e3e7!8m2!3d31.0522697!4d-86.5826157||Beda Baptist Church, 7971 Beda Road, Wing, Alabama</t>
  </si>
  <si>
    <t>&lt;iframe src="https://www.google.com/maps/embed?pb=!1m14!1m8!1m3!1d270182.82934226515!2d-86.56956372314082!3d31.114428845304086!3m2!1i1024!2i768!4f13.1!3m3!1m2!1s0x8891bce00084f027%3A0x615ac152a056e3e7!2sBeda%20Baptist%20Church!5e0!3m2!1sen!2sus!4v1671690233122!5m2!1sen!2sus" width="600" height="450" style="border:0;" allowfullscreen="" loading="lazy" referrerpolicy="no-referrer-when-downgrade"&gt;&lt;/iframe&gt;</t>
  </si>
  <si>
    <t>Beda Church Singing</t>
  </si>
  <si>
    <t>Wing</t>
  </si>
  <si>
    <t>Midwest Convention</t>
  </si>
  <si>
    <t>Sylvester</t>
  </si>
  <si>
    <t>Jack C. Smith Memorial Singing</t>
  </si>
  <si>
    <t>https://www.google.com/maps/place/Oakhurst+Baptist+Church/@33.7581667,-84.3250866,13.04z/data=!4m5!3m4!1s0x88f5073e75fc4bfd:0x5aef662ead98cf43!8m2!3d33.7630746!4d-84.3107199||Oakhurst Baptist Church, 222 East Lake Drive, Decatur, Georgia</t>
  </si>
  <si>
    <t>&lt;iframe src="https://www.google.com/maps/embed?pb=!1m18!1m12!1m3!1d51562.6415121673!2d-84.32508655539122!3d33.7581667114961!2m3!1f0!2f0!3f0!3m2!1i1024!2i768!4f13.1!3m3!1m2!1s0x88f5073e75fc4bfd%3A0x5aef662ead98cf43!2sOakhurst%20Baptist%20Church!5e0!3m2!1sen!2sus!4v1671692155790!5m2!1sen!2sus" width="600" height="450" style="border:0;" allowfullscreen="" loading="lazy" referrerpolicy="no-referrer-when-downgrade"&gt;&lt;/iframe&gt;</t>
  </si>
  <si>
    <t>Sacred Harp, Shenandoah Harmony</t>
  </si>
  <si>
    <t>BC</t>
  </si>
  <si>
    <t>Vancouver</t>
  </si>
  <si>
    <t>Vancouver All-Day Singing</t>
  </si>
  <si>
    <t>https://www.google.com/maps/place/Grandview+Church/@49.371257,-123.1335424,10.06z/data=!4m5!3m4!1s0x5486713883c934b5:0x37e0c69feedaaa06!8m2!3d49.2697114!4d-123.0673562||Grandview Calvary Baptist Church, 1803 E 1st Ave, Vancouver, BC V5L 4B8, Canada</t>
  </si>
  <si>
    <t>&lt;iframe src="https://www.google.com/maps/embed?pb=!1m18!1m12!1m3!1d407009.6858595936!2d-123.21938034187424!3d49.376132587153705!2m3!1f0!2f0!3f0!3m2!1i1024!2i768!4f13.1!3m3!1m2!1s0x5486713883c934b5%3A0x37e0c69feedaaa06!2sGrandview%20Church!5e0!3m2!1sen!2sus!4v1671724413019!5m2!1sen!2sus" width="600" height="450" style="border:0;" allowfullscreen="" loading="lazy" referrerpolicy="no-referrer-when-downgrade"&gt;&lt;/iframe&gt;</t>
  </si>
  <si>
    <t>Lamar and Pickens County Convention</t>
  </si>
  <si>
    <t>&lt;iframe src="https://www.google.com/maps/embed?pb=!1m18!1m12!1m3!1d135564.9322578521!2d-87.917892821409!3d33.41746584776986!2m3!1f0!2f0!3f0!3m2!1i1024!2i768!4f13.1!3m3!1m2!1s0x88864021375ea02b%3A0x7d72e8beb2902500!2sZion%20Primitive%20Baptist%20Church!5e0!3m2!1sen!2sus!4v1671724793926!5m2!1sen!2sus" width="600" height="450" style="border:0;" allowfullscreen="" loading="lazy" referrerpolicy="no-referrer-when-downgrade"&gt;&lt;/iframe&gt;</t>
  </si>
  <si>
    <t>Shaker Meetinghouse and Francis Bliss Memorial Singing</t>
  </si>
  <si>
    <t>&lt;iframe src="https://www.google.com/maps/embed?pb=!1m18!1m12!1m3!1d218507.7171564707!2d-70.53186676287352!3d43.98057094365948!2m3!1f0!2f0!3f0!3m2!1i1024!2i768!4f13.1!3m3!1m2!1s0x4cb2676f4a0645e7%3A0x23b3b7def5798df1!2sSabbathday%20Lake%20Shaker%20Village!5e0!3m2!1sen!2sus!4v1671725093902!5m2!1sen!2sus" width="600" height="450" style="border:0;" allowfullscreen="" loading="lazy" referrerpolicy="no-referrer-when-downgrade"&gt;&lt;/iframe&gt;</t>
  </si>
  <si>
    <t>https://www.google.com/maps/place/Sabbathday+Lake+Shaker+Village/@43.9805709,-70.5318668,10.75z/data=!4m5!3m4!1s0x4cb2676f4a0645e7:0x23b3b7def5798df1!8m2!3d43.986386!4d-70.3663277||Sabbathday Lake Shaker Village, 707 Shaker Rd, New Gloucester, ME 04260</t>
  </si>
  <si>
    <t>New Gloucester</t>
  </si>
  <si>
    <t>Newcastle upon Tyne</t>
  </si>
  <si>
    <t>Northern Shenandoah Valley Double All-Day Singing</t>
  </si>
  <si>
    <t>WV</t>
  </si>
  <si>
    <t>Charles Town</t>
  </si>
  <si>
    <t>Jun, Sat before 1st Sun</t>
  </si>
  <si>
    <t>Oslo Sacred Harp Singing</t>
  </si>
  <si>
    <t>Norway</t>
  </si>
  <si>
    <t>Oslo</t>
  </si>
  <si>
    <t>Hill Roane Memorial</t>
  </si>
  <si>
    <t>Jun, 1st Sun</t>
  </si>
  <si>
    <t>https://www.google.com/maps/place/Sherman+Baptist+Church/@34.0409743,-89.4253626,12.83z/data=!4m5!3m4!1s0x88805918582ba2fd:0x78d2b7e605f3c9e1!8m2!3d34.0562421!4d-89.4289656||Serman Baptist Church, 263 Co Rd 272, Bruce, MS 38915</t>
  </si>
  <si>
    <t>&lt;iframe src="https://www.google.com/maps/embed?pb=!1m18!1m12!1m3!1d59375.77400614142!2d-89.42536258600838!3d34.04097431649199!2m3!1f0!2f0!3f0!3m2!1i1024!2i768!4f13.1!3m3!1m2!1s0x88805918582ba2fd%3A0x78d2b7e605f3c9e1!2sSherman%20Baptist%20Church!5e0!3m2!1sen!2sus!4v1671728095226!5m2!1sen!2sus" width="600" height="450" style="border:0;" allowfullscreen="" loading="lazy" referrerpolicy="no-referrer-when-downgrade"&gt;&lt;/iframe&gt;</t>
  </si>
  <si>
    <t>Liberty Decoration Day Singing</t>
  </si>
  <si>
    <t>https://www.google.com/maps/place/Liberty+Baptist+Church/@34.652876,-85.7543373,13.74z/data=!4m5!3m4!1s0x8861cf835856b6f7:0x7de4110f0866a5f!8m2!3d34.6510781!4d-85.7575147||Liberty Baptist Church, 1500 Liberty Rd, Henagar, AL 35978</t>
  </si>
  <si>
    <t>&lt;iframe src="https://www.google.com/maps/embed?pb=!1m18!1m12!1m3!1d31526.559084411598!2d-85.75433725871014!3d34.65287603076786!2m3!1f0!2f0!3f0!3m2!1i1024!2i768!4f13.1!3m3!1m2!1s0x8861cf835856b6f7%3A0x7de4110f0866a5f!2sLiberty%20Baptist%20Church!5e0!3m2!1sen!2sus!4v1671728421341!5m2!1sen!2sus" width="600" height="450" style="border:0;" allowfullscreen="" loading="lazy" referrerpolicy="no-referrer-when-downgrade"&gt;&lt;/iframe&gt;</t>
  </si>
  <si>
    <t>New York</t>
  </si>
  <si>
    <t>Jun, Sat before 2nd Sun</t>
  </si>
  <si>
    <t xml:space="preserve">Raymond Hamrick Memorial </t>
  </si>
  <si>
    <t>Hopewell Homecoming</t>
  </si>
  <si>
    <t>https://www.google.com/maps/place/Hopewell+Church/@33.9698881,-86.457181,11.79z/data=!4m13!1m7!3m6!1s0x88898f01f13bf1b5:0x480d825e7df1c7d0!2s3596+Airport+Rd,+Altoona,+AL+35952!3b1!8m2!3d33.9648931!4d-86.3744827!3m4!1s0x88898f01ef8ae7cd:0xfc59742528cb2b21!8m2!3d33.9656534!4d-86.3738716||Hopewell Primitive Baptist Church, 3596 Airport Road, Altoona, AL</t>
  </si>
  <si>
    <t>&lt;iframe src="https://www.google.com/maps/embed?pb=!1m18!1m12!1m3!1d122333.58931359761!2d-86.45718103294867!3d33.969888050204915!2m3!1f0!2f0!3f0!3m2!1i1024!2i768!4f13.1!3m3!1m2!1s0x88898f01ef8ae7cd%3A0xfc59742528cb2b21!2sHopewell%20Church!5e0!3m2!1sen!2sus!4v1671728911716!5m2!1sen!2sus" width="600" height="450" style="border:0;" allowfullscreen="" loading="lazy" referrerpolicy="no-referrer-when-downgrade"&gt;&lt;/iframe&gt;</t>
  </si>
  <si>
    <t>Altoona</t>
  </si>
  <si>
    <t>https://www.google.com/maps/place/Alpharetta+City+Hall/@34.0869476,-84.3593321,12.14z/data=!4m5!3m4!1s0x88f575a322f0367f:0xd8049db8521a278!8m2!3d34.0746075!4d-84.2924787||Alpharetta City Hall, 2 Park Plaza, Alpharetta, GA 30009</t>
  </si>
  <si>
    <t>&lt;iframe src="https://www.google.com/maps/embed?pb=!1m18!1m12!1m3!1d96033.39238227133!2d-84.35933212542463!3d34.086947627189694!2m3!1f0!2f0!3f0!3m2!1i1024!2i768!4f13.1!3m3!1m2!1s0x88f575a322f0367f%3A0xd8049db8521a278!2sAlpharetta%20City%20Hall!5e0!3m2!1sen!2sus!4v1671729015358!5m2!1sen!2sus" width="600" height="450" style="border:0;" allowfullscreen="" loading="lazy" referrerpolicy="no-referrer-when-downgrade"&gt;&lt;/iframe&gt;</t>
  </si>
  <si>
    <t>Alpharetta June Singing</t>
  </si>
  <si>
    <t>Derma</t>
  </si>
  <si>
    <t>Oak Springs Church Singing</t>
  </si>
  <si>
    <t>https://www.google.com/maps/place/Oak+springs+cemetery/@33.8784321,-89.2911849,11.75z/data=!4m5!3m4!1s0x8880fb1e3083ce47:0x14d242bd64b361ee!8m2!3d33.8839421!4d-89.2935534||Oak Springs Church, Cr 417 cr 400 oak springs, Calhoun City, MS</t>
  </si>
  <si>
    <t>&lt;iframe src="https://www.google.com/maps/embed?pb=!1m18!1m12!1m3!1d126053.48488739957!2d-89.2911848599166!3d33.87843209309948!2m3!1f0!2f0!3f0!3m2!1i1024!2i768!4f13.1!3m3!1m2!1s0x8880fb1e3083ce47%3A0x14d242bd64b361ee!2sOak%20springs%20cemetery!5e0!3m2!1sen!2sus!4v1671729457306!5m2!1sen!2sus" width="600" height="450" style="border:0;" allowfullscreen="" loading="lazy" referrerpolicy="no-referrer-when-downgrade"&gt;&lt;/iframe&gt;</t>
  </si>
  <si>
    <t>Jun, 2nd Sun</t>
  </si>
  <si>
    <t>Fayette</t>
  </si>
  <si>
    <t>https://www.google.com/maps/place/Addington+Chapel+Umc/@33.9579455,-87.0325224,12.1z/data=!4m5!3m4!1s0x88884ef7d09f04d7:0xb9171aeec31a3b5c!8m2!3d33.9827175!4d-87.0091104||Addington Chapel, 185 Co Rd 59, Bremen, AL 35033</t>
  </si>
  <si>
    <t>&lt;iframe src="https://www.google.com/maps/embed?pb=!1m18!1m12!1m3!1d271859.20183801086!2d-87.17210041344062!3d34.01340334835915!2m3!1f0!2f0!3f0!3m2!1i1024!2i768!4f13.1!3m3!1m2!1s0x88884ef7d09f04d7%3A0xb9171aeec31a3b5c!2sAddington%20Chapel%20Umc!5e0!3m2!1sen!2sus!4v1671730043800!5m2!1sen!2sus" width="600" height="450" style="border:0;" allowfullscreen="" loading="lazy" referrerpolicy="no-referrer-when-downgrade"&gt;&lt;/iframe&gt;</t>
  </si>
  <si>
    <t>Moore, Graves, and Calvert Memorial</t>
  </si>
  <si>
    <t>Exeter All Day Singing</t>
  </si>
  <si>
    <t>https://www.google.com/maps/place/Exeter+Quaker+Meeting/@40.3221202,-75.8368242,13.18z/data=!4m5!3m4!1s0x89c67c18b96c99a7:0x4dad1e47a265af03!8m2!3d40.3131985!4d-75.7844571||Exeter Friends Meetinghouse, 191 Meetinghouse Rd, Douglassville, PA 19518</t>
  </si>
  <si>
    <t>&lt;iframe src="https://www.google.com/maps/embed?pb=!1m18!1m12!1m3!1d112445.41823537246!2d-75.83735434023194!3d40.332893569321705!2m3!1f0!2f0!3f0!3m2!1i1024!2i768!4f13.1!3m3!1m2!1s0x89c67c18b96c99a7%3A0x4dad1e47a265af03!2sExeter%20Quaker%20Meeting!5e0!3m2!1sen!2sus!4v1671730292559!5m2!1sen!2sus" width="600" height="450" style="border:0;" allowfullscreen="" loading="lazy" referrerpolicy="no-referrer-when-downgrade"&gt;&lt;/iframe&gt;</t>
  </si>
  <si>
    <t>https://www.google.com/maps/place/Trout+Lake+Grange+No.+210/@46.0262132,-121.9042017,9.71z/data=!4m5!3m4!1s0x54965dffb58d6939:0xae01936b1986a531!8m2!3d45.9971886!4d-121.5286425||The Trout Lake Grange Hall, 2390 Highway 141, Trout Lake, Washington</t>
  </si>
  <si>
    <t>&lt;iframe src="https://www.google.com/maps/embed?pb=!1m18!1m12!1m3!1d434039.09425585787!2d-121.90420165391706!3d46.02621316711743!2m3!1f0!2f0!3f0!3m2!1i1024!2i768!4f13.1!3m3!1m2!1s0x54965dffb58d6939%3A0xae01936b1986a531!2sTrout%20Lake%20Grange%20No.%20210!5e0!3m2!1sen!2sus!4v1671730372357!5m2!1sen!2sus" width="600" height="450" style="border:0;" allowfullscreen="" loading="lazy" referrerpolicy="no-referrer-when-downgrade"&gt;&lt;/iframe&gt;</t>
  </si>
  <si>
    <t>Trout Lake</t>
  </si>
  <si>
    <t>Mt. Adams All-Day Singing</t>
  </si>
  <si>
    <t>FR</t>
  </si>
  <si>
    <t>Morton Singing</t>
  </si>
  <si>
    <t>Morton</t>
  </si>
  <si>
    <t>&lt;iframe src="https://www.google.com/maps/embed?pb=!1m14!1m8!1m3!1d87806.32751878604!2d-122.2924539!3d46.5487207!3m2!1i1024!2i768!4f13.1!3m3!1m2!1s0x5496b50e01921c77%3A0x69d584f7760afd26!2sTiller%20Arts%20Center!5e0!3m2!1sen!2sus!4v1671732074137!5m2!1sen!2sus" width="600" height="450" style="border:0;" allowfullscreen="" loading="lazy" referrerpolicy="no-referrer-when-downgrade"&gt;&lt;/iframe&gt;</t>
  </si>
  <si>
    <t>Zion Hill Memorial</t>
  </si>
  <si>
    <t>&lt;iframe src="https://www.google.com/maps/embed?pb=!1m18!1m12!1m3!1d37532.55901372721!2d-94.69501226589509!3d32.043967806247025!2m3!1f0!2f0!3f0!3m2!1i1024!2i768!4f13.1!3m3!1m2!1s0x8637b9ac8b6391c1%3A0xe2fb2d5f8a9270c!2sZion%20Hill%20Church%20and%20cemetery!5e0!3m2!1sen!2sus!4v1671732235922!5m2!1sen!2sus" width="600" height="450" style="border:0;" allowfullscreen="" loading="lazy" referrerpolicy="no-referrer-when-downgrade"&gt;&lt;/iframe&gt;</t>
  </si>
  <si>
    <t>Jun, 3rd Sun</t>
  </si>
  <si>
    <t>&lt;iframe src="https://www.google.com/maps/embed?pb=!1m18!1m12!1m3!1d199239.35995265841!2d-85.26802280194366!3d33.41968516622681!2m3!1f0!2f0!3f0!3m2!1i1024!2i768!4f13.1!3m3!1m2!1s0x888b3ee557aaf451%3A0x34d447f12ebf3177!2sHopewell%20Cemetery!5e0!3m2!1sen!2sus!4v1671732547305!5m2!1sen!2sus" width="600" height="450" style="border:0;" allowfullscreen="" loading="lazy" referrerpolicy="no-referrer-when-downgrade"&gt;&lt;/iframe&gt;</t>
  </si>
  <si>
    <t>Hopewell Primitive Baptist Church Singing</t>
  </si>
  <si>
    <t>Clifford Wakefield Memorial</t>
  </si>
  <si>
    <t>https://www.google.com/maps/place/Kings+Church/@34.1188766,-87.6953772,11.49z/data=!4m5!3m4!1s0x8887dfb6e9230d03:0x4cc4af64fe7a1cd6!8m2!3d34.1031579!4d-87.5725199||King Schoolhouse, Co Rd 357, Haleyville AL - 34.1028491293549, -87.57087406507097</t>
  </si>
  <si>
    <t>&lt;iframe src="https://www.google.com/maps/embed?pb=!1m18!1m12!1m3!1d251196.3061118847!2d-87.68887878477071!3d34.185454615750196!2m3!1f0!2f0!3f0!3m2!1i1024!2i768!4f13.1!3m3!1m2!1s0x8887dfb6e9230d03%3A0x4cc4af64fe7a1cd6!2sKings%20Church!5e0!3m2!1sen!2sus!4v1671732787897!5m2!1sen!2sus" width="600" height="450" style="border:0;" allowfullscreen="" loading="lazy" referrerpolicy="no-referrer-when-downgrade"&gt;&lt;/iframe&gt;</t>
  </si>
  <si>
    <t>Macedonia Primitive Baptist Church Singing</t>
  </si>
  <si>
    <t>&lt;iframe src="https://www.google.com/maps/embed?pb=!1m18!1m12!1m3!1d216499.66832263724!2d-85.92876173200716!3d34.54075567089956!2m3!1f0!2f0!3f0!3m2!1i1024!2i768!4f13.1!3m3!1m2!1s0x8861e1451ce0900b%3A0xe9b79043fa8a0d93!2sMacedonia%20Primitive%20Baptist%20Church%20Cemetery!5e0!3m2!1sen!2sus!4v1671733035584!5m2!1sen!2sus" width="600" height="450" style="border:0;" allowfullscreen="" loading="lazy" referrerpolicy="no-referrer-when-downgrade"&gt;&lt;/iframe&gt;</t>
  </si>
  <si>
    <t>Section</t>
  </si>
  <si>
    <t>Pleasant Home Baptist Church Singing</t>
  </si>
  <si>
    <t>&lt;iframe src="https://www.google.com/maps/embed?pb=!1m18!1m12!1m3!1d235821.77063558003!2d-86.65507672480972!3d31.232220239717684!2m3!1f0!2f0!3f0!3m2!1i1024!2i768!4f13.1!3m3!1m2!1s0x8891be459517d7cb%3A0x857afe898e7b2ddc!2sPLEASANT%20HOME%20BAPIST%20CHURCH!5e0!3m2!1sen!2sus!4v1671733172755!5m2!1sen!2sus" width="600" height="450" style="border:0;" allowfullscreen="" loading="lazy" referrerpolicy="no-referrer-when-downgrade"&gt;&lt;/iframe&gt;</t>
  </si>
  <si>
    <t>https://www.google.com/maps/place/PLEASANT+HOME+BAPIST+CHURCH/@31.1941929,-86.7922685,10.56z/data=!4m5!3m4!1s0x8891be459517d7cb:0x857afe898e7b2ddc!8m2!3d31.1597534!4d-86.6065062||Pleasant Home Baptist Church, 6079 Eagle Rd, Andalusia, AL 36420</t>
  </si>
  <si>
    <t>Kermit and Steve Adams Memorial</t>
  </si>
  <si>
    <t>Jun, Sat before 4th Sun</t>
  </si>
  <si>
    <t>&lt;iframe src="https://www.google.com/maps/embed?pb=!1m18!1m12!1m3!1d34870.182738784824!2d-1.3403061320901977!3d51.75236672013489!2m3!1f0!2f0!3f0!3m2!1i1024!2i768!4f13.1!3m3!1m2!1s0x4876c687ba028c85%3A0xde5295861a3899a3!2sBotley%20Womens%20Institute!5e0!3m2!1sen!2sus!4v1671733450230!5m2!1sen!2sus" width="600" height="450" style="border:0;" allowfullscreen="" loading="lazy" referrerpolicy="no-referrer-when-downgrade"&gt;&lt;/iframe&gt;</t>
  </si>
  <si>
    <t>Jun, 4th Sun</t>
  </si>
  <si>
    <t>New Hope Church Singing</t>
  </si>
  <si>
    <t>https://www.google.com/maps/place/New+Hope+Number+1+Baptist+Church/@34.1737897,-87.0351212,11.31z/data=!4m5!3m4!1s0x8888382146c64b1d:0xa79470ca72592879!8m2!3d34.1451015!4d-87.0663967||New Hope Church, Co Rd 940, Cullman County, AL</t>
  </si>
  <si>
    <t>&lt;iframe src="https://www.google.com/maps/embed?pb=!1m18!1m12!1m3!1d105694.78551763966!2d-87.06625333232269!3d34.121710852472425!2m3!1f0!2f0!3f0!3m2!1i1024!2i768!4f13.1!3m3!1m2!1s0x8888382146c64b1d%3A0xa79470ca72592879!2sNew%20Hope%20Number%201%20Baptist%20Church!5e0!3m2!1sen!2sus!4v1671734073662!5m2!1sen!2sus" width="600" height="450" style="border:0;" allowfullscreen="" loading="lazy" referrerpolicy="no-referrer-when-downgrade"&gt;&lt;/iframe&gt;</t>
  </si>
  <si>
    <t>Jones Chapel</t>
  </si>
  <si>
    <t>Mt. Lebanon Baptist Church Singing</t>
  </si>
  <si>
    <t>&lt;iframe src="https://www.google.com/maps/embed?pb=!1m18!1m12!1m3!1d126215.859032291!2d-87.96196412878426!3d33.768352030017425!2m3!1f0!2f0!3f0!3m2!1i1024!2i768!4f13.1!3m3!1m2!1s0x88864ad3f7a698df%3A0x43862ca215a922ac!2sMt%20Lebanon%20Cemetery%2C%20Fayette%2C%20AL%2035555!5e0!3m2!1sen!2sus!4v1671734337665!5m2!1sen!2sus" width="600" height="450" style="border:0;" allowfullscreen="" loading="lazy" referrerpolicy="no-referrer-when-downgrade"&gt;&lt;/iframe&gt;</t>
  </si>
  <si>
    <t>Sunderland</t>
  </si>
  <si>
    <t>Jul, Sat before 1st Sun</t>
  </si>
  <si>
    <t>Lewes</t>
  </si>
  <si>
    <t>Lewes Sacred Harp Singing Day</t>
  </si>
  <si>
    <t xml:space="preserve">https://www.google.com/maps/place/Church+of+St+Michael+the+Archangel,+South+Malling/@50.8819556,0.0079543,14.92z/data=!4m5!3m4!1s0x47df628441a49579:0xd5a1899a484ca1f0!8m2!3d50.8811445!4d0.0068828?hl=en||South Malling Parish Church, Church Lane Lewes, East Sussex, BN7 2JA, United Kingdom </t>
  </si>
  <si>
    <t>&lt;iframe src="https://www.google.com/maps/embed?pb=!1m18!1m12!1m3!1d30755.7716268376!2d0.001330203226239734!3d50.887709238339355!2m3!1f0!2f0!3f0!3m2!1i1024!2i768!4f13.1!3m3!1m2!1s0x47df628441a49579%3A0xd5a1899a484ca1f0!2sChurch%20of%20St%20Michael%20the%20Archangel%2C%20South%20Malling!5e0!3m2!1sen!2sus!4v1671753174309!5m2!1sen!2sus" width="600" height="450" style="border:0;" allowfullscreen="" loading="lazy" referrerpolicy="no-referrer-when-downgrade"&gt;&lt;/iframe&gt;</t>
  </si>
  <si>
    <t>Henagar-Union Convention</t>
  </si>
  <si>
    <t>Scotland Singing</t>
  </si>
  <si>
    <t>Paisley</t>
  </si>
  <si>
    <t>Cullman County Singing Convention</t>
  </si>
  <si>
    <t>Cullman</t>
  </si>
  <si>
    <t>https://www.google.com/maps/place/Cullman+County+Courthouse/@34.1434621,-86.8364743,10.75z/data=!4m5!3m4!1s0x8889cbc76737600d:0x1ff427858f50991e!8m2!3d34.1723927!4d-86.8417599||Cullman County Courthouse, 500 2nd Ave SW, Cullman, AL 35055</t>
  </si>
  <si>
    <t>&lt;iframe src="https://www.google.com/maps/embed?pb=!1m18!1m12!1m3!1d251321.28696078662!2d-86.83647428184514!3d34.14346213569828!2m3!1f0!2f0!3f0!3m2!1i1024!2i768!4f13.1!3m3!1m2!1s0x8889cbc76737600d%3A0x1ff427858f50991e!2sCullman%20County%20Courthouse!5e0!3m2!1sen!2sus!4v1671754575058!5m2!1sen!2sus" width="600" height="450" style="border:0;" allowfullscreen="" loading="lazy" referrerpolicy="no-referrer-when-downgrade"&gt;&lt;/iframe&gt;</t>
  </si>
  <si>
    <t>J.L. White Book</t>
  </si>
  <si>
    <t>&lt;iframe src="https://www.google.com/maps/embed?pb=!1m18!1m12!1m3!1d39613.32946028281!2d-86.28887093068357!3d32.389964938185344!2m3!1f0!2f0!3f0!3m2!1i1024!2i768!4f13.1!3m3!1m2!1s0x888e817a88e1090f%3A0x734d7a3bbd64b939!2sOld%20Alabama%20Town!5e0!3m2!1sen!2sus!4v1671755422036!5m2!1sen!2sus" width="600" height="450" style="border:0;" allowfullscreen="" loading="lazy" referrerpolicy="no-referrer-when-downgrade"&gt;&lt;/iframe&gt;</t>
  </si>
  <si>
    <t>Walker County Convention</t>
  </si>
  <si>
    <t>Michiana Singing</t>
  </si>
  <si>
    <t>IN</t>
  </si>
  <si>
    <t>Goshen</t>
  </si>
  <si>
    <t>CO</t>
  </si>
  <si>
    <t>Denver</t>
  </si>
  <si>
    <t>Gwehelog Singing Weekend</t>
  </si>
  <si>
    <t xml:space="preserve">https://www.google.com/maps/place/Gwehelog+Methodist+Chapel/@51.7380054,-2.9647966,11.79z/data=!4m5!3m4!1s0x4871c5f839f292ed:0x61a19cd7b19d9364!8m2!3d51.7368278!4d-2.8855868?hl=en||Gwehelog Methodist Chapel Gwehelog, Usk, NP15 1RD, United Kingdom </t>
  </si>
  <si>
    <t>Gwehelog</t>
  </si>
  <si>
    <t>&lt;iframe src="https://www.google.com/maps/embed?pb=!1m18!1m12!1m3!1d71837.23850473651!2d-2.9397769052713434!3d51.71880748542936!2m3!1f0!2f0!3f0!3m2!1i1024!2i768!4f13.1!3m3!1m2!1s0x4871c5f839f292ed%3A0x61a19cd7b19d9364!2sGwehelog%20Methodist%20Chapel!5e0!3m2!1sen!2sus!4v1671762184671!5m2!1sen!2sus" width="600" height="450" style="border:0;" allowfullscreen="" loading="lazy" referrerpolicy="no-referrer-when-downgrade"&gt;&lt;/iframe&gt;</t>
  </si>
  <si>
    <t>Kalamazoo Singing</t>
  </si>
  <si>
    <t>Kalamazoo</t>
  </si>
  <si>
    <t>Chafin, Harbinson, Hollis Memorial Singing</t>
  </si>
  <si>
    <t>https://www.google.com/maps/place/5805+Co+Rd+38,+Hanceville,+AL+35077/@34.003632,-86.9723136,12.49z/data=!4m5!3m4!1s0x88884ce112d50b5f:0xe027f4d5aebddf88!8m2!3d33.9849706!4d-86.9261203||New Prospect Church, 5805 Co Rd 38, Bremen, AL - 33.98495438329874, -86.92609326331402 -</t>
  </si>
  <si>
    <t>&lt;iframe src="https://www.google.com/maps/embed?pb=!1m18!1m12!1m3!1d75565.69206306536!2d-86.97231355509646!3d34.00363196379644!2m3!1f0!2f0!3f0!3m2!1i1024!2i768!4f13.1!3m3!1m2!1s0x88884ce112d50b5f%3A0xe027f4d5aebddf88!2s5805%20Co%20Rd%2038%2C%20Hanceville%2C%20AL%2035077!5e0!3m2!1sen!2sus!4v1671762721459!5m2!1sen!2sus" width="600" height="450" style="border:0;" allowfullscreen="" loading="lazy" referrerpolicy="no-referrer-when-downgrade"&gt;&lt;/iframe&gt;</t>
  </si>
  <si>
    <t>https://www.google.com/maps/place/Gum+Pond+Primitive+Baptist+Church/@34.3156762,-86.7207035,11.86z/data=!4m5!3m4!1s0x8889db9daf75cd7d:0xa5b3cfbea0639277!8m2!3d34.3307933!4d-86.674237||Gum Pond Primitive Baptist Church, 2086 Gum Pond Rd., Eva, AL 35621</t>
  </si>
  <si>
    <t>&lt;iframe src="https://www.google.com/maps/embed?pb=!1m18!1m12!1m3!1d116108.33952570285!2d-86.7207035162161!3d34.315676174276284!2m3!1f0!2f0!3f0!3m2!1i1024!2i768!4f13.1!3m3!1m2!1s0x8889db9daf75cd7d%3A0xa5b3cfbea0639277!2sGum%20Pond%20Primitive%20Baptist%20Church!5e0!3m2!1sen!2sus!4v1671804525829!5m2!1sen!2sus" width="600" height="450" style="border:0;" allowfullscreen="" loading="lazy" referrerpolicy="no-referrer-when-downgrade"&gt;&lt;/iframe&gt;</t>
  </si>
  <si>
    <t>Cotaco Convention</t>
  </si>
  <si>
    <t>Eva</t>
  </si>
  <si>
    <t>Covington County Convention</t>
  </si>
  <si>
    <t>https://www.google.com/maps/place/Warren+Wilson+College/@35.6106795,-82.671471,10.75z/data=!4m5!3m4!1s0x8859f6dd4c2b57b9:0x2a5b3bc3a57371e6!8m2!3d35.611126!4d-82.4422791||Warren Wilson College, 701 Warren Wilson Rd, Swannanoa, NC 28778</t>
  </si>
  <si>
    <t>&lt;iframe src="https://www.google.com/maps/embed?pb=!1m18!1m12!1m3!1d246874.89236073333!2d-82.67147095508402!3d35.610679481314214!2m3!1f0!2f0!3f0!3m2!1i1024!2i768!4f13.1!3m3!1m2!1s0x8859f6dd4c2b57b9%3A0x2a5b3bc3a57371e6!2sWarren%20Wilson%20College!5e0!3m2!1sen!2sus!4v1671804757884!5m2!1sen!2sus" width="600" height="450" style="border:0;" allowfullscreen="" loading="lazy" referrerpolicy="no-referrer-when-downgrade"&gt;&lt;/iframe&gt;</t>
  </si>
  <si>
    <t>Jul, Sat before 4th Sun</t>
  </si>
  <si>
    <t>Jul, 1st Sun &amp; Sat before</t>
  </si>
  <si>
    <t>Jul, 2nd Sun &amp; Sat before</t>
  </si>
  <si>
    <t>Jul, 2nd Sun</t>
  </si>
  <si>
    <t>Jul, 3rd Thur</t>
  </si>
  <si>
    <t>Jul, Sat before 3rd Sun</t>
  </si>
  <si>
    <t>Jul, 3rd Sun &amp; Sat before</t>
  </si>
  <si>
    <t>Jul, 3rd Sun</t>
  </si>
  <si>
    <t>Swannanoa</t>
  </si>
  <si>
    <t>Jul, Varies</t>
  </si>
  <si>
    <t>&lt;iframe src="https://www.google.com/maps/embed?pb=!1m18!1m12!1m3!1d92000.19531259217!2d-85.2119630089713!3d33.64040873591911!2m3!1f0!2f0!3f0!3m2!1i1024!2i768!4f13.1!3m3!1m2!1s0x888b26ca82edc7a1%3A0x171d56a84b1f119a!2sMt%20Zion%20United%20Methodist%20Church!5e0!3m2!1sen!2sus!4v1671805096012!5m2!1sen!2sus" width="600" height="450" style="border:0;" allowfullscreen="" loading="lazy" referrerpolicy="no-referrer-when-downgrade"&gt;&lt;/iframe&gt;</t>
  </si>
  <si>
    <t>Mt. Zion Memorial</t>
  </si>
  <si>
    <t>Mt. Zion</t>
  </si>
  <si>
    <t>Jul, 4th Sun</t>
  </si>
  <si>
    <t>Montreal</t>
  </si>
  <si>
    <t>Young People's Singing</t>
  </si>
  <si>
    <t>Eugene Singing</t>
  </si>
  <si>
    <t>Eugene</t>
  </si>
  <si>
    <t>Aug, Sat before 1st Sun</t>
  </si>
  <si>
    <t>Lunsford and Jolly Memorial</t>
  </si>
  <si>
    <t>https://www.google.com/maps/place/Christ+Lutheran+Church/@32.800763,-117.2948921,12.14z/data=!4m5!3m4!1s0x80dc01924abf9b07:0xffb09c1874c83d90!8m2!3d32.8018974!4d-117.2529604||Christ Lutheran Church, 4761 Cass St, San Diego, CA 92109</t>
  </si>
  <si>
    <t>&lt;iframe src="https://www.google.com/maps/embed?pb=!1m18!1m12!1m3!1d97467.92595376942!2d-117.29489205979783!3d32.80076304511877!2m3!1f0!2f0!3f0!3m2!1i1024!2i768!4f13.1!3m3!1m2!1s0x80dc01924abf9b07%3A0xffb09c1874c83d90!2sChrist%20Lutheran%20Church!5e0!3m2!1sen!2sus!4v1671807115344!5m2!1sen!2sus" width="600" height="450" style="border:0;" allowfullscreen="" loading="lazy" referrerpolicy="no-referrer-when-downgrade"&gt;&lt;/iframe&gt;</t>
  </si>
  <si>
    <t>San Diego</t>
  </si>
  <si>
    <t>Fayette County Convention</t>
  </si>
  <si>
    <t>Aug, 1st Sun</t>
  </si>
  <si>
    <t>https://www.google.com/maps/place/Red+Oak+Baptist+Church/@31.1613944,-86.4767588,11.24z/data=!4m5!3m4!1s0x889193cb6189f105:0x9ee2b45e88180a1a!8m2!3d31.139752!4d-86.4610261||Red Oak Baptist Church, 13667 AL-55, Florala, AL 36442</t>
  </si>
  <si>
    <t>&lt;iframe src="https://www.google.com/maps/embed?pb=!1m18!1m12!1m3!1d185517.42220328632!2d-86.47675876832089!3d31.16139442547518!2m3!1f0!2f0!3f0!3m2!1i1024!2i768!4f13.1!3m3!1m2!1s0x889193cb6189f105%3A0x9ee2b45e88180a1a!2sRed%20Oak%20Baptist%20Church!5e0!3m2!1sen!2sus!4v1671807540223!5m2!1sen!2sus" width="600" height="450" style="border:0;" allowfullscreen="" loading="lazy" referrerpolicy="no-referrer-when-downgrade"&gt;&lt;/iframe&gt;</t>
  </si>
  <si>
    <t>Florala</t>
  </si>
  <si>
    <t>Calhoun County Convention</t>
  </si>
  <si>
    <t>Aug, Sat before 2nd Sun</t>
  </si>
  <si>
    <t>East Kentucky All-Day Singing</t>
  </si>
  <si>
    <t>https://www.google.com/maps/place/Calvary+Campus/@37.5002207,-83.370667,8.53z/data=!4m5!3m4!1s0x88452cf4381ac5b9:0x46b6ac219587a7d0!8m2!3d37.145786!4d-82.9583473||Calvary Campus, 31 Stuart Robinson Road, Letcher, Kentucky 41832</t>
  </si>
  <si>
    <t>&lt;iframe src="https://www.google.com/maps/embed?pb=!1m18!1m12!1m3!1d1124116.742584505!2d-83.37066697062899!3d37.50022070326923!2m3!1f0!2f0!3f0!3m2!1i1024!2i768!4f13.1!3m3!1m2!1s0x88452cf4381ac5b9%3A0x46b6ac219587a7d0!2sCalvary%20Campus!5e0!3m2!1sen!2sus!4v1671807727979!5m2!1sen!2sus" width="600" height="450" style="border:0;" allowfullscreen="" loading="lazy" referrerpolicy="no-referrer-when-downgrade"&gt;&lt;/iframe&gt;</t>
  </si>
  <si>
    <t>Letcher</t>
  </si>
  <si>
    <t>Ann Sleeva Memorial Cooper Book Singing</t>
  </si>
  <si>
    <t>Winchester</t>
  </si>
  <si>
    <t>&lt;iframe src="https://www.google.com/maps/embed?pb=!1m18!1m12!1m3!1d49567.68211673974!2d-1.354252963901251!3d51.07762842704238!2m3!1f0!2f0!3f0!3m2!1i1024!2i768!4f13.1!3m3!1m2!1s0x48740d92cc99f059%3A0xe23fe92c69204163!2sSt.%20Paul&amp;#39;s%20Church!5e0!3m2!1sen!2sus!4v1671808000417!5m2!1sen!2sus" width="600" height="450" style="border:0;" allowfullscreen="" loading="lazy" referrerpolicy="no-referrer-when-downgrade"&gt;&lt;/iframe&gt;</t>
  </si>
  <si>
    <t>Winchester Singing</t>
  </si>
  <si>
    <t>East Texas Sacred Harp Convention</t>
  </si>
  <si>
    <t>Aug, 2nd Sun &amp; Sat before</t>
  </si>
  <si>
    <t>&lt;iframe src="https://www.google.com/maps/embed?pb=!1m18!1m12!1m3!1d98164.46966578382!2d-94.87078459896941!3d32.15985190804491!2m3!1f0!2f0!3f0!3m2!1i1024!2i768!4f13.1!3m3!1m2!1s0x8637ceace7738ea5%3A0x4e9bfa90de9ca85f!2sHenderson%20Civic%20Center!5e0!3m2!1sen!2sus!4v1671808136342!5m2!1sen!2sus" width="600" height="450" style="border:0;" allowfullscreen="" loading="lazy" referrerpolicy="no-referrer-when-downgrade"&gt;&lt;/iframe&gt;</t>
  </si>
  <si>
    <t>Lenox</t>
  </si>
  <si>
    <t>Aug, Sat before 3rd Sun</t>
  </si>
  <si>
    <t>&lt;iframe src="https://www.google.com/maps/embed?pb=!1m18!1m12!1m3!1d88233.19278991864!2d-87.22123242436756!3d31.33919975999748!2m3!1f0!2f0!3f0!3m2!1i1024!2i768!4f13.1!3m3!1m2!1s0x88903c2c599c3615%3A0xc65a34b9588d5761!2sRamah%20Church!5e0!3m2!1sen!2sus!4v1671808475906!5m2!1sen!2sus" width="600" height="450" style="border:0;" allowfullscreen="" loading="lazy" referrerpolicy="no-referrer-when-downgrade"&gt;&lt;/iframe&gt;</t>
  </si>
  <si>
    <t>Ramah Church Singing</t>
  </si>
  <si>
    <t>Aug, 3rd Sun &amp; Sat before</t>
  </si>
  <si>
    <t>Berlin Singing Weekend</t>
  </si>
  <si>
    <t>Aug, 3rd Sun</t>
  </si>
  <si>
    <t>Cleburne County Convention</t>
  </si>
  <si>
    <t>https://www.google.com/maps/place/Edwardsville+Baptist+Church/@33.7147437,-85.5690496,12.14z/data=!4m5!3m4!1s0x888b03ce75b15f0b:0x1e21a9478c1d45d6!8m2!3d33.7064766!4d-85.5088489||Edwardsville Baptist Church, 4062 Burton St, Heflin, AL 36264</t>
  </si>
  <si>
    <t>&lt;iframe src="https://www.google.com/maps/embed?pb=!1m18!1m12!1m3!1d96453.53452174013!2d-85.56904963440064!3d33.71474365090053!2m3!1f0!2f0!3f0!3m2!1i1024!2i768!4f13.1!3m3!1m2!1s0x888b03ce75b15f0b%3A0x1e21a9478c1d45d6!2sEdwardsville%20Baptist%20Church!5e0!3m2!1sen!2sus!4v1671811160376!5m2!1sen!2sus" width="600" height="450" style="border:0;" allowfullscreen="" loading="lazy" referrerpolicy="no-referrer-when-downgrade"&gt;&lt;/iframe&gt;</t>
  </si>
  <si>
    <t>Winfield</t>
  </si>
  <si>
    <t>&lt;iframe src="https://www.google.com/maps/embed?pb=!1m18!1m12!1m3!1d266655.34860341955!2d-84.12664383897275!3d31.44588679182865!2m3!1f0!2f0!3f0!3m2!1i1024!2i768!4f13.1!3m3!1m2!1s0x88edf45b370368bd%3A0xeade1dce47a9398d!2sMount%20Pisgah%20Primitive%20Baptist%20Church!5e0!3m2!1sen!2sus!4v1671812594868!5m2!1sen!2sus" width="600" height="450" style="border:0;" allowfullscreen="" loading="lazy" referrerpolicy="no-referrer-when-downgrade"&gt;&lt;/iframe&gt;</t>
  </si>
  <si>
    <t>Aug, 4th Sun &amp; Sat before</t>
  </si>
  <si>
    <t>Palo Alto Singing, Marian Bush Memorial</t>
  </si>
  <si>
    <t>Floyd County All-Day Singing</t>
  </si>
  <si>
    <t>Ont</t>
  </si>
  <si>
    <t>Mississippi State Convention</t>
  </si>
  <si>
    <t>Forest</t>
  </si>
  <si>
    <t>Toronto</t>
  </si>
  <si>
    <t>https://www.google.com/maps/place/Antioch+Primitive+Baptist+Church/@32.4614505,-89.5149082,11.86z/data=!4m5!3m4!1s0x88825371b7d68ef7:0x9c6acd58d67af4c1!8m2!3d32.4598934!4d-89.4254755||Antioch Primitive Baptist Church, 6931 MS-21, Forest, MS 39074</t>
  </si>
  <si>
    <t>&lt;iframe src="https://www.google.com/maps/embed?pb=!1m18!1m12!1m3!1d191796.45621499076!2d-89.49434664264169!3d32.53104056864583!2m3!1f0!2f0!3f0!3m2!1i1024!2i768!4f13.1!3m3!1m2!1s0x88825371b7d68ef7%3A0x9c6acd58d67af4c1!2sAntioch%20Primitive%20Baptist%20Church!5e0!3m2!1sen!2sus!4v1671814753976!5m2!1sen!2sus" width="600" height="450" style="border:0;" allowfullscreen="" loading="lazy" referrerpolicy="no-referrer-when-downgrade"&gt;&lt;/iframe&gt;</t>
  </si>
  <si>
    <t>Aug, Sat before 4th Sun</t>
  </si>
  <si>
    <t>Lookout Mountain Convention</t>
  </si>
  <si>
    <t>&lt;iframe src="https://www.google.com/maps/embed?pb=!1m18!1m12!1m3!1d62318.676530004755!2d-93.27723037489368!3d32.333507130792704!2m3!1f0!2f0!3f0!3m2!1i1024!2i768!4f13.1!3m3!1m2!1s0x863102b349b8c6a1%3A0x4b63c1ee5e965751!2sProvidence%20Church!5e0!3m2!1sen!2sus!4v1671815683286!5m2!1sen!2sus" width="600" height="450" style="border:0;" allowfullscreen="" loading="lazy" referrerpolicy="no-referrer-when-downgrade"&gt;&lt;/iframe&gt;</t>
  </si>
  <si>
    <t>LA</t>
  </si>
  <si>
    <t>Ringgold</t>
  </si>
  <si>
    <t>Leesport</t>
  </si>
  <si>
    <t>https://www.google.com/maps/place/Maiden+Creek+Friends+Meeting/@40.4566113,-75.9881189,12.49z/data=!4m5!3m4!1s0x89c5d8e84d0597f3:0x4c881ecc20f5c613!8m2!3d40.4621659!4d-75.9307312||Maiden Creek Friends Meeting, 27 W Shore Dr, Hamburg, PA 19526</t>
  </si>
  <si>
    <t>&lt;iframe src="https://www.google.com/maps/embed?pb=!1m18!1m12!1m3!1d52959.24482851012!2d-75.93811982028602!3d40.46994738987623!2m3!1f0!2f0!3f0!3m2!1i1024!2i768!4f13.1!3m3!1m2!1s0x89c5d8e84d0597f3%3A0x4c881ecc20f5c613!2sMaiden%20Creek%20Friends%20Meeting!5e0!3m2!1sen!2sus!4v1671816036032!5m2!1sen!2sus" width="600" height="450" style="border:0;" allowfullscreen="" loading="lazy" referrerpolicy="no-referrer-when-downgrade"&gt;&lt;/iframe&gt;</t>
  </si>
  <si>
    <t>Mulberry River Convention</t>
  </si>
  <si>
    <t>https://www.google.com/maps/place/Old+County+Line+Church/@33.8106584,-86.9476947,13.88z/data=!4m5!3m4!1s0x888855d4b22ef0c7:0x2b57dbe2e51c9b68!8m2!3d33.8070521!4d-86.9276436||Old County Line Church, 9282 Miller Rd, Warrior, AL 35180</t>
  </si>
  <si>
    <t>https://www.google.com/maps/place/Island+Park/@41.8502579,-88.3731084,11.96z/data=!4m13!1m7!3m6!1s0x880efd14526ef069:0x8428587de504ece2!2sIsland+Park!3b1!8m2!3d41.8842357!4d-88.3018582!3m4!1s0x880efd15b244ea5d:0x784d876572150f6c!8m2!3d41.8838735!4d-88.3017564||Island Park, Geneva IL 60134</t>
  </si>
  <si>
    <t>&lt;iframe src="https://www.google.com/maps/embed?pb=!1m18!1m12!1m3!1d97890.09748947903!2d-88.37310842506514!3d41.850257928786505!2m3!1f0!2f0!3f0!3m2!1i1024!2i768!4f13.1!3m3!1m2!1s0x880efd15b244ea5d%3A0x784d876572150f6c!2sIsland%20Park!5e0!3m2!1sen!2sus!4v1671816682446!5m2!1sen!2sus" width="600" height="450" style="border:0;" allowfullscreen="" loading="lazy" referrerpolicy="no-referrer-when-downgrade"&gt;&lt;/iframe&gt;</t>
  </si>
  <si>
    <t>Fox Valley Folk Festival Singing</t>
  </si>
  <si>
    <t>Geneva</t>
  </si>
  <si>
    <t>Clear Creek West Convention</t>
  </si>
  <si>
    <t>Shiloh-Littlevine Singing</t>
  </si>
  <si>
    <t>Nall and Floyd Memorial</t>
  </si>
  <si>
    <t>Molino</t>
  </si>
  <si>
    <t>https://www.google.com/maps/place/Little+Flock+Primitive+Baptist/@30.7238051,-87.4685412,11.58z/data=!4m5!3m4!1s0x88908f88c48b3507:0x3b8c5fba85a5f9d1!8m2!3d30.7178999!4d-87.3775289||Little Flock Primitive Baptist Church, 3218 Molino Rd, Molino, FL 32577</t>
  </si>
  <si>
    <t>&lt;iframe src="https://www.google.com/maps/embed?pb=!1m18!1m12!1m3!1d146503.79368374264!2d-87.46854116282036!3d30.723805054637076!2m3!1f0!2f0!3f0!3m2!1i1024!2i768!4f13.1!3m3!1m2!1s0x88908f88c48b3507%3A0x3b8c5fba85a5f9d1!2sLittle%20Flock%20Primitive%20Baptist!5e0!3m2!1sen!2sus!4v1671817920127!5m2!1sen!2sus" width="600" height="450" style="border:0;" allowfullscreen="" loading="lazy" referrerpolicy="no-referrer-when-downgrade"&gt;&lt;/iframe&gt;</t>
  </si>
  <si>
    <t>Greenville-Pioneer Day Singing</t>
  </si>
  <si>
    <t>Cape Meares</t>
  </si>
  <si>
    <t>https://www.google.com/maps/place/5690+4th+St+NW,+Tillamook,+OR+97141/@45.5044999,-123.9864679,13.61z/data=!4m5!3m4!1s0x54eb2dd846d18637:0x81a0fcf0d209fc45!8m2!3d45.4990132!4d-123.9587262||Community Schoolhouse, Cape Meares, Oregon</t>
  </si>
  <si>
    <t>&lt;iframe src="https://www.google.com/maps/embed?pb=!1m18!1m12!1m3!1d29291.215891384752!2d-123.9864679489407!3d45.50449994322585!2m3!1f0!2f0!3f0!3m2!1i1024!2i768!4f13.1!3m3!1m2!1s0x54eb2dd846d18637%3A0x81a0fcf0d209fc45!2s5690%204th%20St%20NW%2C%20Tillamook%2C%20OR%2097141!5e0!3m2!1sen!2sus!4v1671818399405!5m2!1sen!2sus" width="600" height="450" style="border:0;" allowfullscreen="" loading="lazy" referrerpolicy="no-referrer-when-downgrade"&gt;&lt;/iframe&gt;</t>
  </si>
  <si>
    <t>Sweden</t>
  </si>
  <si>
    <t>Swe</t>
  </si>
  <si>
    <t>Uppsala</t>
  </si>
  <si>
    <t>New York City</t>
  </si>
  <si>
    <t>Sep, Sat before 3rd Sun</t>
  </si>
  <si>
    <t>Sep, 2nd Sun &amp; Sat before</t>
  </si>
  <si>
    <t>Sep, Sat after Labor Day</t>
  </si>
  <si>
    <t>Lee Rogers Memorial Singing</t>
  </si>
  <si>
    <t>Illinois State Convention</t>
  </si>
  <si>
    <t>Clinton</t>
  </si>
  <si>
    <t>https://www.google.com/maps/place/Texas+Christian+Church/@40.0844621,-89.0796229,11.79z/data=!4m5!3m4!1s0x864ea01ab3d652ad:0xfd2c4271f5f9383e!8m2!3d40.0934887!4d-88.9893685||Texas Christian Church, 8301 Texas Church Rd, Clinton, IL 61727</t>
  </si>
  <si>
    <t>&lt;iframe src="https://www.google.com/maps/embed?pb=!1m18!1m12!1m3!1d112858.32016179147!2d-89.07962293676022!3d40.0844620711092!2m3!1f0!2f0!3f0!3m2!1i1024!2i768!4f13.1!3m3!1m2!1s0x864ea01ab3d652ad%3A0xfd2c4271f5f9383e!2sTexas%20Christian%20Church!5e0!3m2!1sen!2sus!4v1671819615892!5m2!1sen!2sus" width="600" height="450" style="border:0;" allowfullscreen="" loading="lazy" referrerpolicy="no-referrer-when-downgrade"&gt;&lt;/iframe&gt;</t>
  </si>
  <si>
    <t>Middle Creek Convention</t>
  </si>
  <si>
    <t>Santa Cruz Singing</t>
  </si>
  <si>
    <t>Santa Cruz</t>
  </si>
  <si>
    <t>United Kingdom Sacred Harp Convention</t>
  </si>
  <si>
    <t>Sep, 3rd Sun &amp; Sat before</t>
  </si>
  <si>
    <t>Sep, 3rd Sun</t>
  </si>
  <si>
    <t>Cornelius Benjamin Keeton and Travis Keeton Memorial Singing</t>
  </si>
  <si>
    <t>J.L. White Sacred Harp Singing</t>
  </si>
  <si>
    <t>Goodwater</t>
  </si>
  <si>
    <t>https://www.google.com/maps/place/Smyrna+Cemetery,+Goodwater,+AL+35072/@33.0700018,-86.260622,10.4z/data=!4m5!3m4!1s0x888bf67b1dddafcb:0x61ed8e4dbc99679c!8m2!3d33.0523987!4d-86.0209268||Smyrna Primitive Baptist Church, Co Rd 83, Goodwater, Alabama 35072</t>
  </si>
  <si>
    <t>&lt;iframe src="https://www.google.com/maps/embed?pb=!1m18!1m12!1m3!1d323713.77785814466!2d-86.2606220380192!3d33.07000176894719!2m3!1f0!2f0!3f0!3m2!1i1024!2i768!4f13.1!3m3!1m2!1s0x888bf67b1dddafcb%3A0x61ed8e4dbc99679c!2sSmyrna%20Cemetery%2C%20Goodwater%2C%20AL%2035072!5e0!3m2!1sen!2sus!4v1671820874108!5m2!1sen!2sus" width="600" height="450" style="border:0;" allowfullscreen="" loading="lazy" referrerpolicy="no-referrer-when-downgrade"&gt;&lt;/iframe&gt;</t>
  </si>
  <si>
    <t>Alabama State Christian Harmony Convention</t>
  </si>
  <si>
    <t>Poland</t>
  </si>
  <si>
    <t>Pol</t>
  </si>
  <si>
    <t>Winston County Convention</t>
  </si>
  <si>
    <t>https://www.google.com/maps/place/AL-195+%26+Co+Rd+18,+Alabama+35553/@34.189006,-87.4613528,12.42z/data=!4m5!3m4!1s0x88880c494bac918f:0x5634a3bb0ca515b1!8m2!3d34.187672!4d-87.4267926||Shady Grove Primitive Baptist Church, Double Springs AL - 34.18892986800541, -87.42600710374485</t>
  </si>
  <si>
    <t>&lt;iframe src="https://www.google.com/maps/embed?pb=!1m18!1m12!1m3!1d79118.55264315121!2d-87.46135282047806!3d34.1890059858534!2m3!1f0!2f0!3f0!3m2!1i1024!2i768!4f13.1!3m3!1m2!1s0x88880c494bac918f%3A0x5634a3bb0ca515b1!2sAL-195%20%26%20Co%20Rd%2018%2C%20Alabama%2035553!5e0!3m2!1sen!2sus!4v1671821809781!5m2!1sen!2sus" width="600" height="450" style="border:0;" allowfullscreen="" loading="lazy" referrerpolicy="no-referrer-when-downgrade"&gt;&lt;/iframe&gt;</t>
  </si>
  <si>
    <t>Poplar Springs Primitive Baptist Church Singing</t>
  </si>
  <si>
    <t>https://www.google.com/maps/place/Poplar+Springs+Cemetery,+6417+Smithfield+Rd,+Bowdon,+GA+30108/@33.6101553,-85.2683863,12.65z/data=!4m5!3m4!1s0x888b18a741e65eb1:0x8cb8532910dfaef1!8m2!3d33.6018349!4d-85.2733791||Poplar Springs Primitive Baptist Church, 6417 Smithfield Rd, Bowdon, GA 30108</t>
  </si>
  <si>
    <t>&lt;iframe src="https://www.google.com/maps/embed?pb=!1m18!1m12!1m3!1d67631.68186613053!2d-85.26838632521417!3d33.610155340940196!2m3!1f0!2f0!3f0!3m2!1i1024!2i768!4f13.1!3m3!1m2!1s0x888b18a741e65eb1%3A0x8cb8532910dfaef1!2sPoplar%20Springs%20Cemetery%2C%206417%20Smithfield%20Rd%2C%20Bowdon%2C%20GA%2030108!5e0!3m2!1sen!2sus!4v1671822321971!5m2!1sen!2sus" width="600" height="450" style="border:0;" allowfullscreen="" loading="lazy" referrerpolicy="no-referrer-when-downgrade"&gt;&lt;/iframe&gt;</t>
  </si>
  <si>
    <t>Bowdon</t>
  </si>
  <si>
    <t>Sep, 4th Sun &amp; Sat before</t>
  </si>
  <si>
    <t>Sep, 4th Sun</t>
  </si>
  <si>
    <t>Oct, Sat before 1st Sun</t>
  </si>
  <si>
    <t>Shady Grove Cooper Book Singing</t>
  </si>
  <si>
    <t>Oct, 1st Sun</t>
  </si>
  <si>
    <t>South Georgia Sacred Harp Singing Convention</t>
  </si>
  <si>
    <t>Alexander, Hullett, Lowe, Brothers, Wootten Memorial</t>
  </si>
  <si>
    <t xml:space="preserve">AL </t>
  </si>
  <si>
    <t>Columbia Singing</t>
  </si>
  <si>
    <t>Columbia</t>
  </si>
  <si>
    <t>Oct, Sat before 2nd Sun</t>
  </si>
  <si>
    <t>https://www.google.com/maps/place/Dripping+Spring+Christian+Church/@39.1140589,-92.6225453,10.4z/data=!4m5!3m4!1s0x87dcce8709717603:0xe7b880f1ebe4f841!8m2!3d39.0869127!4d-92.374146||Dripping Springs Christian Church, 2701 Dripping Springs Rd., Columbia, Missouri</t>
  </si>
  <si>
    <t>&lt;iframe src="https://www.google.com/maps/embed?pb=!1m18!1m12!1m3!1d299720.1142443127!2d-92.62254533665818!3d39.11405890664775!2m3!1f0!2f0!3f0!3m2!1i1024!2i768!4f13.1!3m3!1m2!1s0x87dcce8709717603%3A0xe7b880f1ebe4f841!2sDripping%20Spring%20Christian%20Church!5e0!3m2!1sen!2sus!4v1671823390921!5m2!1sen!2sus" width="600" height="450" style="border:0;" allowfullscreen="" loading="lazy" referrerpolicy="no-referrer-when-downgrade"&gt;&lt;/iframe&gt;</t>
  </si>
  <si>
    <t>https://www.google.com/maps/place/Taylor+Methodist+Church/@34.2598595,-89.7952366,10.96z/data=!4m5!3m4!1s0x88806ee261113981:0x4119929a1814f88!8m2!3d34.271786!4d-89.5884111||Taylor UMC, 11 Main St, Taylor, MS 38673</t>
  </si>
  <si>
    <t>&lt;iframe src="https://www.google.com/maps/embed?pb=!1m18!1m12!1m3!1d217227.6311202005!2d-89.79523657851895!3d34.25985949452473!2m3!1f0!2f0!3f0!3m2!1i1024!2i768!4f13.1!3m3!1m2!1s0x88806ee261113981%3A0x4119929a1814f88!2sTaylor%20Methodist%20Church!5e0!3m2!1sen!2sus!4v1671823499792!5m2!1sen!2sus" width="600" height="450" style="border:0;" allowfullscreen="" loading="lazy" referrerpolicy="no-referrer-when-downgrade"&gt;&lt;/iframe&gt;</t>
  </si>
  <si>
    <t>Taylor United Methodist Church Singing</t>
  </si>
  <si>
    <t>Taylor</t>
  </si>
  <si>
    <t>Tennessee State Sacred Harp Singing</t>
  </si>
  <si>
    <t>https://www.google.com/maps/place/Arlington+United+Methodist+Church/@36.1472662,-86.6912753,12.11z/data=!4m5!3m4!1s0x88646edb9fa809e3:0x2dfdd47dd16140ee!8m2!3d36.1154227!4d-86.6942452||Arlington UMC, 1360 Murfreesboro Pike, Nashville, TN 37217</t>
  </si>
  <si>
    <t>&lt;iframe src="https://www.google.com/maps/embed?pb=!1m18!1m12!1m3!1d95455.2535490925!2d-86.69127529081405!3d36.147266242492606!2m3!1f0!2f0!3f0!3m2!1i1024!2i768!4f13.1!3m3!1m2!1s0x88646edb9fa809e3%3A0x2dfdd47dd16140ee!2sArlington%20United%20Methodist%20Church!5e0!3m2!1sen!2sus!4v1671823931819!5m2!1sen!2sus" width="600" height="450" style="border:0;" allowfullscreen="" loading="lazy" referrerpolicy="no-referrer-when-downgrade"&gt;&lt;/iframe&gt;</t>
  </si>
  <si>
    <t>Albany</t>
  </si>
  <si>
    <t>Oct, 3rd Sun &amp; Sat before</t>
  </si>
  <si>
    <t>New York State Convention</t>
  </si>
  <si>
    <t>https://www.google.com/maps/place/The+Laurelhurst+Club/@45.5570794,-122.6133078,12.14z/data=!4m5!3m4!1s0x5495a0ea0375c44b:0x863e21a7063fa050!8m2!3d45.5228717!4d-122.6246031||The Laurelhurst Club, 3721 SE Ankeny St, Portland, OR 97214</t>
  </si>
  <si>
    <t>&lt;iframe src="https://www.google.com/maps/embed?pb=!1m18!1m12!1m3!1d81192.21880791642!2d-122.61330782454425!3d45.55707943204198!2m3!1f0!2f0!3f0!3m2!1i1024!2i768!4f13.1!3m3!1m2!1s0x5495a0ea0375c44b%3A0x863e21a7063fa050!2sThe%20Laurelhurst%20Club!5e0!3m2!1sen!2sus!4v1671824124784!5m2!1sen!2sus" width="600" height="450" style="border:0;" allowfullscreen="" loading="lazy" referrerpolicy="no-referrer-when-downgrade"&gt;&lt;/iframe&gt;</t>
  </si>
  <si>
    <t>Andrew’s Chapel Singing</t>
  </si>
  <si>
    <t>Oct, 3rd Sun</t>
  </si>
  <si>
    <t>Reid Memorial Singing</t>
  </si>
  <si>
    <t>Sitka</t>
  </si>
  <si>
    <t>Alaska Sacred Harp Convention</t>
  </si>
  <si>
    <t>Oct, Sat before 4th Sun</t>
  </si>
  <si>
    <t>Seed and Feed Sacred Harp Singing</t>
  </si>
  <si>
    <t>Putnam, Light, and King Memorial</t>
  </si>
  <si>
    <t>https://www.google.com/maps/place/Mount+Oak+Methodist+Church/@34.3865112,-86.6004865,12.14z/data=!4m5!3m4!1s0x8889e72e2ce733c5:0x9d074602138b5844!8m2!3d34.3633665!4d-86.5505875||Mount Oak Methodist Church, 3375 Ruth Rd, Arab, AL 35016</t>
  </si>
  <si>
    <t>&lt;iframe src="https://www.google.com/maps/embed?pb=!1m18!1m12!1m3!1d95692.30213888807!2d-86.60048647896654!3d34.386511187607404!2m3!1f0!2f0!3f0!3m2!1i1024!2i768!4f13.1!3m3!1m2!1s0x8889e72e2ce733c5%3A0x9d074602138b5844!2sMount%20Oak%20Methodist%20Church!5e0!3m2!1sen!2sus!4v1671824880839!5m2!1sen!2sus" width="600" height="450" style="border:0;" allowfullscreen="" loading="lazy" referrerpolicy="no-referrer-when-downgrade"&gt;&lt;/iframe&gt;</t>
  </si>
  <si>
    <t>Arab</t>
  </si>
  <si>
    <t>David Rust Memorial Fall Singing</t>
  </si>
  <si>
    <t>Northwest Arkansas Fall Singing</t>
  </si>
  <si>
    <t>Newton</t>
  </si>
  <si>
    <t>https://www.google.com/maps/place/Church+of+the+Redeemer/@42.3135571,-71.1203153,11.79z/data=!4m5!3m4!1s0x89e378f4cf195e11:0x5fc7250e0bf98e0!8m2!3d42.329504!4d-71.1683239||Church of the Redeemer, 379 Hammond Street, Newton, Massachusetts 02467</t>
  </si>
  <si>
    <t>&lt;iframe src="https://www.google.com/maps/embed?pb=!1m18!1m12!1m3!1d109078.52443742396!2d-71.12031528358871!3d42.313557143195176!2m3!1f0!2f0!3f0!3m2!1i1024!2i768!4f13.1!3m3!1m2!1s0x89e378f4cf195e11%3A0x5fc7250e0bf98e0!2sChurch%20of%20the%20Redeemer!5e0!3m2!1sen!2sus!4v1671825273293!5m2!1sen!2sus" width="600" height="450" style="border:0;" allowfullscreen="" loading="lazy" referrerpolicy="no-referrer-when-downgrade"&gt;&lt;/iframe&gt;</t>
  </si>
  <si>
    <t>Newton Singing</t>
  </si>
  <si>
    <t>London Singing</t>
  </si>
  <si>
    <t>London</t>
  </si>
  <si>
    <t>Oct, 4th Sun</t>
  </si>
  <si>
    <t>Dallas</t>
  </si>
  <si>
    <t>Nov, Sat before 1st Sun</t>
  </si>
  <si>
    <t>Dallas Singing</t>
  </si>
  <si>
    <t>https://www.google.com/maps/place/Cochran+Chapel+UMC/@32.8342504,-96.8878291,11.1z/data=!4m5!3m4!1s0x864e9dd89c4b9ad1:0x8aeb2806be3a09c7!8m2!3d32.8626623!4d-96.8362514||Meaders Hall, Cochran Chapel United Methodist Church, 9027 Midway Rd., Dallas, Texas</t>
  </si>
  <si>
    <t>&lt;iframe src="https://www.google.com/maps/embed?pb=!1m18!1m12!1m3!1d200572.29009186575!2d-96.88782912289768!3d32.8342503507729!2m3!1f0!2f0!3f0!3m2!1i1024!2i768!4f13.1!3m3!1m2!1s0x864e9dd89c4b9ad1%3A0x8aeb2806be3a09c7!2sCochran%20Chapel%20UMC!5e0!3m2!1sen!2sus!4v1671825972516!5m2!1sen!2sus" width="600" height="450" style="border:0;" allowfullscreen="" loading="lazy" referrerpolicy="no-referrer-when-downgrade"&gt;&lt;/iframe&gt;</t>
  </si>
  <si>
    <t>Velton Chafin Memorial Singing</t>
  </si>
  <si>
    <t>Denney Memorial</t>
  </si>
  <si>
    <t>https://www.google.com/maps/place/Emmaus+Primitive+Baptist+Church/@33.5367061,-85.1298584,12.14z/data=!4m5!3m4!1s0x888b301f128bab25:0xf16347219f9b28fe!8m2!3d33.5169154!4d-85.087172||Emmaus Primitive Baptist Church, 2063 Oak Grove Church Rd, Carrollton, GA 30117</t>
  </si>
  <si>
    <t>&lt;iframe src="https://www.google.com/maps/embed?pb=!1m18!1m12!1m3!1d96653.06440000694!2d-85.12985836486419!3d33.53670612179736!2m3!1f0!2f0!3f0!3m2!1i1024!2i768!4f13.1!3m3!1m2!1s0x888b301f128bab25%3A0xf16347219f9b28fe!2sEmmaus%20Primitive%20Baptist%20Church!5e0!3m2!1sen!2sus!4v1671826191050!5m2!1sen!2sus" width="600" height="450" style="border:0;" allowfullscreen="" loading="lazy" referrerpolicy="no-referrer-when-downgrade"&gt;&lt;/iframe&gt;</t>
  </si>
  <si>
    <t>https://www.google.com/maps/place/Religious+Society+of+Friends/@41.7866572,-87.6709915,11.44z/data=!4m5!3m4!1s0x880e2914f7fa287b:0x1c219a6b8c4c0d18!8m2!3d41.7927607!4d-87.5962609||57th Street Meeting of Friends, 5615 S. Woodlawn, Chicago IL</t>
  </si>
  <si>
    <t>&lt;iframe src="https://www.google.com/maps/embed?pb=!1m18!1m12!1m3!1d139915.55270610555!2d-87.67099151382006!3d41.786657242447795!2m3!1f0!2f0!3f0!3m2!1i1024!2i768!4f13.1!3m3!1m2!1s0x880e2914f7fa287b%3A0x1c219a6b8c4c0d18!2sReligious%20Society%20of%20Friends!5e0!3m2!1sen!2sus!4v1671826371968!5m2!1sen!2sus" width="600" height="450" style="border:0;" allowfullscreen="" loading="lazy" referrerpolicy="no-referrer-when-downgrade"&gt;&lt;/iframe&gt;</t>
  </si>
  <si>
    <t>Hyde Park Singing</t>
  </si>
  <si>
    <t>Sadsbury Cooper Book Singing</t>
  </si>
  <si>
    <t>&lt;iframe src="https://www.google.com/maps/embed?pb=!1m18!1m12!1m3!1d296237.61852045637!2d-76.03341344158397!3d39.92578292990778!2m3!1f0!2f0!3f0!3m2!1i1024!2i768!4f13.1!3m3!1m2!1s0x89c64677feae35f5%3A0xdd9d57a07a9fae2b!2sSadsbury%20Monthly%20Meeting!5e0!3m2!1sen!2sus!4v1671826476157!5m2!1sen!2sus" width="600" height="450" style="border:0;" allowfullscreen="" loading="lazy" referrerpolicy="no-referrer-when-downgrade"&gt;&lt;/iframe&gt;</t>
  </si>
  <si>
    <t>Gap</t>
  </si>
  <si>
    <t>Nov, 1st Sun</t>
  </si>
  <si>
    <t>Holly Springs Primitive Baptist Church Singing</t>
  </si>
  <si>
    <t>Southeastern Alabama Convention</t>
  </si>
  <si>
    <t>Pleasant Grove</t>
  </si>
  <si>
    <t>Nov, Sat before 2nd Sun</t>
  </si>
  <si>
    <t>Helwig-Coghlan Memorial Singing</t>
  </si>
  <si>
    <t>Rumsey</t>
  </si>
  <si>
    <t>Camden</t>
  </si>
  <si>
    <t>https://www.google.com/maps/place/2403+W+300+N,+Camden,+IN+46917/@40.6658333,-86.3630113,9.15z/data=!4m5!3m4!1s0x88139ffb21775e81:0x81431e9f2110a0d1!8m2!3d40.5912996!4d-86.5714199||2403 W 300 N, Camden, IN 46917</t>
  </si>
  <si>
    <t>&lt;iframe src="https://www.google.com/maps/embed?pb=!1m18!1m12!1m3!1d696900.9998733697!2d-86.36301126762201!3d40.66583325472116!2m3!1f0!2f0!3f0!3m2!1i1024!2i768!4f13.1!3m3!1m2!1s0x88139ffb21775e81%3A0x81431e9f2110a0d1!2s2403%20W%20300%20N%2C%20Camden%2C%20IN%2046917!5e0!3m2!1sen!2sus!4v1671827341832!5m2!1sen!2sus" width="600" height="450" style="border:0;" allowfullscreen="" loading="lazy" referrerpolicy="no-referrer-when-downgrade"&gt;&lt;/iframe&gt;</t>
  </si>
  <si>
    <t>Johnny Lee and Kelly Day Memorial Cooper Book Singing</t>
  </si>
  <si>
    <t>Immanuel Baptist Church Singing</t>
  </si>
  <si>
    <t>https://www.google.com/maps/place/Immanuel+Baptist+Church/@36.1217093,-86.8854306,13.18z/data=!4m5!3m4!1s0x886463b649fa04bf:0x55bb65c750bc640c!8m2!3d36.1115776!4d-86.8536069||Immanuel Baptist Church, 222 Belle Meade Blvd, Nashville, TN 37205</t>
  </si>
  <si>
    <t>&lt;iframe src="https://www.google.com/maps/embed?pb=!1m18!1m12!1m3!1d45499.46626454925!2d-86.88543063385364!3d36.12170925976415!2m3!1f0!2f0!3f0!3m2!1i1024!2i768!4f13.1!3m3!1m2!1s0x886463b649fa04bf%3A0x55bb65c750bc640c!2sImmanuel%20Baptist%20Church!5e0!3m2!1sen!2sus!4v1671827469721!5m2!1sen!2sus" width="600" height="450" style="border:0;" allowfullscreen="" loading="lazy" referrerpolicy="no-referrer-when-downgrade"&gt;&lt;/iframe&gt;</t>
  </si>
  <si>
    <t>https://www.google.com/maps/place/Stapleford+Baptist+Church/@52.9420566,-1.2938341,13.18z/data=!4m5!3m4!1s0x4879e9153c083391:0x3e86548d8f52fb14!8m2!3d52.9306863!4d-1.2728805?hl=en||Stapleford Baptist Church, Albert St, Stapleford, Nottingham NG9 8DB, United Kingdom</t>
  </si>
  <si>
    <t>&lt;iframe src="https://www.google.com/maps/embed?pb=!1m18!1m12!1m3!1d33944.20769535049!2d-1.293834090560471!3d52.942056554852044!2m3!1f0!2f0!3f0!3m2!1i1024!2i768!4f13.1!3m3!1m2!1s0x4879e9153c083391%3A0x3e86548d8f52fb14!2sStapleford%20Baptist%20Church!5e0!3m2!1sen!2sus!4v1671827563005!5m2!1sen!2sus" width="600" height="450" style="border:0;" allowfullscreen="" loading="lazy" referrerpolicy="no-referrer-when-downgrade"&gt;&lt;/iframe&gt;</t>
  </si>
  <si>
    <t>Stapleford Sacred Harp Singing</t>
  </si>
  <si>
    <t>Stapleford</t>
  </si>
  <si>
    <t>James River Convention</t>
  </si>
  <si>
    <t>Richmond</t>
  </si>
  <si>
    <t>Berkshire Foothills Singing</t>
  </si>
  <si>
    <t>WI</t>
  </si>
  <si>
    <t>Milwaukee</t>
  </si>
  <si>
    <t>Calhoun County Convention and Boiling Springs Convention</t>
  </si>
  <si>
    <t>https://www.google.com/maps/place/Oak+Hill+Baptist+Church/@33.5881511,-85.8791088,12.21z/data=!4m5!3m4!1s0x888bb0fc1916a887:0x63d97eddb7879b18!8m2!3d33.5853842!4d-85.8158575||Oak Hill Baptist Church, 1301 County Line Rd, Oxford, AL 36203</t>
  </si>
  <si>
    <t>&lt;iframe src="https://www.google.com/maps/embed?pb=!1m18!1m12!1m3!1d92055.99233786968!2d-85.87910876797768!3d33.588151091162395!2m3!1f0!2f0!3f0!3m2!1i1024!2i768!4f13.1!3m3!1m2!1s0x888bb0fc1916a887%3A0x63d97eddb7879b18!2sOak%20Hill%20Baptist%20Church!5e0!3m2!1sen!2sus!4v1671827853261!5m2!1sen!2sus" width="600" height="450" style="border:0;" allowfullscreen="" loading="lazy" referrerpolicy="no-referrer-when-downgrade"&gt;&lt;/iframe&gt;</t>
  </si>
  <si>
    <t>Nov, 2nd Sun</t>
  </si>
  <si>
    <t>Nov, Sat before 3rd Sun</t>
  </si>
  <si>
    <t>https://www.google.com/maps/place/White+Schoolhouse/@39.0272391,-95.2981757,12.49z/data=!4m5!3m4!1s0x87bf6f83c5cf654d:0x12e82507932b21ec!8m2!3d38.9990539!4d-95.2328382||The White Schoolhouse, 1510 North 3rd Street, Lawrence, Kansas</t>
  </si>
  <si>
    <t>&lt;iframe src="https://www.google.com/maps/embed?pb=!1m18!1m12!1m3!1d70811.58880270843!2d-95.29817568935785!3d39.02723914466411!2m3!1f0!2f0!3f0!3m2!1i1024!2i768!4f13.1!3m3!1m2!1s0x87bf6f83c5cf654d%3A0x12e82507932b21ec!2sWhite%20Schoolhouse!5e0!3m2!1sen!2sus!4v1671828221595!5m2!1sen!2sus" width="600" height="450" style="border:0;" allowfullscreen="" loading="lazy" referrerpolicy="no-referrer-when-downgrade"&gt;&lt;/iframe&gt;</t>
  </si>
  <si>
    <t>KS</t>
  </si>
  <si>
    <t>Lawrence</t>
  </si>
  <si>
    <t>Northeast Kansas Singing</t>
  </si>
  <si>
    <t>Nov, 3rd Sun</t>
  </si>
  <si>
    <t>Wakefield Memorial</t>
  </si>
  <si>
    <t>Lynn</t>
  </si>
  <si>
    <t>Nov, Sat before 4th Sun</t>
  </si>
  <si>
    <t>https://www.google.com/maps/place/Jordans+Village+Hall/@51.5996508,-0.7617902,10.75z/data=!4m5!3m4!1s0x4876671cd2fc0491:0xceacd92bf337db19!8m2!3d51.6140249!4d-0.5964264?hl=en||Jordans Village Hall, Green Road West Jordans, Buckinghamshire, HP9 2SY, UK</t>
  </si>
  <si>
    <t>&lt;iframe src="https://www.google.com/maps/embed?pb=!1m18!1m12!1m3!1d188620.45928129533!2d-0.7617902073113321!3d51.59965084217184!2m3!1f0!2f0!3f0!3m2!1i1024!2i768!4f13.1!3m3!1m2!1s0x4876671cd2fc0491%3A0xceacd92bf337db19!2sJordans%20Village%20Hall!5e0!3m2!1sen!2sus!4v1671828696000!5m2!1sen!2sus" width="600" height="450" style="border:0;" allowfullscreen="" loading="lazy" referrerpolicy="no-referrer-when-downgrade"&gt;&lt;/iframe&gt;</t>
  </si>
  <si>
    <t>Jordans</t>
  </si>
  <si>
    <t>Dec, 1st Sat</t>
  </si>
  <si>
    <t>Florida State Sacred Harp Convention</t>
  </si>
  <si>
    <t>&lt;iframe src="https://www.google.com/maps/embed?pb=!1m18!1m12!1m3!1d375304.6452595088!2d-86.06409593672308!3d30.988834523029702!2m3!1f0!2f0!3f0!3m2!1i1024!2i768!4f13.1!3m3!1m2!1s0x0%3A0x2bfed877b292d05!2sUnion%20Hill%20Church!5e0!3m2!1sen!2sus!4v1671829271401!5m2!1sen!2sus" width="600" height="450" style="border:0;" allowfullscreen="" loading="lazy" referrerpolicy="no-referrer-when-downgrade"&gt;&lt;/iframe&gt;</t>
  </si>
  <si>
    <t>https://www.google.com/maps/place/Union+Hill+Church/@30.9888345,-86.0640959,10.22z/data=!4m5!3m4!1s0x0:0x2bfed877b292d05!8m2!3d30.9344552!4d-85.7402472||Union Hill Church, 2759 Union Hill Church Rd, Bonifay, FL 32425</t>
  </si>
  <si>
    <t>Orleans</t>
  </si>
  <si>
    <t>Dec, Sat before 2nd Sun</t>
  </si>
  <si>
    <t>Dec, 2nd Sun &amp; Sat before</t>
  </si>
  <si>
    <t>Harrodsburg</t>
  </si>
  <si>
    <t>&lt;iframe src="https://www.google.com/maps/embed?pb=!1m18!1m12!1m3!1d92409.34339790267!2d-84.77931721570141!3d37.87995886672565!2m3!1f0!2f0!3f0!3m2!1i1024!2i768!4f13.1!3m3!1m2!1s0x884289c9e6db14ed%3A0xc493516aaa4680b2!2sMount%20Zion%20Church!5e0!3m2!1sen!2sus!4v1671829932249!5m2!1sen!2sus" width="600" height="450" style="border:0;" allowfullscreen="" loading="lazy" referrerpolicy="no-referrer-when-downgrade"&gt;&lt;/iframe&gt;</t>
  </si>
  <si>
    <t>https://www.google.com/maps/place/Mount+Zion+Church/@37.9034906,-84.7797051,11.08z/data=!4m5!3m4!1s0x884289c9e6db14ed:0xc493516aaa4680b2!8m2!3d37.8402275!4d-84.7259157||Mt. Zion UMC, 4462 Lexington Rd, Harrodsburg, KY 40330</t>
  </si>
  <si>
    <t>Dec, 2nd Sun</t>
  </si>
  <si>
    <t>Christmas Singing</t>
  </si>
  <si>
    <t>Dec, Sat before 3rd Sun</t>
  </si>
  <si>
    <t>Dec, New Year's Eve</t>
  </si>
  <si>
    <t>Jan, Sat before 3rd Sun</t>
  </si>
  <si>
    <t>New Harp of Columbia</t>
  </si>
  <si>
    <t>Fletcher</t>
  </si>
  <si>
    <t>https://www.google.com/maps/place/Calvary+Episcopal+Church/@35.4537632,-82.5375679,12.9z/data=!4m5!3m4!1s0x8859ec429e6cf21b:0x7d9c6a1fb4867df6!8m2!3d35.4431374!4d-82.5040719||Calvary Episcopal Church, 2840 Hendersonville Rd, Fletcher, NC 28732</t>
  </si>
  <si>
    <t>&lt;iframe src="https://www.google.com/maps/embed?pb=!1m18!1m12!1m3!1d55625.72381623216!2d-82.53756788769537!3d35.45376316919472!2m3!1f0!2f0!3f0!3m2!1i1024!2i768!4f13.1!3m3!1m2!1s0x8859ec429e6cf21b%3A0x7d9c6a1fb4867df6!2sCalvary%20Episcopal%20Church!5e0!3m2!1sen!2sus!4v1671837483851!5m2!1sen!2sus" width="600" height="450" style="border:0;" allowfullscreen="" loading="lazy" referrerpolicy="no-referrer-when-downgrade"&gt;&lt;/iframe&gt;</t>
  </si>
  <si>
    <t>Christian Harmony 1873/2015</t>
  </si>
  <si>
    <t>Chatsworth</t>
  </si>
  <si>
    <t>Blue Ridge Primitive Baptist Church Singing</t>
  </si>
  <si>
    <t>&lt;iframe src="https://www.google.com/maps/embed?pb=!1m18!1m12!1m3!1d445438.70586767216!2d-85.2291456203902!3d34.587123260439725!2m3!1f0!2f0!3f0!3m2!1i1024!2i768!4f13.1!3m3!1m2!1s0x885fc2d0503e657b%3A0xb06517e52bda58b!2sBlue%20Ridge%20Chapel!5e0!3m2!1sen!2sus!4v1671839723309!5m2!1sen!2sus" width="600" height="450" style="border:0;" allowfullscreen="" loading="lazy" referrerpolicy="no-referrer-when-downgrade"&gt;&lt;/iframe&gt;</t>
  </si>
  <si>
    <t>Brasstown</t>
  </si>
  <si>
    <t>John Campbell Folk School Singing</t>
  </si>
  <si>
    <t>https://www.google.com/maps/place/John+C.+Campbell+Folk+School/@35.0351639,-84.0798183,11.44z/data=!4m5!3m4!1s0x885f1fb9deeb1211:0xd92e6426183a6e7!8m2!3d35.039165!4d-83.9634927||John C. Campbell Folk School, One Folk School Rd, Brasstown, NC 28902</t>
  </si>
  <si>
    <t>&lt;iframe src="https://www.google.com/maps/embed?pb=!1m18!1m12!1m3!1d153645.4440134556!2d-84.07981833477989!3d35.035163922951895!2m3!1f0!2f0!3f0!3m2!1i1024!2i768!4f13.1!3m3!1m2!1s0x885f1fb9deeb1211%3A0xd92e6426183a6e7!2sJohn%20C.%20Campbell%20Folk%20School!5e0!3m2!1sen!2sus!4v1671840494174!5m2!1sen!2sus" width="600" height="450" style="border:0;" allowfullscreen="" loading="lazy" referrerpolicy="no-referrer-when-downgrade"&gt;&lt;/iframe&gt;</t>
  </si>
  <si>
    <t>Camp DoReMi</t>
  </si>
  <si>
    <t>Little Switzerland</t>
  </si>
  <si>
    <t>&lt;iframe src="https://www.google.com/maps/embed?pb=!1m18!1m12!1m3!1d73906.13157084883!2d-82.18920401256912!3d35.82625115187395!2m3!1f0!2f0!3f0!3m2!1i1024!2i768!4f13.1!3m3!1m2!1s0x8850a5943fffffff%3A0x39a0f8932730f18e!2sWildacres%20Retreat!5e0!3m2!1sen!2sus!4v1671841213946!5m2!1sen!2sus" width="600" height="450" style="border:0;" allowfullscreen="" loading="lazy" referrerpolicy="no-referrer-when-downgrade"&gt;&lt;/iframe&gt;</t>
  </si>
  <si>
    <t>Ellijay</t>
  </si>
  <si>
    <t>Aug, 4th Sun</t>
  </si>
  <si>
    <t>Tickanetly Primitive Baptist Church Singing</t>
  </si>
  <si>
    <t>https://www.google.com/maps/place/Tickanetley+Primitive+Baptist+Church/@34.6457213,-84.3612746,11.1z/data=!4m5!3m4!1s0x885f9e6d6b5c114d:0xb25502dd5be10694!8m2!3d34.6530533!4d-84.2924115||Tickanetley Primitive Baptist Church, 122 Tickanetley Rd, Ellijay, GA 30536</t>
  </si>
  <si>
    <t>&lt;iframe src="https://www.google.com/maps/embed?pb=!1m18!1m12!1m3!1d196380.6669716317!2d-84.36127456585564!3d34.64572133008797!2m3!1f0!2f0!3f0!3m2!1i1024!2i768!4f13.1!3m3!1m2!1s0x885f9e6d6b5c114d%3A0xb25502dd5be10694!2sTickanetley%20Primitive%20Baptist%20Church!5e0!3m2!1sen!2sus!4v1671847109270!5m2!1sen!2sus" width="600" height="450" style="border:0;" allowfullscreen="" loading="lazy" referrerpolicy="no-referrer-when-downgrade"&gt;&lt;/iframe&gt;</t>
  </si>
  <si>
    <t>Hale County Christian Harmony Convention</t>
  </si>
  <si>
    <t>Moundville</t>
  </si>
  <si>
    <t>&lt;iframe src="https://www.google.com/maps/embed?pb=!1m18!1m12!1m3!1d107132.5925907027!2d-87.56901119020351!3d32.95382060198326!2m3!1f0!2f0!3f0!3m2!1i1024!2i768!4f13.1!3m3!1m2!1s0x888f5652484f1a35%3A0x3b8bae3c4b495ac1!2sChina%20Grove%20Cemetery%2C%20Moundville%2C%20AL%2035474!5e0!3m2!1sen!2sus!4v1671847542604!5m2!1sen!2sus" width="600" height="450" style="border:0;" allowfullscreen="" loading="lazy" referrerpolicy="no-referrer-when-downgrade"&gt;&lt;/iframe&gt;</t>
  </si>
  <si>
    <t>https://www.google.com/maps/place/China+Grove+Cemetery,+Moundville,+AL+35474/@32.9538206,-87.5690112,12z/data=!4m5!3m4!1s0x888f5652484f1a35:0x3b8bae3c4b495ac1!8m2!3d32.9230778!4d-87.5078952||China Grove Methodist Church, Clary Hill Road, Moundville AL - 32.92409375352777, -87.50768549139332</t>
  </si>
  <si>
    <t>Canton</t>
  </si>
  <si>
    <t xml:space="preserve">Old Folks Day Singing </t>
  </si>
  <si>
    <t>https://www.google.com/maps/place/Morning+Star+United+Methodist/@35.5205963,-82.8125711,13.53z/data=!4m5!3m4!1s0x88599b5a2dcd9873:0xe88ef47e233119ff!8m2!3d35.5137464!4d-82.8152289||Morning Star United Methodist, 2535 Dutch Cove Rd, Canton, NC 28716</t>
  </si>
  <si>
    <t>&lt;iframe src="https://www.google.com/maps/embed?pb=!1m18!1m12!1m3!1d36038.83591435322!2d-82.8125710871159!3d35.52059627107086!2m3!1f0!2f0!3f0!3m2!1i1024!2i768!4f13.1!3m3!1m2!1s0x88599b5a2dcd9873%3A0xe88ef47e233119ff!2sMorning%20Star%20United%20Methodist!5e0!3m2!1sen!2sus!4v1671847839531!5m2!1sen!2sus" width="600" height="450" style="border:0;" allowfullscreen="" loading="lazy" referrerpolicy="no-referrer-when-downgrade"&gt;&lt;/iframe&gt;</t>
  </si>
  <si>
    <t>Sep, 2nd Sun</t>
  </si>
  <si>
    <t>Wears Valley Convention</t>
  </si>
  <si>
    <t>Sevierville</t>
  </si>
  <si>
    <t>&lt;iframe src="https://www.google.com/maps/embed?pb=!1m28!1m12!1m3!1d226119.58056341254!2d-83.76771894389863!3d35.70446793564901!2m3!1f0!2f0!3f0!3m2!1i1024!2i768!4f13.1!4m13!3e0!4m5!1s0x885eaa49d5577251%3A0xee97cc82d48cd4ca!2sHeadrick&amp;#39;s%20Chapel%20Cemetery%20Inc%2C%204317%20Wears%20Valley%20Rd%2C%20Sevierville%2C%20TN%2037862!3m2!1d35.700330799999996!2d-83.6790396!4m5!1s0x885eaa99a9fc7cbd%3A0xbb4b3624948dba24!2sValley%20View%20Baptist%20Church!3m2!1d35.7379289!2d-83.6165686!5e0!3m2!1sen!2sus!4v1671848307317!5m2!1sen!2sus" width="600" height="450" style="border:0;" allowfullscreen="" loading="lazy" referrerpolicy="no-referrer-when-downgrade"&gt;&lt;/iframe&gt;</t>
  </si>
  <si>
    <t>Marshall</t>
  </si>
  <si>
    <t>Singing on the River</t>
  </si>
  <si>
    <t>Greeneville</t>
  </si>
  <si>
    <t>Georgia State Christian Harmony Convention</t>
  </si>
  <si>
    <t>Lawrenceville</t>
  </si>
  <si>
    <t>https://www.google.com/maps/place/Sweetwater+Memorial+Chapel/@33.9516443,-84.1494673,12.35z/data=!4m5!3m4!1s0x88f5a3599ef9732d:0x1e022b4094cc847e!8m2!3d33.928198!4d-84.1151978||Sweetwater Memorial Chapel, 1000 Pleasant Hill Rd, Lawrenceville, GA 30044</t>
  </si>
  <si>
    <t>&lt;iframe src="https://www.google.com/maps/embed?pb=!1m18!1m12!1m3!1d83253.01315114537!2d-84.1494672869647!3d33.95164428728153!2m3!1f0!2f0!3f0!3m2!1i1024!2i768!4f13.1!3m3!1m2!1s0x88f5a3599ef9732d%3A0x1e022b4094cc847e!2sSweetwater%20Memorial%20Chapel!5e0!3m2!1sen!2sus!4v1671849073392!5m2!1sen!2sus" width="600" height="450" style="border:0;" allowfullscreen="" loading="lazy" referrerpolicy="no-referrer-when-downgrade"&gt;&lt;/iframe&gt;</t>
  </si>
  <si>
    <t>Dec, Boxing Day</t>
  </si>
  <si>
    <t xml:space="preserve">Roving Shenandoah Harmony Singing </t>
  </si>
  <si>
    <t>Flitwick</t>
  </si>
  <si>
    <t>Flitwick Singing</t>
  </si>
  <si>
    <t>&lt;iframe src="https://www.google.com/maps/embed?pb=!1m18!1m12!1m3!1d231062.38104180354!2d-0.6613400472760089!3d51.99841789893391!2m3!1f0!2f0!3f0!3m2!1i1024!2i768!4f13.1!3m3!1m2!1s0x48764cbc4cff4f77%3A0xf9ad7e651772b8e4!2sFlitwick%20Village%20Hall!5e0!3m2!1sen!2sus!4v1671850891895!5m2!1sen!2sus" width="600" height="450" style="border:0;" allowfullscreen="" loading="lazy" referrerpolicy="no-referrer-when-downgrade"&gt;&lt;/iframe&gt;</t>
  </si>
  <si>
    <t>Sheffield Christian Harmony Singing</t>
  </si>
  <si>
    <t xml:space="preserve">https://www.google.com/maps/dir/Evangelisch-methodistische+Christus-Kirche/Moravian+Church+Berlin-Neuk%C3%B6lln,+Kirchgasse+14,+12043+Berlin,+Germany/@52.5177621,13.2230441,10.92z/data=!4m13!4m12!1m5!1m1!1s0x47a84e6855868fd1:0xc4fb167da50573!2m2!1d13.4486922!2d52.5189905!1m5!1m1!1s0x47a84fa0f598a55f:0xb14010f3c0b6045a!2m2!1d13.4443378!2d52.476149?hl=en||Evangelische Herrnhuter Brüdergemeine, Kirchgasse 14, Berlin, 12043, Germany and Evangelisch-methodistische Christuskirche, Richard-Sorge-Straße 14/15, Berlin, 10249, Germany </t>
  </si>
  <si>
    <t>&lt;iframe src="https://www.google.com/maps/embed?pb=!1m28!1m12!1m3!1d164623.0013392088!2d13.22304408917217!3d52.51776214714403!2m3!1f0!2f0!3f0!3m2!1i1024!2i768!4f13.1!4m13!3e6!4m5!1s0x47a84e6855868fd1%3A0xc4fb167da50573!2sEvangelisch-methodistische%20Christus-Kirche!3m2!1d52.5189905!2d13.4486922!4m5!1s0x47a84fa0f598a55f%3A0xb14010f3c0b6045a!2sMoravian%20Church%20Berlin-Neuk%C3%B6lln%2C%20Kirchgasse%2014%2C%2012043%20Berlin%2C%20Germany!3m2!1d52.476149!2d13.4443378!5e0!3m2!1sen!2sus!4v1671859368190!5m2!1sen!2sus" width="600" height="450" style="border:0;" allowfullscreen="" loading="lazy" referrerpolicy="no-referrer-when-downgrade"&gt;&lt;/iframe&gt;</t>
  </si>
  <si>
    <t>Ireland</t>
  </si>
  <si>
    <t>Ire</t>
  </si>
  <si>
    <t>Cork</t>
  </si>
  <si>
    <t>Cork Singing</t>
  </si>
  <si>
    <t>https://www.google.com/maps/place/Newman+Institute/@59.9257602,17.2963719,9.4z/data=!4m5!3m4!1s0x465fcbf09733c7a1:0x86c64a317114a122!8m2!3d59.8561078!4d17.6378516?hl=en||Newman Institute, Slottsgränd 6, Uppsala, 753 09, Sweden</t>
  </si>
  <si>
    <t>&lt;iframe src="https://www.google.com/maps/embed?pb=!1m18!1m12!1m3!1d387157.8220173836!2d17.29637192339435!3d59.92576024522544!2m3!1f0!2f0!3f0!3m2!1i1024!2i768!4f13.1!3m3!1m2!1s0x465fcbf09733c7a1%3A0x86c64a317114a122!2sNewman%20Institute!5e0!3m2!1sen!2sus!4v1671859590503!5m2!1sen!2sus" width="600" height="450" style="border:0;" allowfullscreen="" loading="lazy" referrerpolicy="no-referrer-when-downgrade"&gt;&lt;/iframe&gt;</t>
  </si>
  <si>
    <t>Pittsburgh Regional All-Day Singing</t>
  </si>
  <si>
    <t>Central Louisiana All-Day Singing</t>
  </si>
  <si>
    <t>https://www.google.com/maps/place/Jarrell+Memorial+Park+Community+Center/@30.8544166,-97.7936238,10.47z/data=!4m5!3m4!1s0x86452f6a6d6e390d:0xec47b183708bf077!8m2!3d30.8366106!4d-97.6215079||Jarrell Memorial Park Community Center, 1651 CR 305, Jarrell, Texas</t>
  </si>
  <si>
    <t>&lt;iframe src="https://www.google.com/maps/embed?pb=!1m18!1m12!1m3!1d316036.11117101455!2d-97.79362378800305!3d30.854416582081093!2m3!1f0!2f0!3f0!3m2!1i1024!2i768!4f13.1!3m3!1m2!1s0x86452f6a6d6e390d%3A0xec47b183708bf077!2sJarrell%20Memorial%20Park%20Community%20Center!5e0!3m2!1sen!2sus!4v1671860821564!5m2!1sen!2sus" width="600" height="450" style="border:0;" allowfullscreen="" loading="lazy" referrerpolicy="no-referrer-when-downgrade"&gt;&lt;/iframe&gt;</t>
  </si>
  <si>
    <t>Jarrell</t>
  </si>
  <si>
    <t>J.W. Bassett Memorial and Stockholders Meeting</t>
  </si>
  <si>
    <t>&lt;iframe src="https://www.google.com/maps/embed?pb=!1m18!1m12!1m3!1d145797.8480848274!2d-86.57005759842791!3d31.18523824856622!2m3!1f0!2f0!3f0!3m2!1i1024!2i768!4f13.1!3m3!1m2!1s0x8891944b141f5067%3A0xb948f9e18cd48ccb!2sShady%20Hill%20Church!5e0!3m2!1sen!2sus!4v1671861718561!5m2!1sen!2sus" width="600" height="450" style="border:0;" allowfullscreen="" loading="lazy" referrerpolicy="no-referrer-when-downgrade"&gt;&lt;/iframe&gt;</t>
  </si>
  <si>
    <t>https://www.google.com/maps/place/Shady+Hill+Church/@31.1852382,-86.5700576,11.58z/data=!4m5!3m4!1s0x8891944b141f5067:0xb948f9e18cd48ccb!8m2!3d31.1515645!4d-86.5385663||Shady Hill Church, Hogfoot Rd, Andalusia, AL 36420 - 31.151723722981135, -86.53839868859271</t>
  </si>
  <si>
    <t>Shady Hill Homecoming Singing</t>
  </si>
  <si>
    <t>Retherford Memorial</t>
  </si>
  <si>
    <t>Bulger-Cockcroft Memorial</t>
  </si>
  <si>
    <t>Sep, Sat before 4th Sun</t>
  </si>
  <si>
    <t>West Florida Convention</t>
  </si>
  <si>
    <t>Tri-State Convention</t>
  </si>
  <si>
    <t>Spring Hill Convention</t>
  </si>
  <si>
    <t>Bill Green Memorial/Baldwin County Convention</t>
  </si>
  <si>
    <t>https://www.google.com/maps/place/Galilee+Primitive+Baptist+Church/@30.8080102,-87.7999924,11.44z/data=!4m5!3m4!1s0x889a66bb5982623f:0x97b72e353329df13!8m2!3d30.7682767!4d-87.7869776||Galilee Primitive Baptist Church, 37295 AL-59, Bay Minette, AL 36507</t>
  </si>
  <si>
    <t>Stapleton</t>
  </si>
  <si>
    <t>&lt;iframe src="https://www.google.com/maps/embed?pb=!1m18!1m12!1m3!1d161167.92313354922!2d-87.79999241591273!3d30.808010152706633!2m3!1f0!2f0!3f0!3m2!1i1024!2i768!4f13.1!3m3!1m2!1s0x889a66bb5982623f%3A0x97b72e353329df13!2sGalilee%20Primitive%20Baptist%20Church!5e0!3m2!1sen!2sus!4v1672873790002!5m2!1sen!2sus" width="600" height="450" style="border:0;" allowfullscreen="" loading="lazy" referrerpolicy="no-referrer-when-downgrade"&gt;&lt;/iframe&gt;</t>
  </si>
  <si>
    <t>RefYear1</t>
  </si>
  <si>
    <t>RefYear2</t>
  </si>
  <si>
    <t>BaseDate1</t>
  </si>
  <si>
    <t>BaseDate2</t>
  </si>
  <si>
    <t>Last Updated</t>
  </si>
  <si>
    <t>Healdsburg</t>
  </si>
  <si>
    <t>Dominic Ciavonne Ziegler Memorial Singing</t>
  </si>
  <si>
    <t>&lt;iframe src="https://www.google.com/maps/embed?pb=!1m18!1m12!1m3!1d73332.78903205972!2d-122.90979223632716!3d38.592410384681784!2m3!1f0!2f0!3f0!3m2!1i1024!2i768!4f13.1!3m3!1m2!1s0x80841773ea7f6e67%3A0x89c58d7fd6d25633!2sOld%20Felta%20Schoolhouse!5e0!3m2!1sen!2sus!4v1673394277470!5m2!1sen!2sus" width="600" height="450" style="border:0;" allowfullscreen="" loading="lazy" referrerpolicy="no-referrer-when-downgrade"&gt;&lt;/iframe&gt;</t>
  </si>
  <si>
    <t>https://www.google.com/maps/place/Old+Felta+Schoolhouse/@38.5815828,-122.8877345,15.22z/data=!4m5!3m4!1s0x80841773ea7f6e67:0x89c58d7fd6d25633!8m2!3d38.5805958!4d-122.8811233||Old Felta Schoolhouse, Felta Rd &amp; Foreman Ln, Healdsburg CA 95448</t>
  </si>
  <si>
    <t>Minnesota State Midwinter Singing</t>
  </si>
  <si>
    <t>Blountstown</t>
  </si>
  <si>
    <t>Panhandle Pioneer Museum</t>
  </si>
  <si>
    <t>https://www.google.com/maps/place/Panhandle+Pioneer+Settlement/@30.4529664,-85.0977621,13.22z/data=!4m5!3m4!1s0x88933622926d07cf:0x2276b3793e41b6d!8m2!3d30.4562031!4d-85.0703177||Panhandle Pioneer Settlement, NW Pioneer Settlement Rd, Blountstown, FL 32424</t>
  </si>
  <si>
    <t>&lt;iframe src="https://www.google.com/maps/embed?pb=!1m18!1m12!1m3!1d47174.54364232175!2d-85.09776212825012!3d30.452966361520712!2m3!1f0!2f0!3f0!3m2!1i1024!2i768!4f13.1!3m3!1m2!1s0x88933622926d07cf%3A0x2276b3793e41b6d!2sPanhandle%20Pioneer%20Settlement!5e0!3m2!1sen!2sus!4v1673397194871!5m2!1sen!2sus" width="600" height="450" style="border:0;" allowfullscreen="" loading="lazy" referrerpolicy="no-referrer-when-downgrade"&gt;&lt;/iframe&gt;</t>
  </si>
  <si>
    <t>St. Louis</t>
  </si>
  <si>
    <t>Paris Singing</t>
  </si>
  <si>
    <t>Calvary-Fletcher Singing</t>
  </si>
  <si>
    <t>Camp FaSoLa</t>
  </si>
  <si>
    <t>Jul, Mon-Fri 1st Week</t>
  </si>
  <si>
    <t>Montreal All-Day Singing</t>
  </si>
  <si>
    <t>Chmielno</t>
  </si>
  <si>
    <t>Camp FaSoLa Europe</t>
  </si>
  <si>
    <t>https://www.google.com/maps/place/Wichrowe+Wzg%C3%B3rze,+83-333+Chmielno,+Poland/@54.3380119,18.0220521,11.79z/data=!4m5!3m4!1s0x46fd91caa7ad3203:0x8ba40fada7570db4!8m2!3d54.3246267!4d18.1017704||Wichrowe Wzgórze, 83-333 Chmielno, Poland</t>
  </si>
  <si>
    <t>&lt;iframe src="https://www.google.com/maps/embed?pb=!1m18!1m12!1m3!1d85997.91142745099!2d18.022052107475176!3d54.338011923287674!2m3!1f0!2f0!3f0!3m2!1i1024!2i768!4f13.1!3m3!1m2!1s0x46fd91caa7ad3203%3A0x8ba40fada7570db4!2sWichrowe%20Wzg%C3%B3rze%2C%2083-333%20Chmielno%2C%20Poland!5e0!3m2!1sen!2sus!4v1673414772484!5m2!1sen!2sus" width="600" height="450" style="border:0;" allowfullscreen="" loading="lazy" referrerpolicy="no-referrer-when-downgrade"&gt;&lt;/iframe&gt;</t>
  </si>
  <si>
    <t>Albright, Cates, Brown, and Sheppard Memorial</t>
  </si>
  <si>
    <t>Dec 27th</t>
  </si>
  <si>
    <t>Jan, 3rd Sun &amp; Sat before</t>
  </si>
  <si>
    <t>Dec, 1st Sun &amp; Sat before</t>
  </si>
  <si>
    <t>West Fork</t>
  </si>
  <si>
    <t>Etowah</t>
  </si>
  <si>
    <t>https://www.google.com/maps/place/Etowah+Lions+Club/@35.3075218,-82.6343242,12.14z/data=!4m5!3m4!1s0x8859bfbc20733af1:0xae32fdee16e420ca!8m2!3d35.3114832!4d-82.5875222||Etowah Lions Club, 447 Etowah School Road, Hendersonville, NC 28739</t>
  </si>
  <si>
    <t>&lt;iframe src="https://www.google.com/maps/embed?pb=!1m18!1m12!1m3!1d153095.7370655894!2d-82.70393883211774!3d35.3264838604676!2m3!1f0!2f0!3f0!3m2!1i1024!2i768!4f13.1!3m3!1m2!1s0x8859bfbc20733af1%3A0xae32fdee16e420ca!2sEtowah%20Lions%20Club!5e0!3m2!1sen!2sus!4v1673588392409!5m2!1sen!2sus" width="600" height="450" style="border:0;" allowfullscreen="" loading="lazy" referrerpolicy="no-referrer-when-downgrade"&gt;&lt;/iframe&gt;</t>
  </si>
  <si>
    <t>Etowah Fall Singing</t>
  </si>
  <si>
    <t>Newton County Christian Harmony Convention</t>
  </si>
  <si>
    <t>&lt;iframe src="https://www.google.com/maps/embed?pb=!1m18!1m12!1m3!1d97908.80082935865!2d-89.22730883858779!3d32.39641228425213!2m3!1f0!2f0!3f0!3m2!1i1024!2i768!4f13.1!3m3!1m2!1s0x8883a6e12c5c3365%3A0xb6741d7bdb60b40!2sMacedonia%20Baptist%20Church!5e0!3m2!1sen!2sus!4v1673589041858!5m2!1sen!2sus" width="600" height="450" style="border:0;" allowfullscreen="" loading="lazy" referrerpolicy="no-referrer-when-downgrade"&gt;&lt;/iframe&gt;</t>
  </si>
  <si>
    <t>https://www.google.com/maps/place/Center+Community+Center/@35.8719991,-82.6482221,12.49z/data=!4m5!3m4!1s0x885a231816272b09:0x1138d700752898a5!8m2!3d35.839355!4d-82.6149734||Center Community Center, 1300 Grapevine Rd, Marshall, North Carolina 28753</t>
  </si>
  <si>
    <t>&lt;iframe src="https://www.google.com/maps/embed?pb=!1m18!1m12!1m3!1d73863.50715989259!2d-82.64822208724455!3d35.87199911297806!2m3!1f0!2f0!3f0!3m2!1i1024!2i768!4f13.1!3m3!1m2!1s0x885a231816272b09%3A0x1138d700752898a5!2sCenter%20Community%20Center!5e0!3m2!1sen!2sus!4v1673589704914!5m2!1sen!2sus" width="600" height="450" style="border:0;" allowfullscreen="" loading="lazy" referrerpolicy="no-referrer-when-downgrade"&gt;&lt;/iframe&gt;</t>
  </si>
  <si>
    <t xml:space="preserve">Madison County Grapevine Singing </t>
  </si>
  <si>
    <t>Sep, Labor Day</t>
  </si>
  <si>
    <t>Sep, Sat before 1st Sun</t>
  </si>
  <si>
    <t>Sep, Sat before Labor Day</t>
  </si>
  <si>
    <t>Sep, Sun before Labor Day</t>
  </si>
  <si>
    <t>Sep, 1st Sun</t>
  </si>
  <si>
    <t>May, Memorial Day</t>
  </si>
  <si>
    <t>Sort Order</t>
  </si>
  <si>
    <t>Sep, 3rd Week</t>
  </si>
  <si>
    <t>Nor</t>
  </si>
  <si>
    <t>&lt;iframe src="https://www.google.com/maps/embed?pb=!1m18!1m12!1m3!1d59516.032369908746!2d-87.32416484833226!3d33.84010472629181!2m3!1f0!2f0!3f0!3m2!1i1024!2i768!4f13.1!3m3!1m2!1s0x8888613e47d56fbd%3A0xb2b623d0ec9ac225!2sFirst%20Presbyterian%20Church%20(PCA)%20of%20Jasper%20Alabama!5e0!3m2!1sen!2sus!4v1673666547774!5m2!1sen!2sus" width="600" height="450" style="border:0;" allowfullscreen="" loading="lazy" referrerpolicy="no-referrer-when-downgrade"&gt;&lt;/iframe&gt;</t>
  </si>
  <si>
    <t>https://www.google.com/maps/place/First+Presbyterian+Church+(PCA)+of+Jasper+Alabama/@33.8401047,-87.3241648,12.83z/data=!4m5!3m4!1s0x8888613e47d56fbd:0xb2b623d0ec9ac225!8m2!3d33.8362854!4d-87.2787566||First Presbyterian Church, 1510 4th Ave S, Jasper, AL 35501</t>
  </si>
  <si>
    <t>Jasper</t>
  </si>
  <si>
    <t>&lt;iframe src="https://www.google.com/maps/embed?pb=!1m14!1m8!1m3!1d166696.65294653457!2d-87.1968618309856!3d33.85410439262815!3m2!1i1024!2i768!4f13.1!3m3!1m2!1s0x88885dd58bd402f1%3A0xc7a56a0c69e3996a!2s179%20Boldo%20Cemetery%20Rd%2C%20Jasper%2C%20AL%2035504!5e0!3m2!1sen!2sus!4v1673667320288!5m2!1sen!2sus" width="600" height="450" style="border:0;" allowfullscreen="" loading="lazy" referrerpolicy="no-referrer-when-downgrade"&gt;&lt;/iframe&gt;</t>
  </si>
  <si>
    <t>&lt;iframe src="https://www.google.com/maps/embed?pb=!1m18!1m12!1m3!1d200269.87180238913!2d-85.80532134934833!3d32.9678830470194!2m3!1f0!2f0!3f0!3m2!1i1024!2i768!4f13.1!3m3!1m2!1s0x888b80bb581d3bd3%3A0xa2d5e94ae77d0d1b!2sCo%20Rd%2079%20%26%20Germany&amp;#39;s%20Ferry%20Rd%2C%20Alabama%2036256!5e0!3m2!1sen!2sus!4v1673668538043!5m2!1sen!2sus" width="600" height="450" style="border:0;" allowfullscreen="" loading="lazy" referrerpolicy="no-referrer-when-downgrade"&gt;&lt;/iframe&gt;</t>
  </si>
  <si>
    <t>https://www.google.com/maps/place/Botley+Womens+Institute/@51.7523667,-1.3403061,13.18z/data=!4m5!3m4!1s0x4876c687ba028c85:0xde5295861a3899a3!8m2!3d51.7518119!4d-1.292364?hl=en||Botley Womens Institute, N Hinksey Ln, Oxford OX2 0LT, United Kingdom</t>
  </si>
  <si>
    <t>https://www.google.com/maps/dir/Headricks+Chapel+Cemetery+Inc,+4317+Wears+Valley+Rd,+Sevierville,+TN+37862/Valley+View+Baptist+Church/@35.7093143,-83.6920558,11.92z/data=!4m14!4m13!1m5!1m1!1s0x885eaa49d5577251:0xee97cc82d48cd4ca!2m2!1d-83.6790396!2d35.7003308!1m5!1m1!1s0x885eaa99a9fc7cbd:0xbb4b3624948dba24!2m2!1d-83.6165686!2d35.7379289!3e0||Headrick's Chapel, 4317 Wears Valley Rd, Sevierville, TN 37862 and Valley View Baptist Church, 2219 Little Cove Rd, Sevierville, TN 37862</t>
  </si>
  <si>
    <t xml:space="preserve">https://www.google.com/maps/place/St.+Pauls+Church/@51.0776284,-1.354253,12.69z/data=!4m5!3m4!1s0x48740d92cc99f059:0xe23fe92c69204163!8m2!3d51.0666275!4d-1.3212248?hl=en||St Paul’s Church Hall, St Pauls Hill Winchester, Hampshire, SO22 5AB, United Kingdom </t>
  </si>
  <si>
    <t>Dahlonega</t>
  </si>
  <si>
    <t>Dahlonega All-Day Singing</t>
  </si>
  <si>
    <t>Olympia</t>
  </si>
  <si>
    <t>&lt;iframe src="https://www.google.com/maps/embed?pb=!1m18!1m12!1m3!1d100440.38359230116!2d-123.13886375628316!3d47.08507912022321!2m3!1f0!2f0!3f0!3m2!1i1024!2i768!4f13.1!3m3!1m2!1s0x54919e5e10b451a5%3A0x556de0f1f156cb99!2sProsperity%20Grange!5e0!3m2!1sen!2sus!4v1674844046770!5m2!1sen!2sus" width="600" height="450" style="border:0;" allowfullscreen="" loading="lazy" referrerpolicy="no-referrer-when-downgrade"&gt;&lt;/iframe&gt;</t>
  </si>
  <si>
    <t>Capital City Shape Note Singing</t>
  </si>
  <si>
    <t>https://www.google.com/maps/place/No.+3+Railroad+Street/@33.883688,-83.2963125,11.79z/data=!4m6!3m5!1s0x88f641a35f01a8bb:0xd5e64a883da616a1!8m2!3d33.905267!4d-83.2173176!16s%2Fg%2F11c1v2s2yn||No. 3 Railroad Steet, Arnoldsville, GA 30619</t>
  </si>
  <si>
    <t>&lt;iframe src="https://www.google.com/maps/embed?pb=!1m18!1m12!1m3!1d122457.44681655926!2d-83.2963125282873!3d33.88368804224111!2m3!1f0!2f0!3f0!3m2!1i1024!2i768!4f13.1!3m3!1m2!1s0x88f641a35f01a8bb%3A0xd5e64a883da616a1!2sNo.%203%20Railroad%20Street!5e0!3m2!1sen!2sus!4v1675018541607!5m2!1sen!2sus" width="600" height="450" style="border:0;" allowfullscreen="" loading="lazy" referrerpolicy="no-referrer-when-downgrade"&gt;&lt;/iframe&gt;</t>
  </si>
  <si>
    <t>Arnoldsville</t>
  </si>
  <si>
    <t>Black Mountain</t>
  </si>
  <si>
    <t>https://www.google.com/maps/place/St.+James+Episcopal+Church/@35.6250056,-82.4337417,11.1z/data=!4m6!3m5!1s0x8859f9171cb8a513:0x51081699381dfb2a!8m2!3d35.6141667!4d-82.3269444!16s%2Fg%2F1tc_4tlj||St. James Episcopal Church, 424 W State St, Black Mountain, NC 28711</t>
  </si>
  <si>
    <t>&lt;iframe src="https://www.google.com/maps/embed?pb=!1m18!1m12!1m3!1d194032.6563504849!2d-82.43374173943825!3d35.62500563854357!2m3!1f0!2f0!3f0!3m2!1i1024!2i768!4f13.1!3m3!1m2!1s0x8859f9171cb8a513%3A0x51081699381dfb2a!2sSt.%20James%20Episcopal%20Church!5e0!3m2!1sen!2sus!4v1675316776238!5m2!1sen!2sus" width="600" height="450" style="border:0;" allowfullscreen="" loading="lazy" referrerpolicy="no-referrer-when-downgrade"&gt;&lt;/iframe&gt;</t>
  </si>
  <si>
    <t>Swannanoa Valley Singing</t>
  </si>
  <si>
    <t>Jeremiah Ingalls Annual Singing</t>
  </si>
  <si>
    <t>Newbury</t>
  </si>
  <si>
    <t>https://www.google.com/maps/place/Town+House+Cemetery,+4504+Scotch+Hollow+Rd,+Newbury,+VT+05051/@44.1304154,-72.7423239,9.36z/data=!4m6!3m5!1s0x4cb4f15597bc3733:0x5e07003c16560459!8m2!3d44.1051641!4d-72.1238476!16s%2Fg%2F11bvtcwvl0||Newbury Center Town House, 4504 Scotch Hollow Road, Newbury VT</t>
  </si>
  <si>
    <t>&lt;iframe src="https://www.google.com/maps/embed?pb=!1m18!1m12!1m3!1d570775.1023301118!2d-72.74232389724459!3d44.13041536717618!2m3!1f0!2f0!3f0!3m2!1i1024!2i768!4f13.1!3m3!1m2!1s0x4cb4f15597bc3733%3A0x5e07003c16560459!2sTown%20House%20Cemetery%2C%204504%20Scotch%20Hollow%20Rd%2C%20Newbury%2C%20VT%2005051!5e0!3m2!1sen!2sus!4v1675523639598!5m2!1sen!2sus" width="600" height="450" style="border:0;" allowfullscreen="" loading="lazy" referrerpolicy="no-referrer-when-downgrade"&gt;&lt;/iframe&gt;</t>
  </si>
  <si>
    <t>https://www.google.com/maps/place/Mars+Hill+Primitive+Baptist+Church/@31.1839744,-82.1671586,12.49z/data=!4m6!3m5!1s0x88e559caab1def51:0x377b59c2460698b9!8m2!3d31.1848109!4d-82.1712443!16s%2Fg%2F1hhggmbw_||Mars Hill Primitive Baptist Church, 9 Mars Hill Road Central Ave Exd, Hoboken, GA 31542</t>
  </si>
  <si>
    <t>&lt;iframe src="https://www.google.com/maps/embed?pb=!1m18!1m12!1m3!1d63084.04540906344!2d-82.19010784780845!3d31.20417997195459!2m3!1f0!2f0!3f0!3m2!1i1024!2i768!4f13.1!3m3!1m2!1s0x88e559caab1def51%3A0x377b59c2460698b9!2sMars%20Hill%20Primitive%20Baptist%20Church!5e0!3m2!1sen!2sus!4v1675527410267!5m2!1sen!2sus" width="600" height="450" style="border:0;" allowfullscreen="" loading="lazy" referrerpolicy="no-referrer-when-downgrade"&gt;&lt;/iframe&gt;</t>
  </si>
  <si>
    <t>Hoboken All Day Singing</t>
  </si>
  <si>
    <t/>
  </si>
  <si>
    <t>Update Sort Order</t>
  </si>
  <si>
    <t>Last Updated Info</t>
  </si>
  <si>
    <t>Initial list population based on 2022 minutes book</t>
  </si>
  <si>
    <t>based on &lt;a href="https://www.facebook.com/groups/288062357886428/posts/9225675320791709/"&gt;Facebook post&lt;/a&gt;</t>
  </si>
  <si>
    <t>based on &lt;a href="https://groups.google.com/g/fasola-singings/c/nqR_-RXpgNo"&gt;listserv post&lt;/a&gt;</t>
  </si>
  <si>
    <t>based on &lt;a href="https://www.facebook.com/groups/45458433401/posts/10159671660658402/"&gt;Facebook post&lt;/a&gt;</t>
  </si>
  <si>
    <t>based on &lt;a href="https://www.facebook.com/groups/288062357886428/posts/9480916731934232/"&gt;Facebook post&lt;/a&gt;</t>
  </si>
  <si>
    <t>singing location updated per &lt;a href="https://www.facebook.com/groups/123791551021737"&gt;Hoboken Sacred Harp Facebook&lt;/a&gt;</t>
  </si>
  <si>
    <t>based on &lt;a href="https://www.facebook.com/events/856277902146026/"&gt;Facebook event&lt;/a&gt;</t>
  </si>
  <si>
    <t>based on &lt;a href="https://vermontshapenotesingers.com/"&gt;https://vermontshapenotesingers.com/annual/&lt;/a&gt;</t>
  </si>
  <si>
    <t>Initial list population based on &lt;a href="http://christianharmony.org/schedule.html"&gt;christianharmony.org/schedule.html&lt;/a&gt;</t>
  </si>
  <si>
    <t>based on &lt;a href="http://christianharmony.org/schedule.html"&gt;christianharmony.org/schedule.html&lt;/a&gt;</t>
  </si>
  <si>
    <t>Initial list population based on &lt;a href="http://www.sacredharpbook.com/calendar-of-singings/"&gt;sacredharpbook.com/calendar-of-singings/&lt;/a&gt;</t>
  </si>
  <si>
    <t>Initial list population &lt;a href="http://singings.texasfasola.org/"&gt;singings.texasfasola.org/&lt;/a&gt;</t>
  </si>
  <si>
    <t>Initial list population based on &lt;a href="https://sacredharp.uk/"&gt;sacredharp.uk&lt;/a&gt;</t>
  </si>
  <si>
    <t>Initial population based on &lt;a href="http://shape-note.uchicago.edu/"&gt;shape-note.uchicago.edu&lt;/a&gt;</t>
  </si>
  <si>
    <t>Minnesota State Convention</t>
  </si>
  <si>
    <t>&lt;iframe src="https://www.google.com/maps/embed?pb=!1m18!1m12!1m3!1d250650.5824608581!2d-89.47139500145278!3d34.3682849285491!2m3!1f0!2f0!3f0!3m2!1i1024!2i768!4f13.1!3m3!1m2!1s0x88807b70e90eaa35%3A0x8a1daa6e609c1d0a!2sLafayette%20County%20Multipurpose%20Arena!5e0!3m2!1sen!2sus!4v1675620781070!5m2!1sen!2sus" width="600" height="450" style="border:0;" allowfullscreen="" loading="lazy" referrerpolicy="no-referrer-when-downgrade"&gt;&lt;/iframe&gt;</t>
  </si>
  <si>
    <t>https://www.google.com/maps/place/Lafayette+County+Multipurpose+Arena/@34.3682849,-89.471395,10.75z/data=!4m6!3m5!1s0x88807b70e90eaa35:0x8a1daa6e609c1d0a!8m2!3d34.3547058!4d-89.4846801!16s%2Fg%2F11hzph20n0||Lafayette County Arena, 70 F.D. Buddy E Pkwy, Oxford, MS 38655</t>
  </si>
  <si>
    <t>Singing location updated per &lt;a href="http://home.olemiss.edu/~mudws/oxford.html"&gt;home.olemiss.edu/~mudws/oxford.html&lt;/a&gt;</t>
  </si>
  <si>
    <t>https://www.google.com/maps/place/Kampen+menighetshus/@59.9155212,10.8048609,12z/data=!4m6!3m5!1s0x46416e5749865e29:0xc3008b267fa6d45d!8m2!3d59.9120172!4d10.7832798!16s%2Fg%2F122x30ds?hl=en||Normannsgata 55, 0655 Oslo, Norway</t>
  </si>
  <si>
    <t>&lt;iframe src="https://www.google.com/maps/embed?pb=!1m18!1m12!1m3!1d64000.05040035989!2d10.804860852385891!3d59.915521206648236!2m3!1f0!2f0!3f0!3m2!1i1024!2i768!4f13.1!3m3!1m2!1s0x46416e5749865e29%3A0xc3008b267fa6d45d!2sKampen%20menighetshus!5e0!3m2!1sen!2sus!4v1675736036053!5m2!1sen!2sus" width="600" height="450" style="border:0;" allowfullscreen="" loading="lazy" referrerpolicy="no-referrer-when-downgrade"&gt;&lt;/iframe&gt;</t>
  </si>
  <si>
    <t>Location updated per &lt;a href="https://sacredharp.uk/"&gt;https://sacredharp.uk/&lt;/a&gt;</t>
  </si>
  <si>
    <t>Oxford All-Day Singing</t>
  </si>
  <si>
    <t>Uppsala Singing</t>
  </si>
  <si>
    <t>Thanksgiving Singing</t>
  </si>
  <si>
    <t>&lt;a href="https://bayareasacredharp.org/dominic-ciavonne-ziegler-memorial-singing/"&gt;bayareasacredharp.org&lt;/a&gt;</t>
  </si>
  <si>
    <t>&lt;a href="https://atlantasacredharp.org"&gt;atlantasacredharp.org&lt;/a&gt;</t>
  </si>
  <si>
    <t>&lt;a href="https://sacredharp.uk/"&gt;sacredharp.uk&lt;/a&gt;</t>
  </si>
  <si>
    <t>&lt;a href="http://www.sacredharpbook.com/calendar-of-singings/"&gt;sacredharpbook.com/calendar-of-singings/&lt;/a&gt;</t>
  </si>
  <si>
    <t>&lt;a href="http://singings.texasfasola.org/annualsingings.html"&gt;singings.texasfasola.org&lt;/a&gt;</t>
  </si>
  <si>
    <t>&lt;a href="http://sacredharpbook.com/calendar-of-singings"&gt;sacredharpbook.com/calendar-of-singings&lt;/a&gt;</t>
  </si>
  <si>
    <t>Danny Creel</t>
  </si>
  <si>
    <t>&lt;a href="http://shape-note.uchicago.edu/"&gt;http://shape-note.uchicago.edu/&lt;/a&gt;.</t>
  </si>
  <si>
    <t>Jack Pate</t>
  </si>
  <si>
    <t>Kevin Eddins, or &lt;a href="http://www.sacredharpbook.com/calendar-of-singings/"&gt;sacredharpbook.com/calendar-of-singings/&lt;/a&gt;</t>
  </si>
  <si>
    <t>Pam Nunn</t>
  </si>
  <si>
    <t>&lt;a href="https://www.atlantasacredharp.org/"&gt;atlantasacredharp.org&lt;/a&gt;</t>
  </si>
  <si>
    <t>Syble Adams</t>
  </si>
  <si>
    <t>Glenn Keeton</t>
  </si>
  <si>
    <t>&lt;a href="https://bostonsacredharp.org"&gt;bostonsacredharp.org&lt;/a&gt;</t>
  </si>
  <si>
    <t>&lt;a href="https://sacredharp.uk/"&gt;https://sacredharp.uk/&lt;/a&gt;</t>
  </si>
  <si>
    <t>Mark Davis or Henry McGuire</t>
  </si>
  <si>
    <t>Barb Ames</t>
  </si>
  <si>
    <t>Matthew McLellan</t>
  </si>
  <si>
    <t>Glenn Keeton, Mark Davis</t>
  </si>
  <si>
    <t>Kate Fortin</t>
  </si>
  <si>
    <t>Melissa Stephenson</t>
  </si>
  <si>
    <t>Dennis George</t>
  </si>
  <si>
    <t>&lt;a href="http://www.bristolsacredharp.org/gwehelog/"&gt;http://bristolsacredharp.org&lt;/a&gt;, &lt;a href="https://sacredharp.uk/"&gt;https://sacredharp.uk/&lt;/a&gt;</t>
  </si>
  <si>
    <t>&lt;a href="https://bayareasacredharp.org/all-day-singings/"&gt;bayareasacredharp.org&lt;/a&gt;</t>
  </si>
  <si>
    <t>Ben Fink</t>
  </si>
  <si>
    <t>Cecil Roberts</t>
  </si>
  <si>
    <t>Marlin Beasley</t>
  </si>
  <si>
    <t>Rodney Ivey&lt;/br&gt;Lookout Mountain, near Collinsville, Dekalb County, Alabama. Take I-59 and turn east on AL 68 (exit 205); follow signs to US 11, go south on 11, look for sign to church between mile marker 212 and 213.</t>
  </si>
  <si>
    <t>&lt;a href="https://bayareasacredharp.org/palo-alto-all-day/"&gt;bayareasacredharp.org&lt;/a&gt;</t>
  </si>
  <si>
    <t>&lt;a href="http://chicagosingings.org"&gt;http://chicagosingings.org&lt;/a&gt;</t>
  </si>
  <si>
    <t>Oscar McGuire</t>
  </si>
  <si>
    <t>Brad Bahler</t>
  </si>
  <si>
    <t>Barrett Patton</t>
  </si>
  <si>
    <t>Details</t>
  </si>
  <si>
    <t xml:space="preserve">&lt;a href="http://www.christianharmony.org/schedule.html"&gt;http://www.christianharmony.org/schedule.html&lt;/a&gt;  </t>
  </si>
  <si>
    <t>Paul Mooney Jr., 706-273-3378 - &lt;a href="http://www.christianharmony.org/schedule.html"&gt;http://www.christianharmony.org/schedule.html&lt;/a&gt;</t>
  </si>
  <si>
    <t>https://www.google.com/maps/place/179+Boldo+Cemetery+Rd,+Jasper,+AL+35504/@33.8514819,-87.1875352,11.92z/data=!4m5!3m4!1s0x88885dd58bd402f1:0xc7a56a0c69e3996a!8m2!3d33.8541506!4d-87.1854786||Pleasant Grove Primitive Baptist Church, 179 Boldo Cemetery Rd, Boldo AL</t>
  </si>
  <si>
    <t>https://www.google.com/maps/place/Liberty+Church/@33.7383584,-87.0117963,17.35z/data=!4m12!1m6!3m5!1s0x8888f8ed2b6b90bf:0xe36af1df6be972b4!2sLiberty+Church!8m2!3d33.7379829!4d-87.010281!3m4!1s0x8888f8ed2b6b90bf:0xe36af1df6be972b4!8m2!3d33.7379829!4d-87.010281||Liberty Primitive Baptist Church, 7828 McCormick Rd, Dora, AL 35062</t>
  </si>
  <si>
    <t>https://www.google.com/maps/place/Liberty+Baptist+Church/@34.651084,-85.7596406,17z/data=!3m1!4b1!4m5!3m4!1s0x8861cf835856b6f7:0x7de4110f0866a5f!8m2!3d34.6510781!4d-85.7575147||Liberty Baptist Church, 1500 Liberty Rd, Henagar, AL 35978</t>
  </si>
  <si>
    <t>https://www.google.com/maps/place/Alabama+Department+of+Archives+%26+History/@32.3758299,-86.3025909,18z/data=!3m1!4b1!4m5!3m4!1s0x888e8160041b4467:0xeeaa2e76b61516ba!8m2!3d32.3756521!4d-86.300402||Alabama Department of Archives and History, 36130, 624 Washington Ave, Montgomery, AL 36104</t>
  </si>
  <si>
    <t>https://www.google.com/maps/place/654+Travelers+Rest+Rd,+Samson,+AL+36477/@31.1226024,-86.0868387,13.53z/data=!4m5!3m4!1s0x88923c9a0882bdd7:0xccc29e160fcf7153!8m2!3d31.1225009!4d-86.0675962||Traveler’s Rest Church, 654 Traveler's Rest Rd, Samson, AL 36477</t>
  </si>
  <si>
    <t>https://www.google.com/maps/place/Liberty+Church/@33.7354166,-87.0335508,13.53z/data=!4m12!1m6!3m5!1s0x8888f8ed2b6b90bf:0xe36af1df6be972b4!2sLiberty+Church!8m2!3d33.7379829!4d-87.010281!3m4!1s0x8888f8ed2b6b90bf:0xe36af1df6be972b4!8m2!3d33.7379829!4d-87.010281||Liberty Primitive Baptist Church, 7828 McCormick Rd, Dora, AL 35062</t>
  </si>
  <si>
    <t>https://www.google.com/maps/place/Co+Rd+79+%26+Germanys+Ferry+Rd,+Alabama+36256/@32.9701466,-85.863507,11.44z/data=!4m5!3m4!1s0x888b80bb581d3bd3:0xa2d5e94ae77d0d1b!8m2!3d33.015969!4d-85.6692159?hl=en||Rocky Mount Primitive Baptist Church, Co Rd 79 &amp; Germanys Ferry Rd, Daviston AL</t>
  </si>
  <si>
    <t>https://www.google.com/maps/place/3965+Glenwood+Rd,+Decatur,+GA+30032/@33.7369029,-84.2745492,13.88z/data=!4m5!3m4!1s0x88f5aa1110c117d1:0xa64c2f31c7044b5c!8m2!3d33.737745!4d-84.2558242||Hardeman Primitive Baptist Church, 3965 Glenwood Rd, Decatur, GA 30032</t>
  </si>
  <si>
    <t>https://www.google.com/maps/place/Coker+United+Methodist+Church/@29.5332243,-98.5387361,11.75z/data=!4m5!3m4!1s0x865c6031fda197d3:0x1df4b3aaa4509323!8m2!3d29.5555556!4d-98.4913889||Coker United Methodist Church, 231 E. North Loop Road, San Antonio, Texas</t>
  </si>
  <si>
    <t>https://www.google.com/maps/place/Prosperity+Grange/@47.0850791,-123.1388638,11.79z/data=!4m6!3m5!1s0x54919e5e10b451a5:0x556de0f1f156cb99!8m2!3d47.084859!4d-123.0160663!16s%2Fg%2F1tdwk68n||Prosperity Grange, 3701 Steamboat Island Rd NW, Olympia, WA</t>
  </si>
  <si>
    <t>https://www.google.com/maps/place/Second+Presbyterian+Church/@34.9571977,-81.9396946,17.35z/data=!4m5!3m4!1s0x885775f1f0590a7f:0xd84cacbb311202f0!8m2!3d34.9571604!4d-81.9381282||Second Presbyterian Church, 438 N Church St, Spartanburg, SC 29303</t>
  </si>
  <si>
    <t>https://www.google.com/maps/place/Cool+Springs+Church/@31.2817515,-86.2076121,12.13z/data=!4m5!3m4!1s0x88921e0af8d82129:0xdfdd5abb14501b2c!8m2!3d31.2966341!4d-86.2384723||Cool Springs Church, 1103 US-84, Opp, AL 36467</t>
  </si>
  <si>
    <t>https://www.google.com/maps/place/654+Travelers+Rest+Rd,+Samson,+AL+36477/@31.1226024,-86.0868387,13.53z/data=!4m5!3m4!1s0x88923c9a0882bdd7:0xccc29e160fcf7153!8m2!3d31.1225009!4d-86.0675962||Traveler's Rest Church, 654 Traveler's Rest Rd, Samson, AL 36477</t>
  </si>
  <si>
    <t>https://www.google.com/maps/place/Pine+Grove+Church/@34.2181543,-85.8596631,17z/data=!3m1!4b1!4m5!3m4!1s0x888a6dd2c045adcd:0xbe84d9b846871fe0!8m2!3d34.2181499!4d-85.8574691||34.218083185834935, -85.8574255146684 - Pine Grove Church, Collinsville AL 35961</t>
  </si>
  <si>
    <t>https://www.google.com/maps/place/Enon+Primitive+Baptist+Church/@33.8334194,-88.9410934,11.79z/data=!4m5!3m4!1s0x8880d651b00cc11f:0x15cf2ed1788a93ab!8m2!3d33.8270594!4d-88.896445||Enon Primitive Baptist Church, Co Rd 190, Houston Mississippi - 33.82682542422712, -88.89644301413098</t>
  </si>
  <si>
    <t>https://www.google.com/maps/place/Bethel+Primitive+Baptist+Church/@29.8504835,-97.5344915,17z/data=!3m1!4b1!4m5!3m4!1s0x86435bfd910e62b9:0xa7a707500f099da8!8m2!3d29.8506072!4d-97.5322946||Bethel Primitive Baptist Church, 5544 FM713, Lockhart, TX 78644</t>
  </si>
  <si>
    <t>https://www.google.com/maps/place/Old+Shady+Grove+Cemetery/@34.5940013,-85.9523035,13.74z/data=!4m12!1m6!3m5!1s0x8861e7ec8c5d7b39:0x486eec89210490d9!2sOld+Shady+Grove+Church!8m2!3d34.5986964!4d-85.9446983!3m4!1s0x0:0x2ce18868aa808d96!8m2!3d34.599514!4d-85.944473||Shady Grove Baptist Church, 62-598 Co Rd 408, Dutton, AL 35744</t>
  </si>
  <si>
    <t>https://www.google.com/maps/place/Mabson+United+Methodist+Church/@31.4680166,-85.6111512,12.83z/data=!4m5!3m4!1s0x889280d6306ae4df:0x67108172c16e3080!8m2!3d31.4683333!4d-85.5619583||Mabson United Methodist Church, 2883 Co Rd 36, Ozark, AL 36360</t>
  </si>
  <si>
    <t>https://www.google.com/maps/place/Mt.+Olive+at+Providence+Primitive+Baptist+Church/@34.2633346,-86.8436002,12z/data=!4m5!3m4!1s0x8889ce0d863e0c0d:0x823889f961eeada1!8m2!3d34.2709304!4d-86.8122232||Mt Olive at Providence Primitive Baptist Church, CR 1428, Vinemont AL</t>
  </si>
  <si>
    <t>https://www.google.com/maps/place/Concord+Cemetery,+Bruce,+MS+38915/@34.0142883,-89.4303305,16z/data=!4m8!1m2!2m1!1sconcord+baptist+church,+Ellard+MS!3m4!1s0x88805851489847ad:0xc4a6832aae4f4b72!8m2!3d34.0119999!4d-89.4298857||Concord Baptist Church, Co Rd 238 &amp; Co Rd 235, Bruce MS - 34.013684190567595, -89.42893181977298</t>
  </si>
  <si>
    <t>https://www.google.com/maps/place/Lower+Cane+Creek+Primitive+Baptist+Church/@33.6850399,-85.5488875,13.88z/data=!4m13!1m7!3m6!1s0x0:0x91b8f2cdec93a5d2!2zMzPCsDQxJzA5LjEiTiA4NcKwMzEnMzIuNiJX!3b1!8m2!3d33.685862!4d-85.525712!3m4!1s0x888b018ebd3ae9c9:0xcd5452a2e70b78b3!8m2!3d33.6873245!4d-85.5260074||Lower Cane Creek Primitive Baptist Church, 585 Co Rd 27, Heflin, AL 36264</t>
  </si>
  <si>
    <t>https://www.google.com/maps/place/Marshll+County+Courthouse/@36.861481,-88.3597983,14.33z/data=!4m5!3m4!1s0x887a43be3bd4a305:0x99f73cb390b424e!8m2!3d36.857889!4d-88.3499476||Marshall County Courthouse, 198-100 E 11th St, Benton, KY 42025</t>
  </si>
  <si>
    <t>https://www.google.com/maps/place/Zion+Primitive+Baptist+Church/@33.4289903,-87.929606,11.65z/data=!4m5!3m4!1s0x88864021375ea02b:0x7d72e8beb2902500!8m2!3d33.4242221!4d-87.8789281||Zion Primitive Baptist Church, Pickens County 49 and Dyer Dr, Gordo AL - 33.424296731243054, -87.87855542105524</t>
  </si>
  <si>
    <t>https://www.google.com/maps/place/Roberta+Civic+Center/@32.7290768,-84.0309733,11.14z/data=!4m6!3m5!1s0x88f3922e94296b77:0x32f5af349383d006!8m2!3d32.7174762!4d-84.0099419!16s%2Fg%2F11fz8tqsrh||Roberta Civic Center, 93 S Mathews St, Roberta, GA 31078</t>
  </si>
  <si>
    <t>https://www.google.com/maps/place/Blue+Ridge+Chapel/@34.5871233,-85.2291456,9.92z/data=!4m5!3m4!1s0x885fc2d0503e657b:0xb06517e52bda58b!8m2!3d34.7853932!4d-84.764479||Blue Ridge Primitive Baptist Church, 134 Hyden Tyler Rd, Chatsworth, GA 30705</t>
  </si>
  <si>
    <t>https://www.google.com/maps/place/Macedonia+Primitive+Baptist+Church+Cemetery/@34.5367122,-85.9166854,10.26z/data=!4m5!3m4!1s0x8861e1451ce0900b:0xe9b79043fa8a0d93!8m2!3d34.5181214!4d-85.9999924||Macedonia Primitive Baptist Church, 3431 N 00 E W, Section, AL 35771</t>
  </si>
  <si>
    <t>https://www.google.com/maps/place/Macedonia+Baptist+Church/@32.3964123,-89.2273088,12.14z/data=!4m5!3m4!1s0x8883a6e12c5c3365:0xb6741d7bdb60b40!8m2!3d32.4049564!4d-89.1931325||Macedonia Primitive Baptist Church, 1347 Macedonia Rd, Decatur, MS 39327</t>
  </si>
  <si>
    <t>https://www.google.com/maps/place/Mt+Lebanon+Cemetery,+Fayette,+AL+35555/@33.7639087,-87.8934065,11.75z/data=!4m5!3m4!1s0x88864ad3f7a698df:0x43862ca215a922ac!8m2!3d33.7736893!4d-87.8892618||Mt. Lebanon Baptist Church, Mt. Lebanon Rd, Fayette, AL 35555</t>
  </si>
  <si>
    <t>https://www.google.com/maps/place/Old+Alabama+Town/@32.3847102,-86.3083397,14.57z/data=!4m5!3m4!1s0x888e817a88e1090f:0x734d7a3bbd64b939!8m2!3d32.3822748!4d-86.3049847||Old Alabama Town, 301 Columbus St, Montgomery, AL 36104</t>
  </si>
  <si>
    <t>https://www.google.com/maps/place/Mt+Zion+United+Methodist+Church/@33.6404087,-85.211963,12.21z/data=!4m5!3m4!1s0x888b26ca82edc7a1:0x171d56a84b1f119a!8m2!3d33.6357253!4d-85.1869651||Mt. Zion United Methodist Church, 49 N Prospect Ave, Mt Zion, GA 30150</t>
  </si>
  <si>
    <t>https://www.google.com/maps/place/Wildacres+Retreat/@35.8262512,-82.189204,12.49z/data=!4m5!3m4!1s0x8850a5943fffffff:0x39a0f8932730f18e!8m2!3d35.8250601!4d-82.1068434||Wildacres Retreat, 1565 Wild Acres Rd, Little Switzerland, NC 28749</t>
  </si>
  <si>
    <t>https://www.google.com/maps/place/Henderson+Civic+Center/@32.1598519,-94.8707846,12.14z/data=!4m5!3m4!1s0x8637ceace7738ea5:0x4e9bfa90de9ca85f!8m2!3d32.1660796!4d-94.8117444||Henderson Civic Center, 1500 Lake Forest Pkwy, Henderson, TX 75652</t>
  </si>
  <si>
    <t>https://www.google.com/maps/place/Ramah+Church/@31.3391998,-87.2212324,12.31z/data=!4m5!3m4!1s0x88903c2c599c3615:0xc65a34b9588d5761!8m2!3d31.3310024!4d-87.1794216||Ramah Primitive Baptist Church, Brushy Creek Rd and Conecuh County 7, Range AL</t>
  </si>
  <si>
    <t>https://www.google.com/maps/place/Mount+Pisgah+Primitive+Baptist+Church/@31.4458868,-84.1266438,10.71z/data=!4m12!1m6!3m5!1s0x88edf45b370368bd:0xeade1dce47a9398d!2sMount+Pisgah+Primitive+Baptist+Church!8m2!3d31.4213574!4d-83.8799247!3m4!1s0x88edf45b370368bd:0xeade1dce47a9398d!8m2!3d31.4213574!4d-83.8799247||Mount Pisgah Primitive Baptist Church, 1753 Evergreen Rd, Sylvester, GA 31791</t>
  </si>
  <si>
    <t>https://www.google.com/maps/place/Pine+Grove+Church/@34.2181543,-85.8596631,17z/data=!3m1!4b1!4m5!3m4!1s0x888a6dd2c045adcd:0xbe84d9b846871fe0!8m2!3d34.2181499!4d-85.8574691||34.218083185834935, -85.8574255146684, Pine Grove Church, Collinsville AL 35961</t>
  </si>
  <si>
    <t>https://www.google.com/maps/place/Providence+Church/@32.3254921,-93.2909017,12.88z/data=!4m5!3m4!1s0x863102b349b8c6a1:0x4b63c1ee5e965751!8m2!3d32.3299778!4d-93.2579678||New Providence Primitive Baptist Church, LA-154, Ringgold, LA 71068</t>
  </si>
  <si>
    <t>https://www.google.com/maps/place/Pleasant+Grove+Primitive+Baptist+Church/@31.4621898,-85.6468686,13.53z/data=!4m5!3m4!1s0x88927dde6707a459:0xeadd7bdf39843a5f!8m2!3d31.4580957!4d-85.6250643||Pleasant Grove Primitive Baptist Church, 1201 Eufaula St, Ozark, AL 36360</t>
  </si>
  <si>
    <t>https://www.google.com/maps/place/Sadsbury+Monthly+Meeting/@39.9257829,-76.0334134,10.4z/data=!4m5!3m4!1s0x89c64677feae35f5:0xdd9d57a07a9fae2b!8m2!3d39.97083!4d-75.990825||Sadsbury Meeting, 1089 Simmontown Road, Gap, PA 17527</t>
  </si>
  <si>
    <t>Oct, 2nd Sun</t>
  </si>
  <si>
    <t>https://www.google.com/maps/place/Holly+Springs+Primitive+Baptist+Church/@33.6956224,-85.1888381,11.49z/data=!4m6!3m5!1s0x888b275e26fd65b7:0x9193d62821b61c47!8m2!3d33.683421!4d-85.14948!16s%2Fg%2F11gsm5n372||Holly Springs Primitive Baptist Church, 760 Holly Springs Rd, Carrollton, GA 30117</t>
  </si>
  <si>
    <t>Time</t>
  </si>
  <si>
    <t>10am</t>
  </si>
  <si>
    <t>https://www.google.com/maps/place/1547+Adams+Clarke+Rd,+Commerce,+GA+30530/@34.1532378,-83.3235137,17z/data=!3m1!4b1!4m5!3m4!1s0x88f619e3dc1071cd:0x2026ab304169bc8d!8m2!3d34.1532334!4d-83.3213197||Hollingsworth Home, 1547 Adams Clarke Rd, Commerce GA</t>
  </si>
  <si>
    <t>10:00am</t>
  </si>
  <si>
    <t>Old Chicora (Hillsborough County)</t>
  </si>
  <si>
    <t>5:30pm</t>
  </si>
  <si>
    <t>7pm</t>
  </si>
  <si>
    <t>6pm</t>
  </si>
  <si>
    <t>3pm</t>
  </si>
  <si>
    <t>South side of US 68 between Harrodsburg and Lexington, 3.5 miles west of Kentucky River bridge at top of palisades</t>
  </si>
  <si>
    <t>10am-3pm</t>
  </si>
  <si>
    <t>https://www.google.com/maps/place/Union+Hill+Church/@30.9888345,-86.0640959,10.22z/data=!4m5!3m4!1s0x0:0x2bfed877b292d05!8m2!3d30.9344552!4d-85.7402472||Union Hill Singing Hall, 2759 Union Hill Church Rd, Bonifay, FL 32425</t>
  </si>
  <si>
    <t>10am-3:30pm</t>
  </si>
  <si>
    <t>9:30am</t>
  </si>
  <si>
    <t>10:30am</t>
  </si>
  <si>
    <t>Location TBA</t>
  </si>
  <si>
    <t>10:30am-4pm</t>
  </si>
  <si>
    <t>9am</t>
  </si>
  <si>
    <t>9:30am-3:30pm</t>
  </si>
  <si>
    <t>Take I-20 to Georgia, exit 11—U.S. Hwy 27 south for about 13.5 miles—turn right on Oak Grove Road—Go about ½ miles—turn left on Oak Grove Church Road and go about ½ miles. Church is on the left</t>
  </si>
  <si>
    <t>6 miles northwest of Arab—Turn west off Alabama Hwy 231 onto County Road 418 at Discount Warehouse Grocery, also called Ruth Eddy Road—Church is on the left</t>
  </si>
  <si>
    <t>9:30am-3pm</t>
  </si>
  <si>
    <t>North of Bowdon, Georgia. From I-20 take exit 5 at Hwy 100, travel 7.2 miles south. Turn right onto Smithfield Rd. The church is on the right.</t>
  </si>
  <si>
    <t>11:30am-4pm</t>
  </si>
  <si>
    <t>9:30am-2:30pm</t>
  </si>
  <si>
    <t>10:30-4pm</t>
  </si>
  <si>
    <t>Saturday 9:30am-2:30pm, Sunday 9am-2pm</t>
  </si>
  <si>
    <t>Dutch Treat lunch</t>
  </si>
  <si>
    <t>https://www.google.com/maps/place/George+E.+Cowden+Hall/@32.6712849,-97.4382432,11.44z/data=!3m1!5s0x864e6e01e9170bdb:0x92f73cd7ed062c21!4m6!3m5!1s0x864e6f18ee2862f3:0x3b9401b460235528!8m2!3d32.6828419!4d-97.3473414!16s%2Fg%2F11ngvr35qg||Cowden Hall, Southwestern Baptist Theological Seminary, 1809 West Broadus St., Fort Worth, Texas</t>
  </si>
  <si>
    <t>&lt;iframe src="https://www.google.com/maps/embed?pb=!1m18!1m12!1m3!1d157957.867520253!2d-97.43824319571931!3d32.67128491733374!2m3!1f0!2f0!3f0!3m2!1i1024!2i768!4f13.1!3m3!1m2!1s0x864e6f18ee2862f3%3A0x3b9401b460235528!2sGeorge%20E.%20Cowden%20Hall!5e0!3m2!1sen!2sus!4v1675988749306!5m2!1sen!2sus" width="600" height="450" style="border:0;" allowfullscreen="" loading="lazy" referrerpolicy="no-referrer-when-downgrade"&gt;&lt;/iframe&gt;</t>
  </si>
  <si>
    <t xml:space="preserve">Covered dish lunch at noon. </t>
  </si>
  <si>
    <t>Lunch provided with $10 donation</t>
  </si>
  <si>
    <t>10am–2:30pm</t>
  </si>
  <si>
    <t>The only UK singing solely from the Cooper book. Bring and share dinner on the grounds.</t>
  </si>
  <si>
    <t>Included Southern Harmony in books</t>
  </si>
  <si>
    <t>https://www.google.com/maps/place/George+W+Truett+Theological/@31.553108,-97.1292292,14.57z/data=!4m5!3m4!1s0x864f83b802bac7d9:0xcbcfcd26a574c059!8m2!3d31.5504182!4d-97.1199981||Truett Seminary Great Hall, Baylor University, 1100 S 3rd St, Waco, TX 76706</t>
  </si>
  <si>
    <t>3pm-5pm</t>
  </si>
  <si>
    <t>Florida</t>
  </si>
  <si>
    <t>This singing is in connection with the UC Folk Festival and will fluctuate on the Saturday before the first, second, or third Sunday.</t>
  </si>
  <si>
    <t xml:space="preserve">3 miles southwest of Daviston, Alabama—Hwy. 22 to Daviston—Take County Rd. 79 south to crossroads—Church on right—From Alexander City—Hwy. 22 east to Germany Ferrys Rd.—Take right—Church on left </t>
  </si>
  <si>
    <t>Admission to the museum is free for singers. (Show your songbook when arriving.) Other visitors pay the usual museum fee. Museum gates open at 9am. For more information you can contact Pioneer Museum of Alabama at 334-566-3597. Their poster is at www.pioneer-museum.org</t>
  </si>
  <si>
    <t>Rotates between Las Cruces, New Mexico and Tucson, Arizona</t>
  </si>
  <si>
    <t>9:45am</t>
  </si>
  <si>
    <t>Directions: 70 F. D. "Buddy" East Parkway (CR406), just off MS6/US278, one mile east of MS7. Turn at stop light, take second left, enter at doors marked "Mississippi State Extension Service."</t>
  </si>
  <si>
    <t>10:30am-3:30pm</t>
  </si>
  <si>
    <t>Lunch on your own</t>
  </si>
  <si>
    <t>From I-65, take Exit 74A (Old Hickory Blvd. east) turn left onto Edmondson Pike (2.2 mi.), turn right on McMurray Dr. (1.1 mi.), turn left on Brewer Dr. From I-24, take Exit 59 and go left on Bell Rd, turn right on Nolensville Rd. (3.3 mi.), turn left on Brewer Dr. (.5 mi.) Church (.6 mi.) Signs will be posted.—Saturday before the first Sunday in April</t>
  </si>
  <si>
    <t>0.5 miles west of Hwy 299 (Martin Luther King Expressway) on Hwy. 84—from North on Hwy 299, turn right on Hwy 84, from South, turn left</t>
  </si>
  <si>
    <t>Six miles east of Heflin—Just off U.S. Hwy. 78</t>
  </si>
  <si>
    <t>Take I-59 north—Exit right at Exit 231—Turn left onto Hwy. 40/117—Go 1.4 miles and turn right on Hwy. 117—Go 9.5 miles (You will cross Hwy. 75)—Turn right onto Hwy. 141—Go 3.9 miles—Turn right onto County Road 783 and immediately back left onto County Road 782—Church is on left</t>
  </si>
  <si>
    <t>Johnstonville Road between I-75 and Barnesville</t>
  </si>
  <si>
    <t xml:space="preserve">Take I-59 and turn east on AL 68 (exit 205); follow signs to US 11, go south on 11, look for sign to church between mile marker 212 and 213. </t>
  </si>
  <si>
    <t>Approximately 10 miles east of Heflin—Take Exit 210 (Ranburne/Muscadine, exit off I-20)—Take first road on right (County Road 60)—Go 1 mile—Church on right</t>
  </si>
  <si>
    <t>Dinner at 12:00 noon with singing beginning at 1:00 p.m.&lt;/br&gt;South of Hwy. 8—8 miles east of Houston—From Hwy. 8—Turn south on County Road 190—Church is on the left</t>
  </si>
  <si>
    <t>10:30am-4:30pm</t>
  </si>
  <si>
    <t>Eight miles southeast of Haleyville—On Hwy. 195, Turn south at church sign, go 2 miles, church on left—Going north—look for church sign, go south 2 miles</t>
  </si>
  <si>
    <t>Take U.S. 78 to Fruithurst—Turn north (County Road 35) at post office—Go to County Road 49—Follow County Road 49 north to County Road 14 (Rosewood Community)—Turn right—Go approximately 2 miles—Church on left</t>
  </si>
  <si>
    <t>On Farmers Market Road 713—Between Bastrop and Luling—East of Lockhart—First fifth Sunday in the spring (March or later)</t>
  </si>
  <si>
    <t>5 miles east of Ozark on Hwy 36</t>
  </si>
  <si>
    <t>Saturday 10:30am, Sunday 1pm</t>
  </si>
  <si>
    <t>Saturday, Sacred Harp — Sunday, Christian Harmony</t>
  </si>
  <si>
    <t>12pm</t>
  </si>
  <si>
    <t>12:00 Noon dinner, singing at 1:00 pm—West of Hwy. 32 at Ellard—In Ellard—Take County Road 238 west from Ellard to Concord. Cross Persimmon Bottom and continue up the hill to the church</t>
  </si>
  <si>
    <t>GPS: 33.685862, -85.525712—One quarter mile south of intersection of US-78 and CR-66</t>
  </si>
  <si>
    <t xml:space="preserve"> 4413 County Road 79, 3 miles southwest of Daviston, Alabama—Hwy. 22 to Daviston—Take County Rd. 79 south to crossroads—Church on right—From Alexander City—Hwy. 22 east to Germany Ferrys Rd.—Take right—Church on left </t>
  </si>
  <si>
    <t>20 miles southwest of Andalusia, Alabama, on Hwy 137 north of Wing, Alabama</t>
  </si>
  <si>
    <t>From Bowling Green, Missouri, take Hwy Y about nine miles past Farmer intersection to Pike County Road 410. Church is two miles on Rd 410; follow signs</t>
  </si>
  <si>
    <t xml:space="preserve">2 miles south of Bremen, Georgia off Hwy 27. Exit 3 off I-20; turn south on Hwy 27, go to top of hill at Amoco service station and turn left, go to dead end and turn left. </t>
  </si>
  <si>
    <t>Location TBA—Saturday, Sacred Harp—Sunday, Shenandoah Harmony</t>
  </si>
  <si>
    <t>On Hwy. 32, 10 miles west of Bruce—Dutch treat: singers bring lunch</t>
  </si>
  <si>
    <t>Book: The Christian Harmony (1873/2015) - the Folk Heritage Edition or The Christian Harmony Carolina Book reprints, 1994 or 1979, Loaners will be available. Dinner on the grounds.</t>
  </si>
  <si>
    <t>From Atlanta, exit GA400 North at Haynes Bridge—turn left—go to Old Milton Parkway—turn left—turn right on GA9—City Hall/Courthouse ¼ mile on right</t>
  </si>
  <si>
    <t>Dinner at noon, singing at 1pm—3 miles north of Derma</t>
  </si>
  <si>
    <t>From I-65 take exit 299-go south on Hwy 69 toward Jasper approximately 10.8 miles-turn right onto County Road 59-go 1.5 miles, church will be on your right.</t>
  </si>
  <si>
    <t>10am-4pm</t>
  </si>
  <si>
    <t>10:30am-3pm</t>
  </si>
  <si>
    <t>Take US Hwy. 411 North from downtown Chatsworth Georgia, Turn right onto Old Federal Rd. (just past Auto Zone), Bear right onto Hyden Tyler Rd., The Church is approx. one mile from Hwy. 411</t>
  </si>
  <si>
    <t>U.S. 422 to Baumstown—Continue past  homestead 1 mile to Meetinghouse Road—Left on Meetinghouse Road 0.2 miles to Meetinghouse on right—Set date of Saturday before the third Sunday in June</t>
  </si>
  <si>
    <t>Saturday before the third Sunday in June in alternate years</t>
  </si>
  <si>
    <t>Take I84 east, cross the river at Hood River, drive north on Hwy. 141 about 25 minutes—Friday night social in Trout Lake</t>
  </si>
  <si>
    <t>About 12 miles southeast of Henderson—Take Farm to Market Road 840 toward Brachfield from Henderson—Turn right at the Welch Cemetery on County Road 368—Church is on the left—Always held on Father’s Day</t>
  </si>
  <si>
    <t>4 miles south of Section—7 miles northwest of Fyffe on county road to Section</t>
  </si>
  <si>
    <t>9:30-3pm</t>
  </si>
  <si>
    <t>Fayette County, Alabama, 8 miles northwest of Fayette—Take State Highway 18 west from Fayette—Turn right, north, on State Highway 107—Go approximately 4 miles—Turn right on Mt. Lebanon Road (you will have passed Ballinger Road about midway)—There should be  a sign—Church is on the left</t>
  </si>
  <si>
    <t>Five miles south of Jones Chapel off Hwy. 278, turn south onto County Road 940—Church is on the right</t>
  </si>
  <si>
    <t>Singing rotates between Edinburgh and Glasgow</t>
  </si>
  <si>
    <t>1:15pm</t>
  </si>
  <si>
    <t>From Cullman, Take Hwy. 69 south—Go past landfill—Take County Road 8 south—Go 1 mile (First paved road)—Take left and go 0.6 miles.</t>
  </si>
  <si>
    <t xml:space="preserve">Sarah Kehrberg, &lt;a href="http://www.christianharmony.org/schedule.html"&gt;http://www.christianharmony.org/schedule.html&lt;/a&gt; </t>
  </si>
  <si>
    <t>In Mt. Zion at crossroads of Hwy 16/Mt. Zion Road and Prospect Ave., turn north onto North Prospect Ave., and drive 400 feet to church on right.</t>
  </si>
  <si>
    <t>Just off AL Hwy. 117—1 mile north from intersection of Alabama Highways. 117 and 75—Church is just west of AL Hwy. 117—Follow sign</t>
  </si>
  <si>
    <t>From the southeastern section of 166 (Carrollton bypass) turn south on OLD Newnan Road, at fork, bear left onto Cross Plains Rd—at three way intersection, bear right onto dirt road, Chapel on left.—From Alabama—Exit I20 at US Hwy 27, turn right, go about 10 miles, turn left at light onto Linda Lane, continue several miles until light at Old Newnan Road, turn left, after passing Cross Plains on right, keep straight after sharp curve, Chapel on left</t>
  </si>
  <si>
    <t>On County Hwy. 6, about 4 miles west of I-65 near Lenox</t>
  </si>
  <si>
    <t>Saturday: The Shenandoah Harmony — Sunday: Sacred Harp</t>
  </si>
  <si>
    <t>Saturday 10am-4pm, Sunday 1pm-4pm</t>
  </si>
  <si>
    <t>9:15am-3pm</t>
  </si>
  <si>
    <t xml:space="preserve">Singing school for beginnings 9:15am-10:00am.&lt;/br&gt;Book for this singing: The Christian Harmony (1873/2015) - the Folk Heritage Edition or The Christian Harmony Carolina Book reprints, 1994 or 1979 Loaners of Walker’s Carolina Books will be available. Please bring photocopies to share if you want to lead songs or verses that are not in the Carolina book. Handouts should first be checked with the president of the singing.&lt;/br&gt; </t>
  </si>
  <si>
    <t>11:30am</t>
  </si>
  <si>
    <t>From West to East: Take Hwy. 78 east to Heflin and then into Edwardsville—Go through Edwardsville, just past mile marker 183, and turn north onto County Road 61 which is directly across the road from the volunteer fire department. There is a sign for Talladega National Forest—Go 5.6 miles, cross the creek, go 0.4 miles and look for a sign for the church. Turn right at the church sign onto a dirt road leading to the church</t>
  </si>
  <si>
    <t>1:30pm</t>
  </si>
  <si>
    <t xml:space="preserve">11 AM Worship Service, Singing in the afternoon, starting about 1:30 PM, Dinner on the grounds. Book: The Christian Harmony (1873/2015) - the Folk Heritage Edition or The Christian Harmony Carolina Book reprints, 1994 or 1979, Loaners available. </t>
  </si>
  <si>
    <t>From Tuscaloosa, drive south on Alabama Hwy 69 for 15 miles to Moundville, turn left (east) onto Centerville Rd (also called County Road 50). Go about 8 miles, veer right onto Clary Hill Rd. Go 2 miles, veer right at sign for China Grove Church, which will be on the right, quarter mile past turn.</t>
  </si>
  <si>
    <t>From Hwy. 9, turn east in Goodwater on Hackneyville Road—Go approximately 5 miles to County Road 83, turn right (church sign there). Go approximately 0.25 miles, church is on left</t>
  </si>
  <si>
    <t>https://www.google.com/maps/place/Keeton+Cemetery,+Nauvoo,+AL+35578/@34.0411544,-87.6620827,10.06z/data=!4m13!1m7!3m6!1s0x8888775466dea6ff:0x7ed1706bcdb44947!2sKeeton+Ln,+Alabama+35578!3b1!8m2!3d33.9536358!4d-87.4637619!3m4!1s0x888877543bccf847:0xb97df52778295105!8m2!3d33.9526505!4d-87.4642664||Shady Grove (Keeton Cemetery), 141 Keeton Lane, Nauvoo, Walker County, Alabama</t>
  </si>
  <si>
    <t xml:space="preserve">Saturday at Valley View Baptist Church — Sunday at Headrick Chapel, Sevierville North Carolina —Dinner on the grounds. </t>
  </si>
  <si>
    <t>Keywords</t>
  </si>
  <si>
    <t>Alaska</t>
  </si>
  <si>
    <t>Alabama</t>
  </si>
  <si>
    <t>Arkansas</t>
  </si>
  <si>
    <t>British Columbia</t>
  </si>
  <si>
    <t>California</t>
  </si>
  <si>
    <t>Colorado</t>
  </si>
  <si>
    <t>Connecticut</t>
  </si>
  <si>
    <t>Georgia</t>
  </si>
  <si>
    <t>Iowa</t>
  </si>
  <si>
    <t>Illinois</t>
  </si>
  <si>
    <t>Kentucky</t>
  </si>
  <si>
    <t>Maine</t>
  </si>
  <si>
    <t>Indiana</t>
  </si>
  <si>
    <t>Kansas</t>
  </si>
  <si>
    <t>Louisiana</t>
  </si>
  <si>
    <t>Massachusetts</t>
  </si>
  <si>
    <t>Michigan</t>
  </si>
  <si>
    <t>Minnesota</t>
  </si>
  <si>
    <t>Missouri</t>
  </si>
  <si>
    <t>Mississippi</t>
  </si>
  <si>
    <t>North Carolina</t>
  </si>
  <si>
    <t>Ohio</t>
  </si>
  <si>
    <t>Ontario</t>
  </si>
  <si>
    <t>Oregon</t>
  </si>
  <si>
    <t>Pennsylvania</t>
  </si>
  <si>
    <t>Quebec, Québec</t>
  </si>
  <si>
    <t>South Carolina</t>
  </si>
  <si>
    <t>Tennessee</t>
  </si>
  <si>
    <t>Texas</t>
  </si>
  <si>
    <t>United Kingdom</t>
  </si>
  <si>
    <t>Virginia</t>
  </si>
  <si>
    <t>Vermont</t>
  </si>
  <si>
    <t>Wisconsin</t>
  </si>
  <si>
    <t>West Virginia</t>
  </si>
  <si>
    <t>Noted as canceled in 2023 per &lt;a href="https://sacredharp.uk/"&gt;sacredharp.uk&lt;/a&gt;</t>
  </si>
  <si>
    <t>Judge Jackson Memorial Singing</t>
  </si>
  <si>
    <t>https://www.google.com/maps/place/Union+Grove+Church/@31.4215243,-85.633027,12.14z/data=!4m6!3m5!1s0x8892879687f75761:0xfe82a387f71a5987!8m2!3d31.3988734!4d-85.5847852!16s%2Fg%2F1tffdzpb||Union Grove Baptist Church, Co Rd 30, Ozark, AL 36360</t>
  </si>
  <si>
    <t>&lt;iframe src="https://www.google.com/maps/embed?pb=!1m18!1m12!1m3!1d98951.65527143156!2d-85.63302696344594!3d31.421524255077305!2m3!1f0!2f0!3f0!3m2!1i1024!2i768!4f13.1!3m3!1m2!1s0x8892879687f75761%3A0xfe82a387f71a5987!2sUnion%20Grove%20Church!5e0!3m2!1sen!2sus!4v1676150532896!5m2!1sen!2sus" width="600" height="450" style="border:0;" allowfullscreen="" loading="lazy" referrerpolicy="no-referrer-when-downgrade"&gt;&lt;/iframe&gt;</t>
  </si>
  <si>
    <t>Location change per &lt;a href="https://sacredharp.uk/"&gt;sacredharp.uk&lt;/a&gt;</t>
  </si>
  <si>
    <t>Location added per &lt;a href="https://sacredharp.uk/"&gt;sacredharp.uk&lt;/a&gt;</t>
  </si>
  <si>
    <t xml:space="preserve">https://www.google.com/maps/place/Flitwick+Village+Hall/@51.9984179,-0.66134,10.44z/data=!4m5!3m4!1s0x48764cbc4cff4f77:0xf9ad7e651772b8e4!8m2!3d52.0021618!4d-0.4958913?hl=en||Flitwick Village Hall, Dunstable Road, Flitwick, Bedfordshire, MK45 1HP, United Kingdom </t>
  </si>
  <si>
    <t>Cooper Book (Sat)—Christian Harmony (Sun)—Fourth weekend in April unless falls on Easter, then third weekend in April</t>
  </si>
  <si>
    <t>10am-2:30pm</t>
  </si>
  <si>
    <t>Time added based on &lt;a href="https://www.facebook.com/events/1165806107413308/?ref=newsfeed"&gt;Facebook event&lt;/a&gt;</t>
  </si>
  <si>
    <t>https://www.google.com/maps/place/Bruce+Forestry+Museum/@34.0137267,-89.6266697,10.06z/data=!4m6!3m5!1s0x8880f76bf65a71d7:0xc9e98c8edc2324fd!8m2!3d33.9909105!4d-89.3462852!16s%2Fg%2F11c2nj7m0w||Burce Forestry Museum, 109 Public Square, Bruce, MS 38915</t>
  </si>
  <si>
    <t>&lt;iframe src="https://www.google.com/maps/embed?pb=!1m18!1m12!1m3!1d407326.94197996095!2d-89.6266697404298!3d34.0137266559318!2m3!1f0!2f0!3f0!3m2!1i1024!2i768!4f13.1!3m3!1m2!1s0x8880f76bf65a71d7%3A0xc9e98c8edc2324fd!2sBruce%20Forestry%20Museum!5e0!3m2!1sen!2sus!4v1677111182345!5m2!1sen!2sus" width="600" height="450" style="border:0;" allowfullscreen="" loading="lazy" referrerpolicy="no-referrer-when-downgrade"&gt;&lt;/iframe&gt;</t>
  </si>
  <si>
    <t>Location added based on submission from Warren Steel</t>
  </si>
  <si>
    <t>Newcastle Singing</t>
  </si>
  <si>
    <t>10:30-3:30</t>
  </si>
  <si>
    <t>Jun, Sat &amp; Sun after Whitsun Bank Holiday</t>
  </si>
  <si>
    <t>https://www.google.com/maps/dir/St+Francis+Church+High+Heaton,+66+Cleveland+Gardens,+Newcastle+upon+Tyne+NE7+7QH,+United+Kingdom/Side+by+Side+Arts+Music+Tuition,+Dunsmuir+Grove,+Gateshead+NE8+4QL,+United+Kingdom/@54.9718327,-1.681014,11.61z/data=!4m13!4m12!1m5!1m1!1s0x487e71199db4c995:0x32a2e6764a8572f5!2m2!1d-1.589176!2d55.0032389!1m5!1m1!1s0x487e71bce96d4c37:0x9f8ee8f5f40f762a!2m2!1d-1.6112709!2d54.9489381?hl=en||Saturday: St Francis Church Hall, Cleveland Gardens High Heaton, Newcastle, NE7 7QH, UK and Sunday: Side by Side Arts, Dunsmuir Grove, Gateshead, NE8 4QL, UK</t>
  </si>
  <si>
    <t>&lt;iframe src="https://www.google.com/maps/embed?pb=!1m28!1m12!1m3!1d95954.72412349483!2d-1.6810139947702343!3d54.97183267955056!2m3!1f0!2f0!3f0!3m2!1i1024!2i768!4f13.1!4m13!3e6!4m5!1s0x487e71199db4c995%3A0x32a2e6764a8572f5!2sSt%20Francis%20Church%20High%20Heaton%2C%2066%20Cleveland%20Gardens%2C%20Newcastle%20upon%20Tyne%20NE7%207QH%2C%20United%20Kingdom!3m2!1d55.0032389!2d-1.589176!4m5!1s0x487e71bce96d4c37%3A0x9f8ee8f5f40f762a!2sSide%20by%20Side%20Arts%20Music%20Tuition%2C%20Dunsmuir%20Grove%2C%20Gateshead%20NE8%204QL%2C%20United%20Kingdom!3m2!1d54.9489381!2d-1.6112708999999998!5e0!3m2!1sen!2sus!4v1677112025382!5m2!1sen!2sus" width="600" height="450" style="border:0;" allowfullscreen="" loading="lazy" referrerpolicy="no-referrer-when-downgrade"&gt;&lt;/iframe&gt;</t>
  </si>
  <si>
    <t>Location change and Sunday Shenandoah singing added per &lt;a href="https://sacredharp.uk/"&gt;sacredharp.uk&lt;/a&gt;</t>
  </si>
  <si>
    <t>Portland Double All-Day Singing</t>
  </si>
  <si>
    <t>Saturday, Sacred Harp — Sunday, Shenandoah Harmony</t>
  </si>
  <si>
    <t>51.036777, -0.179214</t>
  </si>
  <si>
    <t>33.815227, -85.4069</t>
  </si>
  <si>
    <t>33.685862, -85.525712</t>
  </si>
  <si>
    <t>33.683421, -85.14948</t>
  </si>
  <si>
    <t>39.97083, -75.990825</t>
  </si>
  <si>
    <t>33.683421, -85.14938</t>
  </si>
  <si>
    <t>33.928199, -84.115198</t>
  </si>
  <si>
    <t>33.683421, -85.14928</t>
  </si>
  <si>
    <t>Coordinates</t>
  </si>
  <si>
    <t>34.187672, -87.426793</t>
  </si>
  <si>
    <t>38.580596, -122.881123</t>
  </si>
  <si>
    <t>34.153233, -83.32132</t>
  </si>
  <si>
    <t>52.981872, -1.353661</t>
  </si>
  <si>
    <t>33.854151, -87.185479</t>
  </si>
  <si>
    <t>33.770335, -85.413079</t>
  </si>
  <si>
    <t>31.458096, -85.625064</t>
  </si>
  <si>
    <t>41.944064, -87.738988</t>
  </si>
  <si>
    <t>33.807052, -86.927644</t>
  </si>
  <si>
    <t>30.768277, -87.786978</t>
  </si>
  <si>
    <t>34.651078, -85.757515</t>
  </si>
  <si>
    <t>32.682842, -97.347341</t>
  </si>
  <si>
    <t>34.651078, -85.757415</t>
  </si>
  <si>
    <t>27.726032, -82.061486</t>
  </si>
  <si>
    <t>32.375652, -86.300402</t>
  </si>
  <si>
    <t>31.122501, -86.067596</t>
  </si>
  <si>
    <t>33.737983, -87.010281</t>
  </si>
  <si>
    <t>41.788002, -87.595652</t>
  </si>
  <si>
    <t>31.550418, -97.119998</t>
  </si>
  <si>
    <t>52.002162, -0.495891</t>
  </si>
  <si>
    <t>33.015969, -85.669216</t>
  </si>
  <si>
    <t>33.214128, -87.522045</t>
  </si>
  <si>
    <t>30.456203, -85.070318</t>
  </si>
  <si>
    <t>31.824607, -85.996045</t>
  </si>
  <si>
    <t>33.737745, -84.255824</t>
  </si>
  <si>
    <t>29.555556, -98.491389</t>
  </si>
  <si>
    <t>53.408136, -1.51816</t>
  </si>
  <si>
    <t>33.905267, -83.217318</t>
  </si>
  <si>
    <t>33.279841, -87.906963</t>
  </si>
  <si>
    <t>31.122501, -86.067496</t>
  </si>
  <si>
    <t>35.839355, -82.614973</t>
  </si>
  <si>
    <t>35.784749, -78.661152</t>
  </si>
  <si>
    <t>33.405728, -85.252995</t>
  </si>
  <si>
    <t>31.390551, -86.264399</t>
  </si>
  <si>
    <t>47.084859, -123.016066</t>
  </si>
  <si>
    <t>31.171261, -86.392491</t>
  </si>
  <si>
    <t>34.354706, -89.48468</t>
  </si>
  <si>
    <t>31.184811, -82.171244</t>
  </si>
  <si>
    <t>34.95716, -81.938128</t>
  </si>
  <si>
    <t>40.411604, -79.752285</t>
  </si>
  <si>
    <t>30.934455, -85.740247</t>
  </si>
  <si>
    <t>31.296634, -86.238472</t>
  </si>
  <si>
    <t>29.506699, -82.279268</t>
  </si>
  <si>
    <t>36.05569, -86.724599</t>
  </si>
  <si>
    <t>50.835609, -0.149288</t>
  </si>
  <si>
    <t>33.706477, -85.508849</t>
  </si>
  <si>
    <t>33.990911, -89.346285</t>
  </si>
  <si>
    <t>33.660663, -85.278284</t>
  </si>
  <si>
    <t>31.122501, -86.067396</t>
  </si>
  <si>
    <t>47.693996, -122.558099</t>
  </si>
  <si>
    <t>33.807052, -86.927544</t>
  </si>
  <si>
    <t>34.750597, -85.628295</t>
  </si>
  <si>
    <t>31.398873, -85.584785</t>
  </si>
  <si>
    <t>34.21815, -85.857469</t>
  </si>
  <si>
    <t>33.645941, -85.418565</t>
  </si>
  <si>
    <t>33.827059, -88.896445</t>
  </si>
  <si>
    <t>42.445213, -76.504594</t>
  </si>
  <si>
    <t>32.102056, -94.653374</t>
  </si>
  <si>
    <t>52.837826, -1.276215</t>
  </si>
  <si>
    <t>34.236847, -87.514093</t>
  </si>
  <si>
    <t>31.122501, -86.067296</t>
  </si>
  <si>
    <t>29.850607, -97.532295</t>
  </si>
  <si>
    <t>27.726032, -82.061386</t>
  </si>
  <si>
    <t>45.522872, -122.624603</t>
  </si>
  <si>
    <t>34.598696, -85.944698</t>
  </si>
  <si>
    <t>33.953636, -87.463762</t>
  </si>
  <si>
    <t>31.468333, -85.561958</t>
  </si>
  <si>
    <t>32.946955, -86.997653</t>
  </si>
  <si>
    <t>42.310088, -71.116119</t>
  </si>
  <si>
    <t>42.712586, -84.411279</t>
  </si>
  <si>
    <t>34.992582, -82.643531</t>
  </si>
  <si>
    <t>35.153993, -89.91112</t>
  </si>
  <si>
    <t>51.498771, -2.518232</t>
  </si>
  <si>
    <t>34.27093, -86.812223</t>
  </si>
  <si>
    <t>38.05418, -84.654594</t>
  </si>
  <si>
    <t>53.729755, -2.287204</t>
  </si>
  <si>
    <t>34.012, -89.429886</t>
  </si>
  <si>
    <t>36.857889, -88.349948</t>
  </si>
  <si>
    <t>32.352126, -90.878624</t>
  </si>
  <si>
    <t>33.015969, -85.669116</t>
  </si>
  <si>
    <t>31.05227, -86.582616</t>
  </si>
  <si>
    <t>33.763075, -84.31072</t>
  </si>
  <si>
    <t>39.244733, -91.290725</t>
  </si>
  <si>
    <t>33.424222, -87.878928</t>
  </si>
  <si>
    <t>49.269711, -123.067356</t>
  </si>
  <si>
    <t>43.986386, -70.366328</t>
  </si>
  <si>
    <t>59.912017, 10.78328</t>
  </si>
  <si>
    <t>55.003322, -1.589715</t>
  </si>
  <si>
    <t>31.151565, -86.538566</t>
  </si>
  <si>
    <t>34.651078, -85.757315</t>
  </si>
  <si>
    <t>34.056242, -89.428966</t>
  </si>
  <si>
    <t>33.964893, -86.374483</t>
  </si>
  <si>
    <t>32.717476, -84.009842</t>
  </si>
  <si>
    <t>35.443137, -82.504072</t>
  </si>
  <si>
    <t>34.074608, -84.292479</t>
  </si>
  <si>
    <t>33.883942, -89.293553</t>
  </si>
  <si>
    <t>33.608107, -86.798782</t>
  </si>
  <si>
    <t>33.982718, -87.00911</t>
  </si>
  <si>
    <t>34.785393, -84.764479</t>
  </si>
  <si>
    <t>40.313199, -75.784457</t>
  </si>
  <si>
    <t>46.558198, -122.276066</t>
  </si>
  <si>
    <t>45.997189, -121.528643</t>
  </si>
  <si>
    <t>31.159753, -86.606506</t>
  </si>
  <si>
    <t>34.103158, -87.57252</t>
  </si>
  <si>
    <t>34.518121, -85.999992</t>
  </si>
  <si>
    <t>33.402422, -85.21999</t>
  </si>
  <si>
    <t>32.049816, -94.684134</t>
  </si>
  <si>
    <t>34.187672, -87.426693</t>
  </si>
  <si>
    <t>32.404956, -89.193133</t>
  </si>
  <si>
    <t>51.751812, -1.292364</t>
  </si>
  <si>
    <t>33.773689, -87.889262</t>
  </si>
  <si>
    <t>34.145102, -87.066397</t>
  </si>
  <si>
    <t>34.059032, -84.228314</t>
  </si>
  <si>
    <t>34.651078, -85.757215</t>
  </si>
  <si>
    <t>50.881145, 0.006883</t>
  </si>
  <si>
    <t>34.172393, -86.84176</t>
  </si>
  <si>
    <t>30.934455, -85.740147</t>
  </si>
  <si>
    <t>35.039165, -83.963493</t>
  </si>
  <si>
    <t>33.737745, -84.255724</t>
  </si>
  <si>
    <t>45.483582, -73.575105</t>
  </si>
  <si>
    <t>33.836285, -87.278757</t>
  </si>
  <si>
    <t>51.736828, -2.885587</t>
  </si>
  <si>
    <t>44.105164, -72.123848</t>
  </si>
  <si>
    <t>33.984971, -86.92612</t>
  </si>
  <si>
    <t>32.382275, -86.304985</t>
  </si>
  <si>
    <t>34.330793, -86.674237</t>
  </si>
  <si>
    <t>35.611126, -82.442279</t>
  </si>
  <si>
    <t>33.635725, -85.186965</t>
  </si>
  <si>
    <t>34.703406, -85.674062</t>
  </si>
  <si>
    <t>27.726032, -82.061286</t>
  </si>
  <si>
    <t>32.801897, -117.25296</t>
  </si>
  <si>
    <t>33.556961, -84.966129</t>
  </si>
  <si>
    <t>33.773689, -87.889162</t>
  </si>
  <si>
    <t>31.139752, -86.461026</t>
  </si>
  <si>
    <t>35.82506, -82.106843</t>
  </si>
  <si>
    <t>37.145786, -82.958347</t>
  </si>
  <si>
    <t>32.16608, -94.811744</t>
  </si>
  <si>
    <t>51.066628, -1.321225</t>
  </si>
  <si>
    <t>31.331002, -87.179422</t>
  </si>
  <si>
    <t>52.519039, 13.448866</t>
  </si>
  <si>
    <t>33.706477, -85.508749</t>
  </si>
  <si>
    <t>33.944156, -87.794049</t>
  </si>
  <si>
    <t>31.421357, -83.879825</t>
  </si>
  <si>
    <t>43.670407, -79.398554</t>
  </si>
  <si>
    <t>34.21815, -85.857369</t>
  </si>
  <si>
    <t>37.419302, -122.112237</t>
  </si>
  <si>
    <t>32.459893, -89.425476</t>
  </si>
  <si>
    <t>34.653053, -84.292412</t>
  </si>
  <si>
    <t>33.807052, -86.927444</t>
  </si>
  <si>
    <t>32.717476, -84.009742</t>
  </si>
  <si>
    <t>32.329978, -93.257968</t>
  </si>
  <si>
    <t>35.311483, -82.587522</t>
  </si>
  <si>
    <t>40.462166, -75.930731</t>
  </si>
  <si>
    <t>33.660663, -85.278184</t>
  </si>
  <si>
    <t>41.884236, -88.301858</t>
  </si>
  <si>
    <t>33.775655, -85.564107</t>
  </si>
  <si>
    <t>30.7179, -87.377529</t>
  </si>
  <si>
    <t>45.499013, -123.958726</t>
  </si>
  <si>
    <t>32.923078, -87.507895</t>
  </si>
  <si>
    <t>35.513746, -82.815229</t>
  </si>
  <si>
    <t>59.856108, 17.637852</t>
  </si>
  <si>
    <t>31.458096, -85.624964</t>
  </si>
  <si>
    <t>40.093489, -88.989369</t>
  </si>
  <si>
    <t>33.052399, -86.020927</t>
  </si>
  <si>
    <t>33.953636, -87.463662</t>
  </si>
  <si>
    <t>33.737745, -84.255624</t>
  </si>
  <si>
    <t>54.324627, 18.10177</t>
  </si>
  <si>
    <t>30.934455, -85.740047</t>
  </si>
  <si>
    <t>35.700336, -83.67896</t>
  </si>
  <si>
    <t>34.187672, -87.426593</t>
  </si>
  <si>
    <t>33.601835, -85.273379</t>
  </si>
  <si>
    <t>34.598696, -85.944598</t>
  </si>
  <si>
    <t>35.309011, -83.186361</t>
  </si>
  <si>
    <t>33.964893, -86.374383</t>
  </si>
  <si>
    <t>39.086913, -92.374146</t>
  </si>
  <si>
    <t>34.271786, -89.588411</t>
  </si>
  <si>
    <t>36.115423, -86.694245</t>
  </si>
  <si>
    <t>33.807052, -86.927344</t>
  </si>
  <si>
    <t>34.363367, -86.550588</t>
  </si>
  <si>
    <t>30.934455, -85.739947</t>
  </si>
  <si>
    <t>42.329504, -71.168324</t>
  </si>
  <si>
    <t>51.570106, -0.149019</t>
  </si>
  <si>
    <t>30.836611, -97.621508</t>
  </si>
  <si>
    <t>33.737983, -87.010181</t>
  </si>
  <si>
    <t>33.516915, -85.087072</t>
  </si>
  <si>
    <t>41.792761, -87.596261</t>
  </si>
  <si>
    <t>32.862662, -96.836251</t>
  </si>
  <si>
    <t>31.458096, -85.624864</t>
  </si>
  <si>
    <t>40.5913, -86.57142</t>
  </si>
  <si>
    <t>35.614167, -82.326944</t>
  </si>
  <si>
    <t>36.111578, -86.853607</t>
  </si>
  <si>
    <t>52.930686, -1.272881</t>
  </si>
  <si>
    <t>33.585384, -85.815858</t>
  </si>
  <si>
    <t>38.999054, -95.232838</t>
  </si>
  <si>
    <t>34.103158, -87.57242</t>
  </si>
  <si>
    <t>51.614025, -0.596426</t>
  </si>
  <si>
    <t>30.934455, -85.739847</t>
  </si>
  <si>
    <t>37.840228, -84.725916</t>
  </si>
  <si>
    <t>33.819708, -85.762122</t>
  </si>
  <si>
    <t>Karen Stingle, &lt;a href="http://www.eugenesacredharp.org/"&gt;</t>
  </si>
  <si>
    <t>Ireland Convention</t>
  </si>
  <si>
    <t>RI</t>
  </si>
  <si>
    <t>Rhode Island</t>
  </si>
  <si>
    <t>Rhode Island All-Day Singing</t>
  </si>
  <si>
    <t>Swarens Memorial Higher Ground All-Day Singing</t>
  </si>
  <si>
    <t>Atlanta</t>
  </si>
  <si>
    <t>51.894721, -8.480363</t>
  </si>
  <si>
    <t>https://www.google.com/maps/place/Hope+Born+in+Christ+Church/@40.0229654,-76.400997,12.14z/data=!4m6!3m5!1s0x89c626bc5c6fffff:0x557bdef6b18647bc!8m2!3d40.054127!4d-76.3786953!16s%2Fg%2F1tdp5_bm||Hope Born in Christ Church, 2600 Marietta Ave, Lancaster, PA 17601</t>
  </si>
  <si>
    <t>&lt;iframe src="https://www.google.com/maps/embed?pb=!1m18!1m12!1m3!1d88797.58660457125!2d-76.40099702459457!3d40.02296535343102!2m3!1f0!2f0!3f0!3m2!1i1024!2i768!4f13.1!3m3!1m2!1s0x89c626bc5c6fffff%3A0x557bdef6b18647bc!2sHope%20Born%20in%20Christ%20Church!5e0!3m2!1sen!2sus!4v1678328909227!5m2!1sen!2sus" width="600" height="450" style="border:0;" allowfullscreen="" loading="lazy" referrerpolicy="no-referrer-when-downgrade"&gt;&lt;/iframe&gt;</t>
  </si>
  <si>
    <t>40.054211, -76.378688</t>
  </si>
  <si>
    <t>Jul, 4th Sun and Thur-Sat before</t>
  </si>
  <si>
    <t>Camp DoReMi Europe</t>
  </si>
  <si>
    <t>&lt;iframe src="https://www.google.com/maps/embed?pb=!1m18!1m12!1m3!1d492419.39311703923!2d0.7129477116990014!3d51.7405478130344!2m3!1f0!2f0!3f0!3m2!1i1024!2i768!4f13.1!3m3!1m2!1s0x47d91977cffc6ae9%3A0xe8f00107085088cf!2sThe%20Othona%20Community!5e0!3m2!1sen!2sus!4v1678408821163!5m2!1sen!2sus" width="600" height="450" style="border:0;" allowfullscreen="" loading="lazy" referrerpolicy="no-referrer-when-downgrade"&gt;&lt;/iframe&gt;</t>
  </si>
  <si>
    <t>Bradwell-on-Sea</t>
  </si>
  <si>
    <t>Added per &lt;a href="https://sacredharp.uk/"&gt;sacredharp.uk/&lt;/a&gt;</t>
  </si>
  <si>
    <t>51.737960, 0.939625</t>
  </si>
  <si>
    <t>42.473184, -72.566083</t>
  </si>
  <si>
    <t>&lt;iframe src="https://www.google.com/maps/embed?pb=!1m18!1m12!1m3!1d201427.19567808663!2d-72.68113613254096!3d42.487419222400135!2m3!1f0!2f0!3f0!3m2!1i1024!2i768!4f13.1!3m3!1m2!1s0x89e12d48f695ab87%3A0x9dd3f4246503a24c!2sSunderland%20Town%20Park!5e0!3m2!1sen!2sus!4v1678751480496!5m2!1sen!2sus" width="600" height="450" style="border:0;" allowfullscreen="" loading="lazy" referrerpolicy="no-referrer-when-downgrade"&gt;&lt;/iframe&gt;</t>
  </si>
  <si>
    <t>Location change and website updated based on user submission</t>
  </si>
  <si>
    <t>Pioneer Valley All-Day Singing</t>
  </si>
  <si>
    <t>https://www.google.com/maps/place/Sunderland+Town+Park/@42.4988907,-72.6233023,9.32z/data=!4m6!3m5!1s0x89e12d48f695ab87:0x9dd3f4246503a24c!8m2!3d42.4732492!4d-72.5667898!16s%2Fg%2F11fsprgfml||Sunderland Town Park and Pavilion, Park Road, Sunderland, MA 01375</t>
  </si>
  <si>
    <t>&lt;a href="https://www.facebook.com/groups/288062357886428/posts/9803786492980586/"&gt;Facebook post with info&lt;/a&gt;</t>
  </si>
  <si>
    <t>Jul, 1st Sun</t>
  </si>
  <si>
    <t>Delhi All-Day Singing</t>
  </si>
  <si>
    <t>India</t>
  </si>
  <si>
    <t>New Delhi</t>
  </si>
  <si>
    <t>Ind</t>
  </si>
  <si>
    <t>Delhi</t>
  </si>
  <si>
    <t>Paul Zaba, &lt;a href="https://www.instagram.com/delhisacredharp/"&gt;instagram.com/delhisacredharp/&lt;/a&gt;, &lt;a href="https://www.facebook.com/groups/288062357886428/?multi_permalinks=9806472532711982"&gt;Facebook post&lt;/a&gt;</t>
  </si>
  <si>
    <t>https://www.google.com/maps/place/St.+Giles+Presbyterian+Church/@37.5642021,-77.5873717,12z/data=!4m6!3m5!1s0x89b1147eccaa808f:0x1a8c4337a7785895!8m2!3d37.571979!4d-77.5111809!16s%2Fg%2F1tvdkp2y||St. Giles Presbyterian Church, 5200 Grove Ave, Richmond VA 23226</t>
  </si>
  <si>
    <t>&lt;iframe src="https://www.google.com/maps/embed?pb=!1m18!1m12!1m3!1d101203.5868728144!2d-77.58737173140906!3d37.56420208087085!2m3!1f0!2f0!3f0!3m2!1i1024!2i768!4f13.1!3m3!1m2!1s0x89b1147eccaa808f%3A0x1a8c4337a7785895!2sSt.%20Giles%20Presbyterian%20Church!5e0!3m2!1sen!2sus!4v1678916273118!5m2!1sen!2sus" width="600" height="450" style="border:0;" allowfullscreen="" loading="lazy" referrerpolicy="no-referrer-when-downgrade"&gt;&lt;/iframe&gt;</t>
  </si>
  <si>
    <t>37.572015, -77.511143</t>
  </si>
  <si>
    <t>Quilcene</t>
  </si>
  <si>
    <t>Quilcene All Day Singing</t>
  </si>
  <si>
    <t>https://www.google.com/maps/place/11+Old+Church+Rd,+Quilcene,+WA+98376/@47.7508136,-122.9950419,9.57z/data=!4m6!3m5!1s0x548fd85bdeb08bcd:0x70d8b8ce293e2a21!8m2!3d47.8218877!4d-122.8766541!16s%2Fg%2F11c2199ftc||Old Quilcene Theater, 11 Old Church Rd, Quilcene, WA 98376</t>
  </si>
  <si>
    <t>&lt;iframe src="https://www.google.com/maps/embed?pb=!1m18!1m12!1m3!1d462777.9678910194!2d-122.9950419463138!3d47.75081364784282!2m3!1f0!2f0!3f0!3m2!1i1024!2i768!4f13.1!3m3!1m2!1s0x548fd85bdeb08bcd%3A0x70d8b8ce293e2a21!2s11%20Old%20Church%20Rd%2C%20Quilcene%2C%20WA%2098376!5e0!3m2!1sen!2sus!4v1678918244924!5m2!1sen!2sus" width="600" height="450" style="border:0;" allowfullscreen="" loading="lazy" referrerpolicy="no-referrer-when-downgrade"&gt;&lt;/iframe&gt;</t>
  </si>
  <si>
    <t>34.750714, -85.628180</t>
  </si>
  <si>
    <t xml:space="preserve">This singing is held on the second fifth Sunday and the Saturday before, unless that would put it into June. To avoid June in Chicago, if the second fifth Sunday is then, the Midwest is the last Sunday in May and the Saturday before. Effectively, this means that the singing is usually Memorial Day weekend but sometimes it winds up being the last weekend in April. We sing from the 1991 Denson Sacred Harp and the Shenandoah Harmony. In the past 10 years it has been held at one or more of The Irish American Heritage Center, Pulaski Park Fieldhouse, Kilbourn Park Fieldhouse, and Logan Avondale VFW. </t>
  </si>
  <si>
    <t>Christian Harmony 2010</t>
  </si>
  <si>
    <t>Cooper Book, Christian Harmony 2010</t>
  </si>
  <si>
    <t>Sacred Harp, J.L. White Book, Cooper Book, Christian Harmony 2010</t>
  </si>
  <si>
    <t>Christian Harmony 2010, New Harp of Columbia</t>
  </si>
  <si>
    <t>Christian Harmony 1873/2015, Christian Harmony 2010</t>
  </si>
  <si>
    <t>Location changed to Holly Springs PBC for 2023 per &lt;a href="https://www.facebook.com/groups/288062357886428/posts/9844583108900924/"&gt;Facebook post&lt;/a&gt;</t>
  </si>
  <si>
    <t>Munich</t>
  </si>
  <si>
    <t>Munich Sacred Harp All-Day Singing</t>
  </si>
  <si>
    <t>Last Saturday of Octoberfest, which is usually Saturday before the first Sunday of October</t>
  </si>
  <si>
    <t>10:30 am – 4:00 pm</t>
  </si>
  <si>
    <t>New Year's Old Harp Singing</t>
  </si>
  <si>
    <t>https://www.google.com/maps/place/Claxton+Community+Park/@36.1106653,-84.0825719,11.24z/data=!4m6!3m5!1s0x885c3129a6514217:0x41fd135c40713eec!8m2!3d36.0263899!4d-84.1492908!16s%2Fg%2F1tqtylr0||Claxton Community Center, 1071 Edgemoor Rd, Clinton, TN 37716</t>
  </si>
  <si>
    <t>&lt;iframe src="https://www.google.com/maps/embed?pb=!1m18!1m12!1m3!1d175147.31203004188!2d-84.08257194897705!3d36.110665325143884!2m3!1f0!2f0!3f0!3m2!1i1024!2i768!4f13.1!3m3!1m2!1s0x885c3129a6514217%3A0x41fd135c40713eec!2sClaxton%20Community%20Park!5e0!3m2!1sen!2sus!4v1679968031585!5m2!1sen!2sus" width="600" height="450" style="border:0;" allowfullscreen="" loading="lazy" referrerpolicy="no-referrer-when-downgrade"&gt;&lt;/iframe&gt;</t>
  </si>
  <si>
    <t>&lt;a href="https://www.oldharp.org/"&gt;oldharp.org&lt;/a&gt;, &lt;a href="https://www.facebook.com/groups/oldharp"&gt;Old Harp Singing in East TN on Facebook&lt;/a&gt;</t>
  </si>
  <si>
    <t>Potluck at noon. This community center is a well-lit old church building with an ideal wood floor for a great sound.</t>
  </si>
  <si>
    <t>36.026855, -84.148610</t>
  </si>
  <si>
    <t xml:space="preserve">&lt;a href="https://www.oldharp.org/"&gt;oldharp.org&lt;/a&gt;, &lt;a href="https://www.facebook.com/groups/oldharp"&gt;Old Harp Singing in East TN on Facebook&lt;/a&gt;, Look for event on &lt;a href="https://www.facebook.com/LaurelTheater/upcoming_hosted_events"&gt;Laurel Theater Facebook&lt;/a&gt; </t>
  </si>
  <si>
    <t>&lt;iframe src="https://www.google.com/maps/embed?pb=!1m18!1m12!1m3!1d167149.50356640658!2d-84.04183005436515!3d36.00076233413778!2m3!1f0!2f0!3f0!3m2!1i1024!2i768!4f13.1!3m3!1m2!1s0x885c17df9236bc9d%3A0xd7d8b04383415e0c!2sLaurel%20Theater!5e0!3m2!1sen!2sus!4v1679977351496!5m2!1sen!2sus" width="600" height="450" style="border:0;" allowfullscreen="" loading="lazy" referrerpolicy="no-referrer-when-downgrade"&gt;&lt;/iframe&gt;</t>
  </si>
  <si>
    <t>https://www.google.com/maps/place/Laurel+Theater/@36.0007623,-84.0418301,11.31z/data=!4m6!3m5!1s0x885c17df9236bc9d:0xd7d8b04383415e0c!8m2!3d35.9594745!4d-83.9312855!16s%2Fg%2F1tf7btqn||Laurel Theater, 1538 Laurel Ave, Knoxville, TN 37916</t>
  </si>
  <si>
    <t>35.959486, -83.931296</t>
  </si>
  <si>
    <t>Jubilee Festival</t>
  </si>
  <si>
    <t>12pm-4pm</t>
  </si>
  <si>
    <t>Knoxville</t>
  </si>
  <si>
    <t>Boogertown Singing</t>
  </si>
  <si>
    <t>2pm</t>
  </si>
  <si>
    <t>https://www.google.com/maps/place/Oldhams+Creek+Baptist+Church/@35.7733466,-83.5334586,12.49z/data=!4m6!3m5!1s0x885bfdb6870b4ad1:0x211a0aa3a5f75022!8m2!3d35.7765319!4d-83.4829697!16s%2Fg%2F1tdjrw6m||Oldham's Creek Missionary Baptist Church, 3629 Boogertown Rd, Sevierville, TN 37876</t>
  </si>
  <si>
    <t>&lt;iframe src="https://www.google.com/maps/embed?pb=!1m18!1m12!1m3!1d119684.51798527353!2d-83.56632040316079!3d35.76974125008079!2m3!1f0!2f0!3f0!3m2!1i1024!2i768!4f13.1!3m3!1m2!1s0x885bfdb6870b4ad1%3A0x211a0aa3a5f75022!2sOldhams%20Creek%20Baptist%20Church!5e0!3m2!1sen!2sus!4v1679977750337!5m2!1sen!2sus" width="600" height="450" style="border:0;" allowfullscreen="" loading="lazy" referrerpolicy="no-referrer-when-downgrade"&gt;&lt;/iframe&gt;</t>
  </si>
  <si>
    <t>35.77651, -83.482964</t>
  </si>
  <si>
    <t>Townsend</t>
  </si>
  <si>
    <t>Tuckaleechee United Methodist Church Singing</t>
  </si>
  <si>
    <t>35.671958, -83.776720</t>
  </si>
  <si>
    <t>https://www.google.com/maps/place/Tuckaleechee+United+Methodist+Church/@35.657248,-83.8634358,11.38z/data=!4m6!3m5!1s0x885ea6094a69f513:0x509022bc504fab7f!8m2!3d35.671768!4d-83.7764849!16s%2Fg%2F1tgz19rj||Tuckaleechee UMC, 7322 Old Tuckaleechee Rd, Townsend, TN 37882</t>
  </si>
  <si>
    <t>&lt;iframe src="https://www.google.com/maps/embed?pb=!1m18!1m12!1m3!1d159985.3317454094!2d-83.8634357869765!3d35.657248044365204!2m3!1f0!2f0!3f0!3m2!1i1024!2i768!4f13.1!3m3!1m2!1s0x885ea6094a69f513%3A0x509022bc504fab7f!2sTuckaleechee%20United%20Methodist%20Church!5e0!3m2!1sen!2sus!4v1679978360037!5m2!1sen!2sus" width="600" height="450" style="border:0;" allowfullscreen="" loading="lazy" referrerpolicy="no-referrer-when-downgrade"&gt;&lt;/iframe&gt;</t>
  </si>
  <si>
    <t>Pigeon Forge</t>
  </si>
  <si>
    <t>Middle Creek United Methodist Church Singing</t>
  </si>
  <si>
    <t>https://www.google.com/maps/place/Middle+Creek+United+Methodist+Church/@35.8234914,-83.5602819,13.39z/data=!4m6!3m5!1s0x885bfece21331419:0x7cad417135fbde10!8m2!3d35.8218671!4d-83.5387682!16s%2Fg%2F1tph2g19||Middle Creek UMC, 1828 Middle Creek Rd, Pigeon Forge, TN 37863</t>
  </si>
  <si>
    <t>&lt;iframe src="https://www.google.com/maps/embed?pb=!1m18!1m12!1m3!1d39530.507936967406!2d-83.56028194893277!3d35.82349144921172!2m3!1f0!2f0!3f0!3m2!1i1024!2i768!4f13.1!3m3!1m2!1s0x885bfece21331419%3A0x7cad417135fbde10!2sMiddle%20Creek%20United%20Methodist%20Church!5e0!3m2!1sen!2sus!4v1679978501073!5m2!1sen!2sus" width="600" height="450" style="border:0;" allowfullscreen="" loading="lazy" referrerpolicy="no-referrer-when-downgrade"&gt;&lt;/iframe&gt;</t>
  </si>
  <si>
    <t>Franklin Singing</t>
  </si>
  <si>
    <t>36.195354, -82.883455</t>
  </si>
  <si>
    <t>https://www.google.com/maps/place/New+Bethel+Cumberland+Presbyterian+Church/@36.1999718,-82.89729,12.25z/data=!4m6!3m5!1s0x885bb2c63c594589:0x90e2e9448ce12c9f!8m2!3d36.1953606!4d-82.8834725!16s%2Fm%2F0ddbkm5||New Bethel Cumberland Presbyterian Church, 90 Cox Rd, Greeneville, TN 37743</t>
  </si>
  <si>
    <t>&lt;iframe src="https://www.google.com/maps/embed?pb=!1m18!1m12!1m3!1d86635.8901489797!2d-82.89728997863072!3d36.199971830555164!2m3!1f0!2f0!3f0!3m2!1i1024!2i768!4f13.1!3m3!1m2!1s0x885bb2c63c594589%3A0x90e2e9448ce12c9f!2sNew%20Bethel%20Cumberland%20Presbyterian%20Church!5e0!3m2!1sen!2sus!4v1679978756110!5m2!1sen!2sus" width="600" height="450" style="border:0;" allowfullscreen="" loading="lazy" referrerpolicy="no-referrer-when-downgrade"&gt;&lt;/iframe&gt;</t>
  </si>
  <si>
    <t>Caney Creek Singing</t>
  </si>
  <si>
    <t>https://www.google.com/maps/place/Beech+Grove+Primitive+Baptist+Church/@35.7514315,-83.5864063,12.63z/data=!4m6!3m5!1s0x885bfe2d29f63a43:0xc1211b3618bef618!8m2!3d35.7507128!4d-83.5493192!16s%2Fg%2F11fx8y4qfv||Beech Grove PBC, 611-625 Caney Creek Rd, Pigeon Forge, TN 37863</t>
  </si>
  <si>
    <t>&lt;iframe src="https://www.google.com/maps/embed?pb=!1m18!1m12!1m3!1d67186.12624247282!2d-83.58640631375854!3d35.75143147783959!2m3!1f0!2f0!3f0!3m2!1i1024!2i768!4f13.1!3m3!1m2!1s0x885bfe2d29f63a43%3A0xc1211b3618bef618!2sBeech%20Grove%20Primitive%20Baptist%20Church!5e0!3m2!1sen!2sus!4v1679978893321!5m2!1sen!2sus" width="600" height="450" style="border:0;" allowfullscreen="" loading="lazy" referrerpolicy="no-referrer-when-downgrade"&gt;&lt;/iframe&gt;</t>
  </si>
  <si>
    <t>35.750741, -83.549329</t>
  </si>
  <si>
    <t>Little Greenbrier Schoolhouse</t>
  </si>
  <si>
    <t>&lt;iframe src="https://www.google.com/maps/embed?pb=!1m18!1m12!1m3!1d94156.62755624238!2d-83.69777227013013!3d35.70791689673592!2m3!1f0!2f0!3f0!3m2!1i1024!2i768!4f13.1!3m3!1m2!1s0x885eaba1ed3d8273%3A0x4263e2159ebf96ae!2sLittle%20Greenbrier%20School!5e0!3m2!1sen!2sus!4v1679979105486!5m2!1sen!2sus" width="600" height="450" style="border:0;" allowfullscreen="" loading="lazy" referrerpolicy="no-referrer-when-downgrade"&gt;&lt;/iframe&gt;</t>
  </si>
  <si>
    <t>Great Smoky Mtns</t>
  </si>
  <si>
    <t>35.683292, -83.639353</t>
  </si>
  <si>
    <t>&lt;a href="http://www.oldharp.org/wears-valley-convention/"&gt;http://www.oldharp.org/wears-valley-convention/&lt;/a&gt;,  &lt;a href="https://www.facebook.com/groups/oldharp"&gt;Old Harp Singing in East TN on Facebook&lt;/a&gt;</t>
  </si>
  <si>
    <t>Cades Cove Primitive Baptist Church</t>
  </si>
  <si>
    <t>35.602010, -83.813674</t>
  </si>
  <si>
    <t>https://www.google.com/maps/place/Cades+Cove+Primitive+Baptist+Church/@35.612106,-83.8353666,11.75z/data=!4m6!3m5!1s0x885ea4dd10216787:0xc4173bb04b3d1839!8m2!3d35.6020276!4d-83.8137055!16s%2Fg%2F1tvgw1s7||Cades Cove PBC, Primitive Baptist Church Rd, Townsend, TN 37882</t>
  </si>
  <si>
    <t>&lt;iframe src="https://www.google.com/maps/embed?pb=!1m18!1m12!1m3!1d123435.24500757921!2d-83.83536662844882!3d35.612106011318126!2m3!1f0!2f0!3f0!3m2!1i1024!2i768!4f13.1!3m3!1m2!1s0x885ea4dd10216787%3A0xc4173bb04b3d1839!2sCades%20Cove%20Primitive%20Baptist%20Church!5e0!3m2!1sen!2sus!4v1679979450766!5m2!1sen!2sus" width="600" height="450" style="border:0;" allowfullscreen="" loading="lazy" referrerpolicy="no-referrer-when-downgrade"&gt;&lt;/iframe&gt;</t>
  </si>
  <si>
    <t>Maryville</t>
  </si>
  <si>
    <t>Maryville College Singing</t>
  </si>
  <si>
    <t>https://www.google.com/maps/place/Maryville+College+Center+for+Campus+Ministry/@35.755503,-84.0811653,11.31z/data=!4m6!3m5!1s0x885e9fcff59e5309:0xc3532c98c7840db3!8m2!3d35.751953!4d-83.9639143!16s%2Fg%2F11c1tg2gs9||Maryville College Center for Campus Ministry, 211 College St, Maryville, TN 37804</t>
  </si>
  <si>
    <t>&lt;iframe src="https://www.google.com/maps/embed?pb=!1m18!1m12!1m3!1d167667.82441710378!2d-84.08116525073349!3d35.755502980412025!2m3!1f0!2f0!3f0!3m2!1i1024!2i768!4f13.1!3m3!1m2!1s0x885e9fcff59e5309%3A0xc3532c98c7840db3!2sMaryville%20College%20Center%20for%20Campus%20Ministry!5e0!3m2!1sen!2sus!4v1679979565306!5m2!1sen!2sus" width="600" height="450" style="border:0;" allowfullscreen="" loading="lazy" referrerpolicy="no-referrer-when-downgrade"&gt;&lt;/iframe&gt;</t>
  </si>
  <si>
    <t>35.751950, -83.963884</t>
  </si>
  <si>
    <t>Nov, Wed before Thanksgiving</t>
  </si>
  <si>
    <t>Larry Olszewski Memorial</t>
  </si>
  <si>
    <t>6:30pm</t>
  </si>
  <si>
    <t>35.959573, -83.931336</t>
  </si>
  <si>
    <t>https://www.google.com/maps/place/Little+Greenbrier+School/@35.7079169,-83.6977723,12.14z/data=!4m6!3m5!1s0x885eaba1ed3d8273:0x4263e2159ebf96ae!8m2!3d35.683303!4d-83.6393757!16s%2Fm%2F07s45tn||Little Greenbrier School, Metcalf Bottoms Trail, Gatlinburg, TN 37738</t>
  </si>
  <si>
    <t>35.821859, -83.538719</t>
  </si>
  <si>
    <t>NE</t>
  </si>
  <si>
    <t>Nebraska</t>
  </si>
  <si>
    <t>Nebraska All-Day Singing</t>
  </si>
  <si>
    <t>Tallahassee</t>
  </si>
  <si>
    <t>Tallahassee Sacred Harp Convention</t>
  </si>
  <si>
    <t>https://www.google.com/maps/place/Fort+Braden+Community+Center/@30.4291723,-84.4793046,11.72z/data=!4m15!1m8!3m7!1s0x88eceb45657bf0b7:0x47da07be21d5ff00!2s16387+Blountstown+Hwy,+Tallahassee,+FL+32310!3b1!8m2!3d30.4259697!4d-84.5346285!16s%2Fg%2F11cs7y8m1t!3m5!1s0x88eceb4565f8ead7:0x8606a88400861663!8m2!3d30.4261531!4d-84.5346527!16s%2Fg%2F11bc5yqzdy||Fort Braden Community Center, 16387 Blountstown Hwy, Tallahassee, FL 32310</t>
  </si>
  <si>
    <t>&lt;iframe src="https://www.google.com/maps/embed?pb=!1m18!1m12!1m3!1d133462.32587990488!2d-84.47930458635712!3d30.429172287165592!2m3!1f0!2f0!3f0!3m2!1i1024!2i768!4f13.1!3m3!1m2!1s0x88eceb4565f8ead7%3A0x8606a88400861663!2sFort%20Braden%20Community%20Center!5e0!3m2!1sen!2sus!4v1680452432170!5m2!1sen!2sus" width="600" height="450" style="border:0;" allowfullscreen="" loading="lazy" referrerpolicy="no-referrer-when-downgrade"&gt;&lt;/iframe&gt;</t>
  </si>
  <si>
    <t>30.426019, -84.534591</t>
  </si>
  <si>
    <t>Cooper Book, Shenandoah Harmony</t>
  </si>
  <si>
    <t>Added based on &lt;a href="https://www.facebook.com/groups/oldharp/posts/5786541594806536/"&gt;Facebook post&lt;/a&gt;</t>
  </si>
  <si>
    <t>38.88400, -77.126173</t>
  </si>
  <si>
    <t>Charleston</t>
  </si>
  <si>
    <t>Lowcountry Sacred Harp Society All-Day Singing</t>
  </si>
  <si>
    <t>May, Sat before 4th Sun</t>
  </si>
  <si>
    <t>32.779005, -79.929390</t>
  </si>
  <si>
    <t>Plenty of parking available in the city garage at 90 Cumberland Street</t>
  </si>
  <si>
    <t>35.311533, -82.587645</t>
  </si>
  <si>
    <t>Added based on &lt;a href="http://www.christianharmony.org/schedule.html"&gt;christianharmony.org/schedule.html&lt;/a&gt;</t>
  </si>
  <si>
    <t>Etowah Spring Singing</t>
  </si>
  <si>
    <t>Plott-Toberfest Singing</t>
  </si>
  <si>
    <t>Singing added per &lt;a href="http://christianharmony.org/schedule.html"&gt;christianharmony.org/schedule.html&lt;/a&gt;</t>
  </si>
  <si>
    <t>35.513742, -82.815227</t>
  </si>
  <si>
    <t>33.076604, -84.091613</t>
  </si>
  <si>
    <t>https://www.google.com/maps/place/Union+Church/@33.0450251,-84.119906,11z/data=!4m15!1m8!3m7!1s0x88f4707d3c31873d:0xd6fab081bafb65c!2sGoggins,+GA+30204!3b1!8m2!3d33.0759598!4d-84.0918588!16s%2Fm%2F048xmb2!3m5!1s0x88f4707d20fdd50f:0xbc452b3eaede7115!8m2!3d33.0767932!4d-84.0918588!16s%2Fg%2F1td14311||Union Church, Johnstonville Rd &amp; Farm Rd, Barnesville GA 30204</t>
  </si>
  <si>
    <t>Calendar Shortcode</t>
  </si>
  <si>
    <t>From west to east: Take U.S. Hwy. 78 to the Georgia State Line; immediately turn around and come back to first road to the right (Co. Rd. 69). Go to the second road on the right (dirt—NOT paved—County Road 207) and turn right. Go approximately 500 yards and church will be on left.—From the east: Go to Georgia State Line and follow the same directions</t>
  </si>
  <si>
    <t>&lt;iframe src="https://www.google.com/maps/embed?pb=!1m18!1m12!1m3!1d65578.80028356337!2d-85.38865424385881!3d33.777106926427074!2m3!1f0!2f0!3f0!3m2!1i1024!2i768!4f13.1!3m3!1m2!1s0x888ae3d2dd5d28ab%3A0x4119a8a4f8f1f71c!2sState%20Line%20Church!5e0!3m2!1sen!2sus!4v1671671786729!5m2!1sen!2sus" width="600" height="450" style="border:0;" allowfullscreen="" loading="lazy" referrerpolicy="no-referrer-when-downgrade"&gt;&lt;/iframe&gt;</t>
  </si>
  <si>
    <t>https://www.google.com/maps/place/State+Line+Church/@33.758152,-85.3844289,13.04z/data=!4m12!1m6!3m5!1s0x888b9ab0c98758d9:0xffb95c847350b888!2sCounty+Line+Baptist+Church!8m2!3d33.1960907!4d-85.7516909!3m4!1s0x888ae3d2dd5d28ab:0x4119a8a4f8f1f71c!8m2!3d33.7556603!4d-85.3632872||State Line Church, County Road 207, Muscadine Alabama - 33.75589158693513, -85.36160104618016</t>
  </si>
  <si>
    <t>33.755543, -85.363115</t>
  </si>
  <si>
    <t>Start Time</t>
  </si>
  <si>
    <t>End Time</t>
  </si>
  <si>
    <t>Time Zone</t>
  </si>
  <si>
    <t>America/New_York</t>
  </si>
  <si>
    <t>America/Chicago</t>
  </si>
  <si>
    <t>America/Los_Angeles</t>
  </si>
  <si>
    <t>Europe/London</t>
  </si>
  <si>
    <t>America/Phoenix</t>
  </si>
  <si>
    <t>America/Denver</t>
  </si>
  <si>
    <t>America/Juneau</t>
  </si>
  <si>
    <t>America/Vancouver</t>
  </si>
  <si>
    <t>Europe/Berlin</t>
  </si>
  <si>
    <t>Europe/Oslo</t>
  </si>
  <si>
    <t>America/Toronto</t>
  </si>
  <si>
    <t>America/Montreal</t>
  </si>
  <si>
    <t>Europe/Warsaw</t>
  </si>
  <si>
    <t>Europe/Paris</t>
  </si>
  <si>
    <t>Changed to Saturday only singing per user submission</t>
  </si>
  <si>
    <t>Will not be held in 2023 per user submission</t>
  </si>
  <si>
    <t>10:30am-4:00pm</t>
  </si>
  <si>
    <t>&lt;a href="https://www.facebook.com/events/189769117200964/"&gt;Facebook event&lt;/a&gt; added with additional details</t>
  </si>
  <si>
    <t>Jun, Thur &amp; Fri before 3rd Sun</t>
  </si>
  <si>
    <t>Only Thur/Fri in 2023 per &lt;a href="https://www.facebook.com/groups/288062357886428/posts/9989527557739811/"&gt;Facebook post&lt;/a&gt;</t>
  </si>
  <si>
    <t>Corrected day on listing per user submission</t>
  </si>
  <si>
    <t>State of Alabama Convention (Semi-Annual Session)</t>
  </si>
  <si>
    <t>State of Alabama Convention (Annual Session)</t>
  </si>
  <si>
    <t>Updated listing per &lt;a href="http://www.sacredharpbook.com/calendar-of-singings/"&gt;sacredharpbook.com/calendar-of-singings/&lt;/a&gt;</t>
  </si>
  <si>
    <t>Time, books, and contact info updated based on &lt;a href="https://www.facebook.com/events/964305417901090/"&gt;Facebook event&lt;/a&gt;</t>
  </si>
  <si>
    <t>Victoria</t>
  </si>
  <si>
    <t>Vic</t>
  </si>
  <si>
    <t>Melbourne</t>
  </si>
  <si>
    <t>https://www.google.com/maps/place/Brunswick+Uniting+Church/@-37.7642823,144.7927914,11.44z/data=!4m6!3m5!1s0x6ad6434ad34f3c91:0xaed21bf4beef019a!8m2!3d-37.7726139!4d144.9614722!16s%2Fg%2F1tcxvcqk||Brunswick Uniting Church, 214 Sydney Rd, Brunswick VIC 3056, Australia</t>
  </si>
  <si>
    <t>&lt;iframe src="https://www.google.com/maps/embed?pb=!1m18!1m12!1m3!1d448524.93858978857!2d144.66353238143344!3d-37.813504523587135!2m3!1f0!2f0!3f0!3m2!1i1024!2i768!4f13.1!3m3!1m2!1s0x6ad6434ad34f3c91%3A0xaed21bf4beef019a!2sBrunswick%20Uniting%20Church!5e0!3m2!1sen!2sus!4v1682556349136!5m2!1sen!2sus" width="600" height="450" style="border:0;" allowfullscreen="" loading="lazy" referrerpolicy="no-referrer-when-downgrade"&gt;&lt;/iframe&gt;</t>
  </si>
  <si>
    <t>-37.772581, 144.961479</t>
  </si>
  <si>
    <t>Victorian All-Day Singing</t>
  </si>
  <si>
    <t>Kyneton</t>
  </si>
  <si>
    <t>Kyneton All-Day Singing</t>
  </si>
  <si>
    <t>9:30am-4:00pm</t>
  </si>
  <si>
    <t>Australia/Melbourne</t>
  </si>
  <si>
    <t>https://www.google.com/maps/place/Camp+Lee/@33.6660326,-85.8021539,12.14z/data=!4m6!3m5!1s0x888bade956324fcf:0x2db0db9d0d402da2!8m2!3d33.6526743!4d-85.7549168!16s%2Fg%2F1thl_6gm||Camp Lee, 70 Hidden Valley Rd, Anniston, AL 36207</t>
  </si>
  <si>
    <t>&lt;iframe src="https://www.google.com/maps/embed?pb=!1m18!1m12!1m3!1d96508.21849342584!2d-85.80215388232219!3d33.66603261006357!2m3!1f0!2f0!3f0!3m2!1i1024!2i768!4f13.1!3m3!1m2!1s0x888bade956324fcf%3A0x2db0db9d0d402da2!2sCamp%20Lee!5e0!3m2!1sen!2sus!4v1682693469003!5m2!1sen!2sus" width="600" height="450" style="border:0;" allowfullscreen="" loading="lazy" referrerpolicy="no-referrer-when-downgrade"&gt;&lt;/iframe&gt;</t>
  </si>
  <si>
    <t>Anniston</t>
  </si>
  <si>
    <t>33.652324, -85.755864</t>
  </si>
  <si>
    <t>Ashland</t>
  </si>
  <si>
    <t>Eugene Forbes Memorial Singing</t>
  </si>
  <si>
    <t>https://www.google.com/maps/place/Mt.+Zion+Primitive+Baptist+Church/@33.2536345,-85.8535153,12.57z/data=!4m6!3m5!1s0x888b930066665a99:0xa469e89b3889d9f!8m2!3d33.2382386!4d-85.8883996!16s%2Fg%2F11tj2vstnx||Mt. Zion Primitive Baptist Church, Faith Dr &amp; County Road 5, Ashland AL 36251</t>
  </si>
  <si>
    <t>&lt;iframe src="https://www.google.com/maps/embed?pb=!1m18!1m12!1m3!1d86406.46129000426!2d-85.9042755373681!3d33.23597841760303!2m3!1f0!2f0!3f0!3m2!1i1024!2i768!4f13.1!3m3!1m2!1s0x888b930066665a99%3A0xa469e89b3889d9f!2sMt.%20Zion%20Primitive%20Baptist%20Church!5e0!3m2!1sen!2sus!4v1682994553152!5m2!1sen!2sus" width="600" height="450" style="border:0;" allowfullscreen="" loading="lazy" referrerpolicy="no-referrer-when-downgrade"&gt;&lt;/iframe&gt;</t>
  </si>
  <si>
    <t>Singing added based on &lt;a href="https://www.facebook.com/groups/288062357886428/posts/10060696790622887/"&gt;Facebook post&lt;/a&gt;</t>
  </si>
  <si>
    <t>33.238260, -85.888409</t>
  </si>
  <si>
    <t>Canceled for 2023 based on &lt;a href="https://groups.google.com/g/fasola-singings/c/W0-1B1N6q7s"&gt;listserv post&lt;/a&gt;</t>
  </si>
  <si>
    <t>Albany Regional All-Day Singing</t>
  </si>
  <si>
    <t>https://www.google.com/maps/place/Burton+Hall+(Easton+Town+Hall)/@42.9741581,-73.4548431,9.92z/data=!4m6!3m5!1s0x89de2686588fe9dd:0xe1340aa2a87b6d2e!8m2!3d43.0110073!4d-73.5504544!16s%2Fg%2F11cm0klwsg||Burton Hall (Easton Town Hall), 1071 NY-40, Greenwich, NY 12834</t>
  </si>
  <si>
    <t>&lt;iframe src="https://www.google.com/maps/embed?pb=!1m18!1m12!1m3!1d395875.73794398154!2d-73.45484312610701!3d42.97415806725019!2m3!1f0!2f0!3f0!3m2!1i1024!2i768!4f13.1!3m3!1m2!1s0x89de2686588fe9dd%3A0xe1340aa2a87b6d2e!2sBurton%20Hall%20(Easton%20Town%20Hall)!5e0!3m2!1sen!2sus!4v1683942216305!5m2!1sen!2sus" width="600" height="450" style="border:0;" allowfullscreen="" loading="lazy" referrerpolicy="no-referrer-when-downgrade"&gt;&lt;/iframe&gt;</t>
  </si>
  <si>
    <t>43.010944, -73.550481</t>
  </si>
  <si>
    <t>Providence Singing</t>
  </si>
  <si>
    <t>Netherlands</t>
  </si>
  <si>
    <t>Amsterdam</t>
  </si>
  <si>
    <t>Amsterdam Singing</t>
  </si>
  <si>
    <t>https://www.google.com/maps/place/Westerwijk+Amsterdam/@52.3800388,4.8859409,12.22z/data=!4m6!3m5!1s0x47c5e27183503d11:0x57aed244a6324408!8m2!3d52.3741312!4d4.8589636!16s%2Fg%2F11cn9s9dqz?hl=en||Westerwijk Amsterdam, Admiraal de Ruijterweg 150, 1056 GV Amsterdam, Netherlands</t>
  </si>
  <si>
    <t>&lt;iframe src="https://www.google.com/maps/embed?pb=!1m18!1m12!1m3!1d66809.32532980328!2d4.885940945429776!3d52.38003877994518!2m3!1f0!2f0!3f0!3m2!1i1024!2i768!4f13.1!3m3!1m2!1s0x47c5e27183503d11%3A0x57aed244a6324408!2sWesterwijk%20Amsterdam!5e0!3m2!1sen!2sus!4v1684526892071!5m2!1sen!2sus" width="600" height="450" style="border:0;" allowfullscreen="" loading="lazy" referrerpolicy="no-referrer-when-downgrade"&gt;&lt;/iframe&gt;</t>
  </si>
  <si>
    <t>52.374137, 4.858964</t>
  </si>
  <si>
    <t>Europe/Amsterdam</t>
  </si>
  <si>
    <t>NL</t>
  </si>
  <si>
    <t>https://www.google.com/maps/place/Westminster+Grange+Hall/@39.846262,-105.0484829,11.44z/data=!4m6!3m5!1s0x876b88192168c507:0x5bb3b99a587a2a30!8m2!3d39.8292362!4d-105.0394142!16s%2Fg%2F1ptxbxxlq||Westminster Grange Hall, 3935 W 73rd Ave, Westminster, CO 80030</t>
  </si>
  <si>
    <t>&lt;iframe src="https://www.google.com/maps/embed?pb=!1m18!1m12!1m3!1d144069.1659351756!2d-105.04848287045063!3d39.84626200953504!2m3!1f0!2f0!3f0!3m2!1i1024!2i768!4f13.1!3m3!1m2!1s0x876b88192168c507%3A0x5bb3b99a587a2a30!2sWestminster%20Grange%20Hall!5e0!3m2!1sen!2sus!4v1684694758170!5m2!1sen!2sus" width="600" height="450" style="border:0;" allowfullscreen="" loading="lazy" referrerpolicy="no-referrer-when-downgrade"&gt;&lt;/iframe&gt;</t>
  </si>
  <si>
    <t>39.829238, -105.039407</t>
  </si>
  <si>
    <t>Manchester</t>
  </si>
  <si>
    <t>Manchester Singing</t>
  </si>
  <si>
    <t>https://www.google.com/maps/place/Withington+Methodist+Church/@53.3795389,-2.1716999,10.33z/data=!4m6!3m5!1s0x487bb238a9d0cf07:0x2f24bc022d80099c!8m2!3d53.4345509!4d-2.2274388!16s%2Fg%2F1tkb4nq0?hl=en||Withington Methodist Church, 439 Wilmslow Rd, Withington, Manchester M20 4AN, United Kingdom</t>
  </si>
  <si>
    <t>&lt;iframe src="https://www.google.com/maps/embed?pb=!1m18!1m12!1m3!1d241790.10293941328!2d-2.171699896110744!3d53.37953885270627!2m3!1f0!2f0!3f0!3m2!1i1024!2i768!4f13.1!3m3!1m2!1s0x487bb238a9d0cf07%3A0x2f24bc022d80099c!2sWithington%20Methodist%20Church!5e0!3m2!1sen!2sus!4v1684718694019!5m2!1sen!2sus" width="600" height="450" style="border:0;" allowfullscreen="" loading="lazy" referrerpolicy="no-referrer-when-downgrade"&gt;&lt;/iframe&gt;</t>
  </si>
  <si>
    <t>Singing added per &lt;a href="https://sacredharp.uk/"&gt;https://sacredharp.uk/&lt;/a&gt;</t>
  </si>
  <si>
    <t>53.434616, -2.227562</t>
  </si>
  <si>
    <t>https://www.google.com/maps/place/Springhouse+Community+School/@37.006465,-80.4269342,10.75z/data=!4m6!3m5!1s0x884d880f7fa18469:0xbc329edd5b896783!8m2!3d37.0234217!4d-80.3220241!16s%2Fg%2F11g72f6phq||Springhouse Community School, 144 Silver Maple Ln NE, Pilot, VA 24138</t>
  </si>
  <si>
    <t>&lt;iframe src="https://www.google.com/maps/embed?pb=!1m18!1m12!1m3!1d242494.67507595895!2d-80.42693418674806!3d37.00646500346172!2m3!1f0!2f0!3f0!3m2!1i1024!2i768!4f13.1!3m3!1m2!1s0x884d880f7fa18469%3A0xbc329edd5b896783!2sSpringhouse%20Community%20School!5e0!3m2!1sen!2sus!4v1684806296328!5m2!1sen!2sus" width="600" height="450" style="border:0;" allowfullscreen="" loading="lazy" referrerpolicy="no-referrer-when-downgrade"&gt;&lt;/iframe&gt;</t>
  </si>
  <si>
    <t>Pilot</t>
  </si>
  <si>
    <t>37.023410, -80.321978</t>
  </si>
  <si>
    <t>9:30am-3:00pm</t>
  </si>
  <si>
    <t>https://www.google.com/maps/place/Drake+Farmstead/@42.3018475,-85.6278763,12.35z/data=!4m6!3m5!1s0x88177777364dbf4d:0x7c36e9585f1d8e6a!8m2!3d42.3008648!4d-85.6532063!16s%2Fg%2F11h4c7qlkn?entry=ttu||Carriage Barn, Drake Farmstead, 927 N Drake Rd, Kalamazoo, MI 49006</t>
  </si>
  <si>
    <t>&lt;iframe src="https://www.google.com/maps/embed?pb=!1m14!1m8!1m3!1d94429.02743748948!2d-85.6278763!3d42.3018475!3m2!1i1024!2i768!4f13.1!3m3!1m2!1s0x88177777364dbf4d%3A0x7c36e9585f1d8e6a!2sDrake%20Farmstead!5e0!3m2!1sen!2sus!4v1684891921232!5m2!1sen!2sus" width="600" height="450" style="border:0;" allowfullscreen="" loading="lazy" referrerpolicy="no-referrer-when-downgrade"&gt;&lt;/iframe&gt;</t>
  </si>
  <si>
    <t>Location updated per user submission and &lt;a href="https://fasolamichigan.org/kalamazoo/kzoo2023.html"&gt;fasolamichigan.org&lt;/a&gt;</t>
  </si>
  <si>
    <t>42.300472, -85.653569</t>
  </si>
  <si>
    <t>Mobile</t>
  </si>
  <si>
    <t>https://www.google.com/maps/place/Government+Street+United+Methodist+Church/@30.6989516,-88.0546975,13.18z/data=!4m6!3m5!1s0x889a4e2d8116246d:0x89b809fa1598cb30!8m2!3d30.685932!4d-88.0538597!16s%2Fg%2F1tcy52kt?entry=ttu||Government Street UMC, 901 Government St, Mobile AL 36604</t>
  </si>
  <si>
    <t>&lt;iframe src="https://www.google.com/maps/embed?pb=!1m18!1m12!1m3!1d99705.09261829888!2d-88.06251338886007!3d30.699960614626207!2m3!1f0!2f0!3f0!3m2!1i1024!2i768!4f13.1!3m3!1m2!1s0x889a4e2d8116246d%3A0x89b809fa1598cb30!2sGovernment%20Street%20United%20Methodist%20Church!5e0!3m2!1sen!2sus!4v1685220722634!5m2!1sen!2sus" width="600" height="450" style="border:0;" allowfullscreen="" loading="lazy" referrerpolicy="no-referrer-when-downgrade"&gt;&lt;/iframe&gt;</t>
  </si>
  <si>
    <t>Singing added per &lt;a href="https://www.facebook.com/MobileSacredHarp/posts/pfbid02FbY2NkCrSi498aN4NwfWKSuqH7EYFkgLR2EzRUFcJNc3wUMT1rWkKbvAafXFa3crl"&gt;Facebook post&lt;/a&gt;</t>
  </si>
  <si>
    <t>30.685949, -88.053868</t>
  </si>
  <si>
    <t>Changed to Saturday only singing per &lt;a href="https://www.facebook.com/groups/288062357886428/posts/23988446154088049/"&gt;Facebook post&lt;/a&gt;</t>
  </si>
  <si>
    <t>https://www.google.com/maps/place/Milwaukee+Friends+Meeting/@43.0649412,-88.0216735,11.44z/data=!4m6!3m5!1s0x8805192aa15bc3e3:0x7ad919da19c36fd7!8m2!3d43.0769887!4d-87.8945558!16s%2Fg%2F1tfshzst?entry=ttu||Milwaukee Friends Meeting, 3224 N Gordon Pl, Milwaukee, WI 53212</t>
  </si>
  <si>
    <t>&lt;iframe src="https://www.google.com/maps/embed?pb=!1m14!1m8!1m3!1d186552.472537155!2d-88.0216735!3d43.0649412!3m2!1i1024!2i768!4f13.1!3m3!1m2!1s0x8805192aa15bc3e3%3A0x7ad919da19c36fd7!2sMilwaukee%20Friends%20Meeting!5e0!3m2!1sen!2sus!4v1685323029903!5m2!1sen!2sus" width="600" height="450" style="border:0;" allowfullscreen="" loading="lazy" referrerpolicy="no-referrer-when-downgrade"&gt;&lt;/iframe&gt;</t>
  </si>
  <si>
    <t>Location updated per user submission</t>
  </si>
  <si>
    <t>43.077064, -87.894598</t>
  </si>
  <si>
    <t>https://www.google.com/maps/place/Hopewell+Cemetery/@33.4315288,-85.2440788,12.83z/data=!4m5!3m4!1s0x888b3ee557aaf451:0x34d447f12ebf3177!8m2!3d33.4024218!4d-85.2199903||Hopewell Primitive Baptist Church, 2227 Hopewell Rd, Ephesus GA, 33.402526665669505, -85.21902180077046</t>
  </si>
  <si>
    <t>Enumclaw</t>
  </si>
  <si>
    <t>Saturday - Mt. Rainier Singing - Cooper Sacred Harp&lt;/br&gt;Sunday - Willard Birthday Singing - Cooper Sacred Harp plus Willard Hymnary&lt;/br&gt;Saturday night social address to be handed out at the singing</t>
  </si>
  <si>
    <t>https://www.google.com/maps/place/Enumclaw+Senior+Center/@47.2837184,-121.9617711,9.92z/data=!4m6!3m5!1s0x5490f201457f4293:0xd8e7451cf062b199!8m2!3d47.2020367!4d-121.9917118!16s%2Fg%2F1tf_h39d?entry=ttu||Enumclaw Senior Center, 1350 Cole St, Enumclaw, WA 98022</t>
  </si>
  <si>
    <t>47.202019, -121.991693</t>
  </si>
  <si>
    <t>Mt Rainier and Willard Birthday Singings</t>
  </si>
  <si>
    <t>&lt;iframe src="https://www.google.com/maps/embed?pb=!1m14!1m8!1m3!1d692881.1506749315!2d-121.9617711!3d47.2837184!3m2!1i1024!2i768!4f13.1!3m3!1m2!1s0x5490f201457f4293%3A0xd8e7451cf062b199!2sEnumclaw%20Senior%20Center!5e0!3m2!1sen!2sus!4v1686102205231!5m2!1sen!2sus" width="600" height="450" style="border:0;" allowfullscreen="" loading="lazy" referrerpolicy="no-referrer-when-downgrade"&gt;&lt;/iframe&gt;</t>
  </si>
  <si>
    <t>Independence Day Singing</t>
  </si>
  <si>
    <t>Wellington</t>
  </si>
  <si>
    <t>https://www.google.com/maps/place/Union+Methodist+Church/@33.8379661,-85.8776536,12.57z/data=!4m12!1m5!3m4!2zMzPCsDQ4JzUyLjQiTiA4NcKwNTMnMzMuNyJX!8m2!3d33.81455!4d-85.8927!3m5!1s0x888a4a2bb3ee5b3b:0xce99e025c0f03740!8m2!3d33.8145513!4d-85.8930112!16s%2Fg%2F1tl4dt4w?entry=ttu||Union Methodist Church, 5485 Alexandria-Wellington Rd, Wellington, AL 36279</t>
  </si>
  <si>
    <t>&lt;iframe src="https://www.google.com/maps/embed?pb=!1m18!1m12!1m3!1d71463.34331655719!2d-85.8776535918316!3d33.83796611654851!2m3!1f0!2f0!3f0!3m2!1i1024!2i768!4f13.1!3m3!1m2!1s0x888a4a2bb3ee5b3b%3A0xce99e025c0f03740!2sUnion%20Methodist%20Church!5e0!3m2!1sen!2sus!4v1686186821755!5m2!1sen!2sus" width="600" height="450" style="border:0;" allowfullscreen="" loading="lazy" referrerpolicy="no-referrer-when-downgrade"&gt;&lt;/iframe&gt;</t>
  </si>
  <si>
    <t>33.81455, -85.89270</t>
  </si>
  <si>
    <t xml:space="preserve">Less than 30 minutes to Camp FaSoLa. Dinner is Dutch Treat and will be provided by the church. The fee will be $10.00 per person and promises to be delicious home cooking. </t>
  </si>
  <si>
    <t>Cullompton</t>
  </si>
  <si>
    <t>South West Singing</t>
  </si>
  <si>
    <t>https://www.google.com/maps/place/Baptist+Church/@50.5859202,-3.9836855,8.17z/data=!4m6!3m5!1s0x486d964010952bf5:0x7dda16e28dd024f6!8m2!3d50.8581588!4d-3.3922853!16s%2Fg%2F1tdb3q07?hl=en&amp;entry=ttu||Cullompton Baptist Church, 25 High St, Cullompton EX15 1AB, United Kingdom</t>
  </si>
  <si>
    <t>&lt;iframe src="https://www.google.com/maps/embed?pb=!1m18!1m12!1m3!1d1155501.7997404833!2d-3.983685452170533!3d50.58592018728572!2m3!1f0!2f0!3f0!3m2!1i1024!2i768!4f13.1!3m3!1m2!1s0x486d964010952bf5%3A0x7dda16e28dd024f6!2sBaptist%20Church!5e0!3m2!1sen!2sus!4v1686268825033!5m2!1sen!2sus" width="600" height="450" style="border:0;" allowfullscreen="" loading="lazy" referrerpolicy="no-referrer-when-downgrade"&gt;&lt;/iframe&gt;</t>
  </si>
  <si>
    <t>50.858174, -3.392355</t>
  </si>
  <si>
    <t>Country</t>
  </si>
  <si>
    <t>Vardeman</t>
  </si>
  <si>
    <t>https://www.google.com/maps/place/Mt.+Herman+Primitive+Baptist+Church/@33.9116249,-89.5258072,9.71z/data=!4m14!1m7!3m6!1s0x8880e498bd646d19:0x7377e4bd251b52a3!2sMt.+Herman+Primitive+Baptist+Church!8m2!3d33.89031!4d-89.2270104!16s%2Fg%2F11c2j8xbm8!3m5!1s0x8880e498bd646d19:0x7377e4bd251b52a3!8m2!3d33.89031!4d-89.2270104!16s%2Fg%2F11c2j8xbm8?entry=ttu||Mt. Herman Primitive Baptist Church, 163 CR 427 Vardaman, Miss.</t>
  </si>
  <si>
    <t>&lt;iframe src="https://www.google.com/maps/embed?pb=!1m18!1m12!1m3!1d252029.42188882513!2d-89.35414255685056!3d33.90467195928972!2m3!1f0!2f0!3f0!3m2!1i1024!2i768!4f13.1!3m3!1m2!1s0x8880e498bd646d19%3A0x7377e4bd251b52a3!2sMt.%20Herman%20Primitive%20Baptist%20Church!5e0!3m2!1sen!2sus!4v1686631961347!5m2!1sen!2sus" width="600" height="450" style="border:0;" allowfullscreen="" loading="lazy" referrerpolicy="no-referrer-when-downgrade"&gt;&lt;/iframe&gt;</t>
  </si>
  <si>
    <t>Updated location based on &lt;a href="https://groups.google.com/g/fasola-singings/c/0ZXV8uXHJAY"&gt;listserv post&lt;/a&gt;</t>
  </si>
  <si>
    <t>33.890324, -89.226967</t>
  </si>
  <si>
    <t>https://www.google.com/maps/place/Zion+Hill+Church+and+cemetery/@32.0331289,-94.7451298,11.79z/data=!4m5!3m4!1s0x8637b9ac8b6391c1:0xe2fb2d5f8a9270c!8m2!3d32.0498158!4d-94.6841344||Zion Hill Missionary Baptist Church, 3558 County Rd 368 E, Henderson, TX 75654</t>
  </si>
  <si>
    <t>Saturday - Sacred Harp, Sunday afternoon - Shenandoah Harmony</t>
  </si>
  <si>
    <t>Sunday afternoon Shenandoah Harmony singing per &lt;a href="https://sacredharp.uk/"&gt;https://sacredharp.uk/&lt;/a&gt;</t>
  </si>
  <si>
    <t>33.775369, -84.289431</t>
  </si>
  <si>
    <t>12pm-5pm</t>
  </si>
  <si>
    <t>https://www.google.com/maps/place/Baa+Baa+Black+Sheep+Records/@28.4568323,77.0138112,11.1z/data=!4m6!3m5!1s0x390d1f04c1b13f21:0x61085f25106f3e24!8m2!3d28.5278555!4d77.1920457!16s%2Fg%2F11j8swq7h3?hl=en&amp;entry=ttu||Baa Baa Black Sheep Records, A-163/1, HK house, 1st Floor, Lado Sarai, New Delhi, Delhi 110030, India</t>
  </si>
  <si>
    <t>28.527859, 77.192040</t>
  </si>
  <si>
    <t>Asia/Kolkata</t>
  </si>
  <si>
    <t>Added location per &lt;a href="https://sacredharp.uk/"&gt;sacredharp.uk/&lt;/a&gt;</t>
  </si>
  <si>
    <t>Maidencreek All-Day Singing</t>
  </si>
  <si>
    <t>&lt;iframe src="https://www.google.com/maps/embed?pb=!1m14!1m8!1m3!1d449123.0375272311!2d76.94235049659065!3d28.426083604293805!3m2!1i1024!2i768!4f13.1!3m3!1m2!1s0x390d1f04c1b13f21%3A0x61085f25106f3e24!2sBaa%20Baa%20Black%20Sheep%20Records!5e0!3m2!1sen!2sus!4v1688004965910!5m2!1sen!2sus" width="600" height="450" style="border:0;" allowfullscreen="" loading="lazy" referrerpolicy="no-referrer-when-downgrade"&gt;&lt;/iframe&gt;</t>
  </si>
  <si>
    <t>Saturday: 10:30am-4pm, Sunday: 1:30pm-4pm</t>
  </si>
  <si>
    <t>B.M. Smith &amp; Philip Denney Memorial Singing</t>
  </si>
  <si>
    <t>Location updated per &lt;a href="https://www.facebook.com/events/1705308596583885/"&gt;2023 Facebook event&lt;/a&gt;</t>
  </si>
  <si>
    <t>33.516955, -85.087147</t>
  </si>
  <si>
    <t>https://www.google.com/maps/dir/Olivet+Congregational+Church,+1850+Iglehart+Ave,+St+Paul,+MN+55104/The+Landing+-+MN+River+Heritage+Park,+2187+County+Rd+101,+Shakopee,+MN+55379/@44.8940831,-93.4516553,10.61z/data=!4m14!4m13!1m5!1m1!1s0x87f629f88bf60e0f:0x32bcb573d1700667!2m2!1d-93.1789654!2d44.9492988!1m5!1m1!1s0x87f619e5c72a27b9:0x350e358a9339c3b5!2m2!1d-93.4929451!2d44.8028625!3e0?entry=ttu||Saturday: Olivet Church, 1850 Iglehart Ave, St Paul, MN 55104&lt;/br&gt;Sunday at The Landing, 2187 Highway 101 E, in Shakopee, Minnesota 55379</t>
  </si>
  <si>
    <t>&lt;iframe src="https://www.google.com/maps/embed?pb=!1m28!1m12!1m3!1d236857.23472831325!2d-93.45165532286178!3d44.89408312104465!2m3!1f0!2f0!3f0!3m2!1i1024!2i768!4f13.1!4m13!3e0!4m5!1s0x87f629f88bf60e0f%3A0x32bcb573d1700667!2sOlivet%20Congregational%20Church%2C%201850%20Iglehart%20Ave%2C%20St%20Paul%2C%20MN%2055104!3m2!1d44.9492988!2d-93.1789654!4m5!1s0x87f619e5c72a27b9%3A0x350e358a9339c3b5!2sThe%20Landing%20-%20MN%20River%20Heritage%20Park%2C%202187%20County%20Rd%20101%2C%20Shakopee%2C%20MN%2055379!3m2!1d44.802862499999996!2d-93.4929451!5e0!3m2!1sen!2sus!4v1688850159616!5m2!1sen!2sus" width="600" height="450" style="border:0;" allowfullscreen="" loading="lazy" referrerpolicy="no-referrer-when-downgrade"&gt;&lt;/iframe&gt;</t>
  </si>
  <si>
    <t>44.949162, -93.178952</t>
  </si>
  <si>
    <t>St. Paul</t>
  </si>
  <si>
    <t>Canceled in 2023 per &lt;a href="http://campfasola.org/europe-camp/"&gt;campfasola.org/europe-camp/&lt;/a&gt;</t>
  </si>
  <si>
    <t>Harpswell</t>
  </si>
  <si>
    <t>Location and time added per &lt;a href="https://www.facebook.com/groups/288062357886428/posts/24287996317466363/"&gt;Facebook post&lt;/a&gt;</t>
  </si>
  <si>
    <t>31.296689, -86.238448</t>
  </si>
  <si>
    <t>https://www.google.com/maps/place/West+Fork+Library+Hall/@35.895007,-94.411437,10.22z/data=!4m6!3m5!1s0x87c963813315ce31:0xd099f27cd48afc99!8m2!3d35.925891!4d-94.1873061!16s%2Fg%2F11f121s76m?entry=ttu||West Fork Library Hall, 210 Garfield Ave, West Fork, AR 72774</t>
  </si>
  <si>
    <t>&lt;iframe src="https://www.google.com/maps/embed?pb=!1m18!1m12!1m3!1d354651.81562314066!2d-94.41143703902662!3d35.89500701725403!2m3!1f0!2f0!3f0!3m2!1i1024!2i768!4f13.1!3m3!1m2!1s0x87c963813315ce31%3A0xd099f27cd48afc99!2sWest%20Fork%20Library%20Hall!5e0!3m2!1sen!2sus!4v1689904356186!5m2!1sen!2sus" width="600" height="450" style="border:0;" allowfullscreen="" loading="lazy" referrerpolicy="no-referrer-when-downgrade"&gt;&lt;/iframe&gt;</t>
  </si>
  <si>
    <t>35.925854, -94.187293</t>
  </si>
  <si>
    <t>Location, books, and contact info updated per user submission</t>
  </si>
  <si>
    <t>Dinner on the grounds at noon. Singing school on Friday from 6-8pm</t>
  </si>
  <si>
    <t>https://www.google.com/maps/place/The+Othona+Community/@51.740984,0.4310982,9.36z/data=!4m6!3m5!1s0x47d91977cffc6ae9:0xe8f00107085088cf!8m2!3d51.7379479!4d0.9395909!16s%2Fg%2F11s5xljrdt?hl=en||Othona Community, East End Road, Bradwell-on-Sea, Southminster CM0 7PN, United Kingdom</t>
  </si>
  <si>
    <t>Northwest Arkansas Spring Singing</t>
  </si>
  <si>
    <t>https://www.google.com/maps/place/Brooklyn+Monthly+Meeting+of+the+Religious+Society+of+Friends+(Quakers)/@40.7015837,-74.0162518,13.18z/data=!4m6!3m5!1s0x89c25b898175161b:0x3b113afd3837876e!8m2!3d40.6900152!4d-73.9894875!16s%2Fg%2F11fpg7d74k?entry=ttu||Brooklyn Friends Meeting. 110 Schermerhorn Street, Brooklyn, NY 11201</t>
  </si>
  <si>
    <t>&lt;iframe src="https://www.google.com/maps/embed?pb=!1m18!1m12!1m3!1d42702.79107556989!2d-74.0162517503727!3d40.70158371587585!2m3!1f0!2f0!3f0!3m2!1i1024!2i768!4f13.1!3m3!1m2!1s0x89c25b898175161b%3A0x3b113afd3837876e!2sBrooklyn%20Monthly%20Meeting%20of%20the%20Religious%20Society%20of%20Friends%20(Quakers)!5e0!3m2!1sen!2sus!4v1690424647376!5m2!1sen!2sus" width="600" height="450" style="border:0;" allowfullscreen="" loading="lazy" referrerpolicy="no-referrer-when-downgrade"&gt;&lt;/iframe&gt;</t>
  </si>
  <si>
    <t>40.690091, -73.989450</t>
  </si>
  <si>
    <t>New York City All-Day Singing</t>
  </si>
  <si>
    <t>Dayton</t>
  </si>
  <si>
    <t>John and Loraine Bayer Memorial Singing</t>
  </si>
  <si>
    <t>&lt;iframe src="https://www.google.com/maps/embed?pb=!1m18!1m12!1m3!1d113395.70823142413!2d-84.47644107797086!3d39.759200149524226!2m3!1f0!2f0!3f0!3m2!1i1024!2i768!4f13.1!3m3!1m2!1s0x88407bed23b956db%3A0x4108d9d4f899cd70!2s171%20S%20Diamond%20Mill%20Rd%2C%20New%20Lebanon%2C%20OH%2045345!5e0!3m2!1sen!2sus!4v1691284423269!5m2!1sen!2sus" width="600" height="450" style="border:0;" allowfullscreen="" loading="lazy" referrerpolicy="no-referrer-when-downgrade"&gt;&lt;/iframe&gt;</t>
  </si>
  <si>
    <t>39.743143, -84.366980</t>
  </si>
  <si>
    <t>https://www.google.com/maps/place/The+Church+of+Greenville/@34.7096629,-82.2515072,18.69z/data=!4m6!3m5!1s0x885826989e2b9447:0x13dcebc9eae8bdb2!8m2!3d34.7096867!4d-82.2512112!16s%2Fg%2F1vzv4ck0?entry=ttu||The Church of Greenville, 228 Ladean Ct, Simpsonville, SC 29680</t>
  </si>
  <si>
    <t>34.709680, -82.251190</t>
  </si>
  <si>
    <t>10am-4:30pm</t>
  </si>
  <si>
    <t>Hamburg Singing</t>
  </si>
  <si>
    <t>Hamburg</t>
  </si>
  <si>
    <t>https://www.google.com/maps/place/Ecumenical+Forum+HafenCity/@53.5429343,9.9622544,13.18z/data=!4m6!3m5!1s0x47b18f017893426f:0xc83e1dd8bb91a326!8m2!3d53.5426446!4d10.0023728!16s%2Fg%2F11fhvx8yzl?hl=en&amp;entry=ttu||Ecumenical Forum HafenCity, Shanghaiallee 12, 20457 Hamburg, Germany</t>
  </si>
  <si>
    <t>&lt;iframe src="https://www.google.com/maps/embed?pb=!1m18!1m12!1m3!1d33470.9370380527!2d9.9622543952854!3d53.54293434879525!2m3!1f0!2f0!3f0!3m2!1i1024!2i768!4f13.1!3m3!1m2!1s0x47b18f017893426f%3A0xc83e1dd8bb91a326!2sEcumenical%20Forum%20HafenCity!5e0!3m2!1sen!2sus!4v1691285846384!5m2!1sen!2sus" width="600" height="450" style="border:0;" allowfullscreen="" loading="lazy" referrerpolicy="no-referrer-when-downgrade"&gt;&lt;/iframe&gt;</t>
  </si>
  <si>
    <t>53.542644, 10.002378</t>
  </si>
  <si>
    <t>Saturday: Sacred Harp —Sunday: Christian Harmony</t>
  </si>
  <si>
    <t>https://www.google.com/maps/place/171+S+Diamond+Mill+Rd,+New+Lebanon,+OH+45345/@39.7592001,-84.4764411,11.79z/data=!4m6!3m5!1s0x88407bed23b956db:0x4108d9d4f899cd70!8m2!3d39.743139!4d-84.3669182!16s%2Fg%2F11ryh1y0nn?entry=ttu||Bear Creek Old German Baptist Meeting House, 171 South Diamond Mill Road, New Lebanon, OH 46345</t>
  </si>
  <si>
    <t>41.792768, -87.596192</t>
  </si>
  <si>
    <t>New England Sacred Harp Convention</t>
  </si>
  <si>
    <t>Philadelphia</t>
  </si>
  <si>
    <t>Location updated per &lt;a href="https://sacredharp.uk/"&gt;sacredharp.uk&lt;/a&gt;</t>
  </si>
  <si>
    <t>https://www.google.com/maps/place/American+Church+in+Paris/@48.8579175,2.298434,11.72z/data=!4m6!3m5!1s0x47e66fdbe3fdd93f:0x43255f5ec547c071!8m2!3d48.8621081!4d2.3066393!16zL20vMGRiZnl4?hl=en&amp;entry=ttu||American Church in Paris, 65 Quai d'Orsay, 75007 Paris, France</t>
  </si>
  <si>
    <t>&lt;iframe src="https://www.google.com/maps/embed?pb=!1m18!1m12!1m3!1d101835.97379071056!2d2.298434041402992!3d48.85791749948677!2m3!1f0!2f0!3f0!3m2!1i1024!2i768!4f13.1!3m3!1m2!1s0x47e66fdbe3fdd93f%3A0x43255f5ec547c071!2sAmerican%20Church%20in%20Paris!5e0!3m2!1sen!2sus!4v1692364329207!5m2!1sen!2sus" width="600" height="450" style="border:0;" allowfullscreen="" loading="lazy" referrerpolicy="no-referrer-when-downgrade"&gt;&lt;/iframe&gt;</t>
  </si>
  <si>
    <t>48.862273, 2.306572</t>
  </si>
  <si>
    <t>Location updated per &lt;a href="https://www.facebook.com/events/778888217066347"&gt;2023 Facebook Event&lt;/a&gt;</t>
  </si>
  <si>
    <t>Date updated per &lt;a href="https://www.facebook.com/groups/288062357886428/posts/24493480706917922/"&gt;Facebook post&lt;/a&gt;</t>
  </si>
  <si>
    <t>Oct, 1st Sun &amp; Sat before</t>
  </si>
  <si>
    <t>Canceled for 2023 per &lt;a href="https://www.facebook.com/groups/45458433401/posts/10160091663383402/"&gt;Facebook post&lt;/a&gt;</t>
  </si>
  <si>
    <t>Location updated per &lt;a href="https://www.facebook.com/groups/45458433401/posts/10160091663383402/"&gt;Facebook post&lt;/a&gt;</t>
  </si>
  <si>
    <t>33.905377, -83.217335</t>
  </si>
  <si>
    <t>32.717475, -84.009745</t>
  </si>
  <si>
    <t>https://www.google.com/maps/place/Pleasant+Hill+Church/@33.8541698,-87.7855659,11.17z/data=!4m14!1m7!3m6!1s0x8887d20da4b2143d:0x30e746c09e392da5!2sRicky+Hollingsworth+Excavating!8m2!3d33.8404575!4d-87.7001644!16s%2Fg%2F1vbnq56r!3m5!1s0x8887d40b486f93bb:0x18ac7397cc75ed13!8m2!3d33.8413066!4d-87.6148696!16s%2Fg%2F1tlz_yyd?entry=ttu||Pleasant Hill Church (Johnson Schoolhouse), 176 Pleasant Hill Loop, Carbon Hill, AL 35549</t>
  </si>
  <si>
    <t>&lt;iframe src="https://www.google.com/maps/embed?pb=!1m18!1m12!1m3!1d188920.53104064846!2d-87.7855659266674!3d33.854169758788295!2m3!1f0!2f0!3f0!3m2!1i1024!2i768!4f13.1!3m3!1m2!1s0x8887d40b486f93bb%3A0x18ac7397cc75ed13!2sPleasant%20Hill%20Church!5e0!3m2!1sen!2sus!4v1693838858113!5m2!1sen!2sus" width="600" height="450" style="border:0;" allowfullscreen="" loading="lazy" referrerpolicy="no-referrer-when-downgrade"&gt;&lt;/iframe&gt;</t>
  </si>
  <si>
    <t>33.841299, -87.614868</t>
  </si>
  <si>
    <t>Elene Stovall</t>
  </si>
  <si>
    <t>All-Wisconsin Shapenote Singing</t>
  </si>
  <si>
    <t>Cape Meares All-Day Singing</t>
  </si>
  <si>
    <t>&lt;a href="http://www.ukshc.org"&gt;http://www.ukshc.org&lt;/a&gt;</t>
  </si>
  <si>
    <t>10:00am-4pm</t>
  </si>
  <si>
    <t>37.132341, -122.313353</t>
  </si>
  <si>
    <t>https://www.google.com/maps/place/Pie+Ranch+-+Food+Distribution+Center/@37.21967,-122.2568732,9.97z/data=!4m15!1m8!3m7!1s0x808e55caafead555:0x40d0bb3eb0b7a6a3!2s2080+Green+Oaks+Way,+Pescadero,+CA+94060!3b1!8m2!3d37.1319831!4d-122.3138352!16s%2Fg%2F11dzp725vr!3m5!1s0x808e50e555555555:0xb94d714f2e1defec!8m2!3d37.1322966!4d-122.3132982!16s%2Fg%2F11k6hhg_0d?entry=ttu||Pie Ranch, 2080 Green Oaks Way, Pescadero CA 94060</t>
  </si>
  <si>
    <t>&lt;iframe src="https://www.google.com/maps/embed?pb=!1m18!1m12!1m3!1d414585.3202679969!2d-122.25687321678666!3d37.21967001188865!2m3!1f0!2f0!3f0!3m2!1i1024!2i768!4f13.1!3m3!1m2!1s0x808e50e555555555%3A0xb94d714f2e1defec!2sPie%20Ranch%20-%20Food%20Distribution%20Center!5e0!3m2!1sen!2sus!4v1694049430097!5m2!1sen!2sus" width="600" height="450" style="border:0;" allowfullscreen="" loading="lazy" referrerpolicy="no-referrer-when-downgrade"&gt;&lt;/iframe&gt;</t>
  </si>
  <si>
    <t>&lt;a href="http://atlantasacredharp.org/monthly.html"&gt;atlantasacredharp.org&lt;/a&gt;</t>
  </si>
  <si>
    <t>Oscar McGuire, &lt;a href="http://atlantasacredharp.org/monthly.html"&gt;atlantasacredharp.org&lt;/a&gt;</t>
  </si>
  <si>
    <t>1pm-5pm</t>
  </si>
  <si>
    <t>https://www.google.com/maps/place/See+House/@56.9607246,-135.8296533,9.22z/data=!4m14!1m7!3m6!1s0x540467bc5a44b151:0x71f133d2e95aeaff!2sSt+Peter's+by+the+Sea+Episcopal+Church!8m2!3d57.0514707!4d-135.3280654!16s%2Fm%2F06_jrgq!3m5!1s0x540467bc378ae1f7:0x9eab4c104daf83c9!8m2!3d57.0518663!4d-135.3281333!16s%2Fm%2F06_jrvm?entry=ttu||See House, St. Peter's by the Sea Episcopal Church, 611 Lincoln St, Sitka, AK 99835</t>
  </si>
  <si>
    <t>&lt;iframe src="https://www.google.com/maps/embed?pb=!1m18!1m12!1m3!1d7355239.564616326!2d-148.66519341117979!3d55.454706685806414!2m3!1f0!2f0!3f0!3m2!1i1024!2i768!4f13.1!3m3!1m2!1s0x540467bc5a44b151%3A0x71f133d2e95aeaff!2sSt%20Peter&amp;#39;s%20by%20the%20Sea%20Episcopal%20Church!5e0!3m2!1sen!2sus!4v1694129510364!5m2!1sen!2sus" width="600" height="450" style="border:0;" allowfullscreen="" loading="lazy" referrerpolicy="no-referrer-when-downgrade"&gt;&lt;/iframe&gt;</t>
  </si>
  <si>
    <t>Oct, Last Sat</t>
  </si>
  <si>
    <t>Date and location updated per &lt;a href="https://www.facebook.com/groups/288062357886428/posts/24607617142170944/"&gt;Facebook post&lt;/a&gt;</t>
  </si>
  <si>
    <t>9am-3pm</t>
  </si>
  <si>
    <t>57.0518288, -135.328093</t>
  </si>
  <si>
    <t xml:space="preserve">Friday night: TBD&lt;/br&gt;Saturday day: See House&lt;/br&gt;Saturday night: The Stone Lantern House. https://www.stonelanternhouse.com&lt;/br&gt;Sunday afternoon: Sitka 5th Sunday Cooper Book Sing: 3-4:30PM: Sitka Pioneer Home Chapel &lt;/br&gt;Book: Denson Book for Saturday sing. Cooper Book for Sunday sing. Denson and Cooper Books for socials. Books are available. </t>
  </si>
  <si>
    <t>Location updated per comments on &lt;a href="https://www.facebook.com/groups/288062357886428/posts/24654252424174082/"&gt;Facebook post&lt;/a&gt;</t>
  </si>
  <si>
    <t>31.122502, -86.067498</t>
  </si>
  <si>
    <t>David [at] davidivey.com</t>
  </si>
  <si>
    <t>Michael Spencer - fishman.mds [at] gmail.com</t>
  </si>
  <si>
    <t>trcopes [at] gmail.com</t>
  </si>
  <si>
    <t xml:space="preserve">D Eskenasy: dogsongs [at] gmail.com, &lt;a href="http://www.christianharmony.org/schedule.html"&gt;http://www.christianharmony.org/schedule.html&lt;/a&gt; </t>
  </si>
  <si>
    <t>davefarmer [at] charter.net</t>
  </si>
  <si>
    <t>jdelre1952 [at] gmail.com, or &lt;a href="https://www.facebook.com/groups/55734393949/"&gt;Facebook group&lt;/a&gt;</t>
  </si>
  <si>
    <t xml:space="preserve">Dan Huger - (828) 274-8899, dehuger [at] gmail.com, &lt;a href="http://www.christianharmony.org/schedule.html"&gt;http://www.christianharmony.org/schedule.html&lt;/a&gt; </t>
  </si>
  <si>
    <t xml:space="preserve">Greg Smith - (706)695-3833, gsmith.gsmith [at] outlook.com, David Smith - (706) 980-0442, &lt;a href="http://www.christianharmony.org/schedule.html"&gt;http://www.christianharmony.org/schedule.html&lt;/a&gt; </t>
  </si>
  <si>
    <t>&lt;a href="http://campfasola.org/"&gt;campfasola.org&lt;/a&gt;, David [at] davidivey.com</t>
  </si>
  <si>
    <t xml:space="preserve">June Smathers Jolley - 828-421-4361, jjolley09 [at] gmail.com, &lt;a href="http://www.christianharmony.org/schedule.html"&gt;http://www.christianharmony.org/schedule.html&lt;/a&gt; </t>
  </si>
  <si>
    <t>Mike Spencer: fishman.mds [at] gmail.com</t>
  </si>
  <si>
    <t>leopoldine.guillaume [at] gmail.com, &lt;a href="https://www.facebook.com/groups/48053961708"&gt;Sacred Harp Paris! Facebook group&lt;/a&gt;, &lt;a href="https://www.facebook.com/events/778888217066347"&gt;2023 Facebook Event&lt;/a&gt;</t>
  </si>
  <si>
    <t>Frederic Eymardm frederic.eymard [at] gmail.com, &lt;a href="https://www.facebook.com/groups/48053961708/"&gt;Facebook Group&lt;/a&gt;</t>
  </si>
  <si>
    <t>Joe Holbert: 828-669-7260, treeblow [at] bellsouth.net</t>
  </si>
  <si>
    <t>Likely defunct, no update on website since 2021 cancellation.</t>
  </si>
  <si>
    <t>&lt;a href="http://columbiafasola.missouri.org/october-sing.html"&gt;http://columbiafasola.missouri.org/october-sing.html&lt;/a&gt;, &lt;a href="https://www.facebook.com/ColumbiaShapeNoteSingers"&gt;Columbia Shape Note-Singers Facebook Group&lt;/a&gt;, &lt;a href="http://stlfasola.org/"&gt;stlfasola.org&lt;/a&gt;</t>
  </si>
  <si>
    <t>Oct, 1st Sat</t>
  </si>
  <si>
    <t>Leeds</t>
  </si>
  <si>
    <t>West Yorkshire Singing</t>
  </si>
  <si>
    <t>&lt;iframe src="https://www.google.com/maps/embed?pb=!1m18!1m12!1m3!1d188134.46421085089!2d-1.6376887417031236!3d53.81203581461378!2m3!1f0!2f0!3f0!3m2!1i1024!2i768!4f13.1!3m3!1m2!1s0x48795d3163040bed%3A0xa66fc2c3309dcd73!2sHoly%20Trinity%20Church%2C%20Rothwell!5e0!3m2!1sen!2sus!4v1695776515087!5m2!1sen!2sus" width="600" height="450" style="border:0;" allowfullscreen="" loading="lazy" referrerpolicy="no-referrer-when-downgrade"&gt;&lt;/iframe&gt;</t>
  </si>
  <si>
    <t>53.750054, -1.481098</t>
  </si>
  <si>
    <t>https://www.google.com/maps/place/Holy+Trinity+Church,+Rothwell/@53.8120358,-1.6376887,10.68z/data=!4m6!3m5!1s0x48795d3163040bed:0xa66fc2c3309dcd73!8m2!3d53.7500177!4d-1.4811255!16s%2Fg%2F11byydxb48?hl=en&amp;entry=ttu||Holy Trinity Church Hall, Church St, Rothwell, Leeds LS26 0QL, United Kingdom</t>
  </si>
  <si>
    <t>Dahlonega Shenandoah Harmony Singing</t>
  </si>
  <si>
    <t>&lt;a href="https://morgan-ellis.net/sacred-harp/"&gt;https://morgan-ellis.net/sacred-harp/&lt;/a&gt;</t>
  </si>
  <si>
    <t>https://www.google.com/maps/place/St.+Elizabeth's+Episcopal+Church/@34.560157,-84.0904399,9.65z/data=!4m6!3m5!1s0x885f68a5f531ac7b:0xb8253ae30808f13d!8m2!3d34.5455389!4d-84.0056083!16s%2Fg%2F1vnnk3ng?entry=ttu||St. Elizabeth's Episcopal Church, 1188 Hamp Mill Rd, Dahlonega, GA 30533</t>
  </si>
  <si>
    <t>&lt;iframe src="https://www.google.com/maps/embed?pb=!1m14!1m8!1m3!1d535016.7104824089!2d-84.09043987476518!3d34.56015696247706!3m2!1i1024!2i768!4f13.1!3m3!1m2!1s0x885f68a5f531ac7b%3A0xb8253ae30808f13d!2sSt.%20Elizabeth&amp;#39;s%20Episcopal%20Church!5e0!3m2!1sen!2sus!4v1695777303606!5m2!1sen!2sus" width="600" height="450" style="border:0;" allowfullscreen="" loading="lazy" referrerpolicy="no-referrer-when-downgrade"&gt;&lt;/iframe&gt;</t>
  </si>
  <si>
    <t>Singing added based on user submission</t>
  </si>
  <si>
    <t>Loaners available. Bring a covered dish for dinner on the grounds. Full kitchen facilities.</t>
  </si>
  <si>
    <t>Daniel Williams, 470-428-0961 or danwilliamswk22 [at] gmail.com. Cecil Roberts, 770-574-7832, &lt;a href="http://atlantasacredharp.org/monthly.html"&gt;atlantasacredharp.org&lt;/a&gt;</t>
  </si>
  <si>
    <t>Holly Springs Memorial Singing</t>
  </si>
  <si>
    <t>https://www.google.com/maps/place/Good+Shepherd+Episcopal+Church/@37.8789354,-122.3513218,11.76z/data=!4m14!1m7!3m6!1s0x80857ec3cde1097f:0x8c5630e1b0c75df2!2sGood+Shepherd+Episcopal+Church!8m2!3d37.8702372!4d-122.2946969!16s%2Fm%2F0h3nbbk!3m5!1s0x80857ec3cde1097f:0x8c5630e1b0c75df2!8m2!3d37.8702372!4d-122.2946969!16s%2Fm%2F0h3nbbk?entry=ttu||Good Shepherd Episcopal Church, 1823 Ninth St, Berkeley, CA 94710</t>
  </si>
  <si>
    <t>&lt;iframe src="https://www.google.com/maps/embed?pb=!1m18!1m12!1m3!1d118693.55058263773!2d-122.35132176699379!3d37.87893543236656!2m3!1f0!2f0!3f0!3m2!1i1024!2i768!4f13.1!3m3!1m2!1s0x80857ec3cde1097f%3A0x8c5630e1b0c75df2!2sGood%20Shepherd%20Episcopal%20Church!5e0!3m2!1sen!2sus!4v1696989732500!5m2!1sen!2sus" width="600" height="450" style="border:0;" allowfullscreen="" loading="lazy" referrerpolicy="no-referrer-when-downgrade"&gt;&lt;/iframe&gt;</t>
  </si>
  <si>
    <t>37.870216, -122.294700</t>
  </si>
  <si>
    <t>The building is located at the top of the hill on the north side of the road.&lt;/br&gt;&lt;b&gt;Can't find evidence of this singing happening since 2019.&lt;/b&gt;</t>
  </si>
  <si>
    <t>https://www.google.com/maps/place/St+Mary's+Church,+Hamilton+Village/@39.9498414,-75.2223433,12.83z/data=!4m6!3m5!1s0x89c6c6f7da58225d:0x590dae684c4afde1!8m2!3d39.9525594!4d-75.2017021!16s%2Fm%2F027qlq4?entry=ttu||St. Mary's Church, Hamilton Village, 3916 Locust Walk, Philadelphia, PA 19104</t>
  </si>
  <si>
    <t>&lt;iframe src="https://www.google.com/maps/embed?pb=!1m18!1m12!1m3!1d54930.994501186586!2d-75.2223433168785!3d39.94984141677392!2m3!1f0!2f0!3f0!3m2!1i1024!2i768!4f13.1!3m3!1m2!1s0x89c6c6f7da58225d%3A0x590dae684c4afde1!2sSt%20Mary&amp;#39;s%20Church%2C%20Hamilton%20Village!5e0!3m2!1sen!2sus!4v1697862255795!5m2!1sen!2sus" width="600" height="450" style="border:0;" allowfullscreen="" loading="lazy" referrerpolicy="no-referrer-when-downgrade"&gt;&lt;/iframe&gt;</t>
  </si>
  <si>
    <t>39.952561, -75.201710</t>
  </si>
  <si>
    <t>info [at] kawshapenote.org, &lt;a href="http://kawshapenote.org/#KVSevents"&gt;http://kawshapenote.org/#KVSevents&lt;/a&gt;</t>
  </si>
  <si>
    <t>https://www.google.com/maps/place/First+United+Methodist+Church/@42.5475416,-73.7412194,9.71z/data=!4m6!3m5!1s0x89e74e47660997c3:0xd8eb56a416da4894!8m2!3d42.4503996!4d-73.2520243!16s%2Fg%2F1tdn9q2_||First United Methodist Church of Pittsfield, 55 Fenn St, Pittsfield, MA 01201</t>
  </si>
  <si>
    <t>&lt;iframe src="https://www.google.com/maps/embed?pb=!1m14!1m8!1m3!1d752477.4442910219!2d-73.7412194!3d42.5475416!3m2!1i1024!2i768!4f13.1!3m3!1m2!1s0x89e74e47660997c3%3A0xd8eb56a416da4894!2sFirst%20United%20Methodist%20Church!5e0!3m2!1sen!2sus!4v1698426504940!5m2!1sen!2sus" width="600" height="450" style="border:0;" allowfullscreen="" loading="lazy" referrerpolicy="no-referrer-when-downgrade"&gt;&lt;/iframe&gt;</t>
  </si>
  <si>
    <t>42.450234, -73.252071</t>
  </si>
  <si>
    <t>Canceled in 2023 per comment on &lt;a href="https://www.facebook.com/groups/288062357886428/posts/24945562631709725"&gt;Facebook post&lt;/a&gt;</t>
  </si>
  <si>
    <t>Harmony PBC Singing</t>
  </si>
  <si>
    <t>https://www.google.com/maps/place/Harmony+Primitive+Baptist+Church/@34.3674358,-86.8788336,10.68z/data=!4m6!3m5!1s0x8889d0bda0e17a0f:0xc988fc2109f4e885!8m2!3d34.3618831!4d-86.7195326!16s%2Fg%2F1wf22mh9?entry=ttu||Harmony Primitive Baptist Church, 1810 Lawrence Cove Rd, Eva, AL 35621</t>
  </si>
  <si>
    <t>&lt;iframe src="https://www.google.com/maps/embed?pb=!1m18!1m12!1m3!1d210773.3473217235!2d-86.8788336462338!3d34.36743581088029!2m3!1f0!2f0!3f0!3m2!1i1024!2i768!4f13.1!3m3!1m2!1s0x8889d0bda0e17a0f%3A0xc988fc2109f4e885!2sHarmony%20Primitive%20Baptist%20Church!5e0!3m2!1sen!2sus!4v1698986234370!5m2!1sen!2sus" width="600" height="450" style="border:0;" allowfullscreen="" loading="lazy" referrerpolicy="no-referrer-when-downgrade"&gt;&lt;/iframe&gt;</t>
  </si>
  <si>
    <t>34.361826, -86.719537</t>
  </si>
  <si>
    <t>38.591024, -90.355224</t>
  </si>
  <si>
    <t>Location updated and changed to 2 day singing, per user submission.</t>
  </si>
  <si>
    <t>https://www.google.com/maps/place/The+Monday+Club+of+Webster+Groves/@38.5726132,-90.4465561,10.68z/data=!4m6!3m5!1s0x87d8cbbfc166dc4f:0x53ef9e7b6f845091!8m2!3d38.591047!4d-90.355103!16s%2Fg%2F1tdg3rrd?entry=ttu||The Monday Club, 37 South Maple Avenue, Webster Groves, MO 63119 (corner of South Maple and East Cedar Avenues)</t>
  </si>
  <si>
    <t>&lt;iframe src="https://www.google.com/maps/embed?pb=!1m14!1m8!1m3!1d249115.8849467966!2d-90.44655611370396!3d38.572613225118076!3m2!1i1024!2i768!4f13.1!3m3!1m2!1s0x87d8cbbfc166dc4f%3A0x53ef9e7b6f845091!2sThe%20Monday%20Club%20of%20Webster%20Groves!5e0!3m2!1sen!2sus!4v1699405587730!5m2!1sen!2sus" width="600" height="450" style="border:0;" allowfullscreen="" loading="lazy" referrerpolicy="no-referrer-when-downgrade"&gt;&lt;/iframe&gt;</t>
  </si>
  <si>
    <t>https://www.google.com/maps/place/Spirituelles+Zentrum+St.+Martin/@48.1271087,11.5436632,13.03z/data=!4m6!3m5!1s0x479ddf42d1709915:0x9a9d025486a5065b!8m2!3d48.1252828!4d11.5675451!16s%2Fg%2F1td08y4p?hl=en&amp;entry=ttu||Spirituelles Zentrum St. Martin, Arndtstraße 8, 80469 München, Germany</t>
  </si>
  <si>
    <t>&lt;iframe src="https://www.google.com/maps/embed?pb=!1m18!1m12!1m3!1d41797.43390748634!2d11.543663183626844!3d48.12710874136251!2m3!1f0!2f0!3f0!3m2!1i1024!2i768!4f13.1!3m3!1m2!1s0x479ddf42d1709915%3A0x9a9d025486a5065b!2sSpirituelles%20Zentrum%20St.%20Martin!5e0!3m2!1sen!2sus!4v1699406746154!5m2!1sen!2sus" width="600" height="450" style="border:0;" allowfullscreen="" loading="lazy" referrerpolicy="no-referrer-when-downgrade"&gt;&lt;/iframe&gt;</t>
  </si>
  <si>
    <t>48.125278, 11.567557</t>
  </si>
  <si>
    <t>Moved to first weekend in June per &lt;a href="https://sacredharp.uk/"&gt;sacredharp.uk&lt;/a&gt;</t>
  </si>
  <si>
    <t>https://www.google.com/maps/place/Alpharetta+City+Hall/@34.113027,-84.5258499,9.71z/data=!4m6!3m5!1s0x88f575a322f0367f:0xd8049db8521a278!8m2!3d34.0746167!4d-84.2923011!16s%2Fg%2F1tghd_4z?entry=ttu||Alpharetta City Hall, 2 Park Plaza, Alpharetta, GA 30009</t>
  </si>
  <si>
    <t>&lt;iframe src="https://www.google.com/maps/embed?pb=!1m18!1m12!1m3!1d517557.47648842185!2d-84.52584985867!3d34.113027009537184!2m3!1f0!2f0!3f0!3m2!1i1024!2i768!4f13.1!3m3!1m2!1s0x88f575a322f0367f%3A0xd8049db8521a278!2sAlpharetta%20City%20Hall!5e0!3m2!1sen!2sus!4v1699553188117!5m2!1sen!2sus" width="600" height="450" style="border:0;" allowfullscreen="" loading="lazy" referrerpolicy="no-referrer-when-downgrade"&gt;&lt;/iframe&gt;</t>
  </si>
  <si>
    <t>Austria</t>
  </si>
  <si>
    <t>Vienna</t>
  </si>
  <si>
    <t>Vienna All-Day</t>
  </si>
  <si>
    <t>&lt;a href="https://shapenote.wien"&gt;https://shapenote.wien&lt;/a&gt;, &lt;a href="https://www.facebook.com/events/1500297777476928/"&gt;2024 Facebook event&lt;/a&gt;</t>
  </si>
  <si>
    <t>Europe/Vienna</t>
  </si>
  <si>
    <t>Providence</t>
  </si>
  <si>
    <t>Updated location and moved to 3rd weekend in April per user submission.</t>
  </si>
  <si>
    <t>https://www.google.com/maps/place/Providence+Friends+Meeting/@41.8286499,-71.4222763,11.68z/data=!4m14!1m7!3m6!1s0x89e445277124483d:0xd52b08936fcaab2e!2sProvidence+Friends+Meeting!8m2!3d41.8356733!4d-71.3977794!16s%2Fg%2F1tczfy3v!3m5!1s0x89e445277124483d:0xd52b08936fcaab2e!8m2!3d41.8356733!4d-71.3977794!16s%2Fg%2F1tczfy3v?entry=ttu||Providence Friends Meeting, 99 Morris Ave, Providence, RI 02906</t>
  </si>
  <si>
    <t>&lt;iframe src="https://www.google.com/maps/embed?pb=!1m18!1m12!1m3!1d118714.79177174586!2d-71.4222762865107!3d41.828649885291334!2m3!1f0!2f0!3f0!3m2!1i1024!2i768!4f13.1!3m3!1m2!1s0x89e445277124483d%3A0xd52b08936fcaab2e!2sProvidence%20Friends%20Meeting!5e0!3m2!1sen!2sus!4v1700201686347!5m2!1sen!2sus" width="600" height="450" style="border:0;" allowfullscreen="" loading="lazy" referrerpolicy="no-referrer-when-downgrade"&gt;&lt;/iframe&gt;</t>
  </si>
  <si>
    <t>41.835723, -71.397755</t>
  </si>
  <si>
    <t>Lynd Schoolhouse Singing</t>
  </si>
  <si>
    <t>Olympia Christmas Harp All-Day Singing</t>
  </si>
  <si>
    <t>https://www.google.com/maps/place/The+Evergreen+State+College+Organic+Farm/@47.0379125,-123.0523602,11.65z/data=!4m6!3m5!1s0x54919e3b9799ced5:0x26b35714bd06be5a!8m2!3d47.0699591!4d-122.9859208!16s%2Fg%2F1tqg00r_?entry=ttu||The Organic Farm at Evergreen, 2712 Lewis Rd NW, Olympia, WA 98505</t>
  </si>
  <si>
    <t>&lt;iframe src="https://www.google.com/maps/embed?pb=!1m18!1m12!1m3!1d110688.4581980673!2d-123.05236015233366!3d47.03791248226286!2m3!1f0!2f0!3f0!3m2!1i1024!2i768!4f13.1!3m3!1m2!1s0x54919e3b9799ced5%3A0x26b35714bd06be5a!2sThe%20Evergreen%20State%20College%20Organic%20Farm!5e0!3m2!1sen!2sus!4v1700803314935!5m2!1sen!2sus" width="600" height="450" style="border:0;" allowfullscreen="" loading="lazy" referrerpolicy="no-referrer-when-downgrade"&gt;&lt;/iframe&gt;</t>
  </si>
  <si>
    <t>47.070013, -122.985903</t>
  </si>
  <si>
    <t>Australian Sacred Harp Convention</t>
  </si>
  <si>
    <t>Joe Beasley Memorial</t>
  </si>
  <si>
    <t>Singing added per &lt;a href="https://www.facebook.com/groups/288062357886428/posts/25170817812517538/"&gt;Facebook post&lt;/a&gt;</t>
  </si>
  <si>
    <t>Marlin Beasley, 205-363-0507</t>
  </si>
  <si>
    <t>https://www.google.com/maps/place/575+Co+Rd+173,+Winfield,+AL+35594/@33.961226,-88.043149,10.71z/data=!4m5!3m4!1s0x8887c8a32a10536b:0x91077056e4ae96da!8m2!3d33.9443338!4d-87.7934844?entry=ttu||Concord Primitive Baptist Church, 575 County Highway 173, Winfield, AL 35594 - 33.94417263347147, -87.79405531185712</t>
  </si>
  <si>
    <t>&lt;iframe src="https://www.google.com/maps/embed?pb=!1m18!1m12!1m3!1d259242.2533310218!2d-88.04314901192448!3d33.9612260276516!2m3!1f0!2f0!3f0!3m2!1i1024!2i768!4f13.1!3m3!1m2!1s0x8887c8a32a10536b%3A0x91077056e4ae96da!2s575%20Co%20Rd%20173%2C%20Winfield%2C%20AL%2035594!5e0!3m2!1sen!2sus!4v1701152379068!5m2!1sen!2sus" width="600" height="450" style="border:0;" allowfullscreen="" loading="lazy" referrerpolicy="no-referrer-when-downgrade"&gt;&lt;/iframe&gt;</t>
  </si>
  <si>
    <t>Preaching at 10:30 a.m.—Lunch at 12:15—Singing 1:15 p.m.</t>
  </si>
  <si>
    <t>From Hwy 15, turn on to Route 7 South at Isom and drive about 10 minutes—Calvary Campus is on the right</t>
  </si>
  <si>
    <t>From I-20—Take Exit #5 and go South on Hwy 100—1.4 miles to Shiloh Church Road—Turn right—0.8 miles to church</t>
  </si>
  <si>
    <t>Jim and Marcy Thobaben, &lt;a href="https://www.facebook.com/groups/morethemerriershapes"&gt;KentiAna Sacred Harp Facebook Group&lt;/a&gt;</t>
  </si>
  <si>
    <t>P. Dan Brittain Memorial Singing</t>
  </si>
  <si>
    <t>https://www.google.com/maps/place/West+Fork+Community+Center/@35.9407123,-94.3255405,11.65z/data=!4m14!1m7!3m6!1s0x87c96380c522493b:0x2d0d9ef6f468feb7!2sWest+Fork+Community+Center!8m2!3d35.9281752!4d-94.1880717!16s%2Fg%2F1tfmnx_0!3m5!1s0x87c96380c522493b:0x2d0d9ef6f468feb7!8m2!3d35.9281752!4d-94.1880717!16s%2Fg%2F1tfmnx_0?entry=ttu||West Fork Community Center, 222 Webber St, West Fork, AR 72774</t>
  </si>
  <si>
    <t>&lt;iframe src="https://www.google.com/maps/embed?pb=!1m18!1m12!1m3!1d131495.5854488975!2d-94.3255404990946!3d35.94071234651888!2m3!1f0!2f0!3f0!3m2!1i1024!2i768!4f13.1!3m3!1m2!1s0x87c96380c522493b%3A0x2d0d9ef6f468feb7!2sWest%20Fork%20Community%20Center!5e0!3m2!1sen!2sus!4v1702338874979!5m2!1sen!2sus" width="600" height="450" style="border:0;" allowfullscreen="" loading="lazy" referrerpolicy="no-referrer-when-downgrade"&gt;&lt;/iframe&gt;</t>
  </si>
  <si>
    <t>35.928065, -94.188077</t>
  </si>
  <si>
    <t>Apr, 1st Sun &amp; Sat before</t>
  </si>
  <si>
    <t>Singing school on Friday evening preceding convention.&lt;/br&gt;</t>
  </si>
  <si>
    <t>Cincinnati New Year’s Day singing</t>
  </si>
  <si>
    <t>https://www.google.com/maps/place/St.+John's+Unitarian+Universalist+Church/@39.1407914,-84.505555,12.63z/data=!4m15!1m8!3m7!1s0x8841b380560f3241:0x5765d5b62670f5b8!2s320+Resor+Ave,+Cincinnati,+OH+45220!3b1!8m2!3d39.1479778!4d-84.519888!16s%2Fg%2F11b8v663h9!3m5!1s0x8841b38055daf8f7:0xffe814820e3a0a0f!8m2!3d39.1480046!4d-84.5199242!16s%2Fg%2F1tf5qxx1?entry=ttu||St. John's Unitarian Universalist Church, 320 Resor Ave, Cincinnati, OH 45220</t>
  </si>
  <si>
    <t>&lt;iframe src="https://www.google.com/maps/embed?pb=!1m18!1m12!1m3!1d64208.95001850631!2d-84.5055550215759!3d39.140791425229025!2m3!1f0!2f0!3f0!3m2!1i1024!2i768!4f13.1!3m3!1m2!1s0x8841b38055daf8f7%3A0xffe814820e3a0a0f!2sSt.%20John&amp;#39;s%20Unitarian%20Universalist%20Church!5e0!3m2!1sen!2sus!4v1703282633351!5m2!1sen!2sus" width="600" height="450" style="border:0;" allowfullscreen="" loading="lazy" referrerpolicy="no-referrer-when-downgrade"&gt;&lt;/iframe&gt;</t>
  </si>
  <si>
    <t>39.147862, -84.519887</t>
  </si>
  <si>
    <t>Olympia All Day</t>
  </si>
  <si>
    <t>Jun, 5th Sun</t>
  </si>
  <si>
    <t>33.683421, -85.14937</t>
  </si>
  <si>
    <t>Revision-Music Committee Singing</t>
  </si>
  <si>
    <t>Sacred Harp Revision</t>
  </si>
  <si>
    <t>&lt;a href="https://groups.google.com/g/fasola-singings/c/uafxDvkX2D8"&gt;A twelve-day UK Sacred Harp Heritage tour from the US&lt;/a&gt; is planned that will include this singing.</t>
  </si>
  <si>
    <t>Dec, Last Saturday</t>
  </si>
  <si>
    <t>Camp Fasola follows at Camp Lee, Anniston, Alabama July 1-5.</t>
  </si>
  <si>
    <t>Friday evening: 7-shape Singing School, 7–9 PM (the Community Room at McMenamin's Kennedy School)&lt;/br&gt;Saturday, Sacred Harp — Sunday, The Christian Harmony.</t>
  </si>
  <si>
    <t xml:space="preserve">enews [at] folkschool.org, &lt;a href="https://www.folkschool.org/"&gt;folkschool.org&lt;/a&gt;, &lt;a href="http://www.christianharmony.org/schedule.html"&gt;http://www.christianharmony.org/schedule.html&lt;/a&gt;, Bill Hogan - 334-414-1953, Stefani Priskos - stefani [at] folkschool.org </t>
  </si>
  <si>
    <t xml:space="preserve">C Wilson - 205-242-7788, cw4672 [at] aol.com, &lt;a href="http://www.christianharmony.org/schedule.html"&gt;http://www.christianharmony.org/schedule.html&lt;/a&gt; </t>
  </si>
  <si>
    <t>Bill Hogan - 334-414-1953, Will Peebles - wpeebles [at] wcu.edu, &lt;a href="http://christianharmony.org/schedule.html"&gt;christianharmony.org/schedule.html&lt;/a&gt;</t>
  </si>
  <si>
    <t>Brent</t>
  </si>
  <si>
    <t>Dec, 1st Tues</t>
  </si>
  <si>
    <t>https://www.google.com/maps/place/Brent+Baptist+Church/@32.999229,-87.3300871,9.71z/data=!4m6!3m5!1s0x888f36be1d09fa4b:0xb780e6951b701c25!8m2!3d32.938669!4d-87.1617362!16s%2Fg%2F1tdh4n2k?entry=ttu||Brent Baptist Church, 2446 Main St, Brent, AL 35034</t>
  </si>
  <si>
    <t>&lt;iframe src="https://www.google.com/maps/embed?pb=!1m18!1m12!1m3!1d524274.4250001044!2d-87.33008713634584!3d32.9992290279621!2m3!1f0!2f0!3f0!3m2!1i1024!2i768!4f13.1!3m3!1m2!1s0x888f36be1d09fa4b%3A0xb780e6951b701c25!2sBrent%20Baptist%20Church!5e0!3m2!1sen!2sus!4v1703988709012!5m2!1sen!2sus" width="600" height="450" style="border:0;" allowfullscreen="" loading="lazy" referrerpolicy="no-referrer-when-downgrade"&gt;&lt;/iframe&gt;</t>
  </si>
  <si>
    <t>32.938681, -87.161789</t>
  </si>
  <si>
    <t>Added per &lt;a href="http://christianharmony.org/schedule.html"&gt;christianharmony.org/schedule.html&lt;/a&gt;</t>
  </si>
  <si>
    <t>Bibb County Christmas Singing</t>
  </si>
  <si>
    <t>Caitlin Graff: scgraffrdms [at] gmail.com, Jeff James - 205 916 8406</t>
  </si>
  <si>
    <t>Clyde</t>
  </si>
  <si>
    <t>Shook-Smathers House Christmas Singing</t>
  </si>
  <si>
    <t>1-4pm</t>
  </si>
  <si>
    <t xml:space="preserve">June Smathers-Jolley - jjolley09 [at] gmail.com </t>
  </si>
  <si>
    <t>35.531685, -82.918386</t>
  </si>
  <si>
    <t>Shenandoah Harmony, Christian Harmony 2010</t>
  </si>
  <si>
    <t>https://www.google.com/maps/place/Museum+of+Haywood+County+History+at+the+Shook-Smathers+House/@35.5257169,-82.9260898,10.68z/data=!4m6!3m5!1s0x885977f7eb50a3d7:0x53c07ea5f2173b38!8m2!3d35.5317139!4d-82.9184092!16s%2Fg%2F1tdb0drc?entry=ttu||The Shook-Smathers House, 178 Morgan St, Clyde, NC 28721</t>
  </si>
  <si>
    <t>&lt;iframe src="https://www.google.com/maps/embed?pb=!1m18!1m12!1m3!1d259323.78545486656!2d-82.92608982196802!3d35.52571687152446!2m3!1f0!2f0!3f0!3m2!1i1024!2i768!4f13.1!3m3!1m2!1s0x885977f7eb50a3d7%3A0x53c07ea5f2173b38!2sMuseum%20of%20Haywood%20County%20History%20at%20the%20Shook-Smathers%20House!5e0!3m2!1sen!2sus!4v1704005072910!5m2!1sen!2sus" width="600" height="450" style="border:0;" allowfullscreen="" loading="lazy" referrerpolicy="no-referrer-when-downgrade"&gt;&lt;/iframe&gt;</t>
  </si>
  <si>
    <t>Singing added per &lt;a href="https://www.facebook.com/groups/288062357886428/posts/25341912965408021/"&gt;Facebook post&lt;/a&gt;</t>
  </si>
  <si>
    <t>Boxing Day Singing</t>
  </si>
  <si>
    <t>https://www.google.com/maps/place/Olivet+Congregational+Church/@44.9114647,-93.3363846,10.68z/data=!4m6!3m5!1s0x87f629f88bf60e0f:0x32bcb573d1700667!8m2!3d44.9491884!4d-93.1789668!16s%2Fg%2F1tvtbxlg?entry=ttu||Olivet Congregational Church, 1850 Iglehart Ave, St Paul, MN 55104</t>
  </si>
  <si>
    <t>&lt;iframe src="https://www.google.com/maps/embed?pb=!1m18!1m12!1m3!1d225657.86782100413!2d-93.33638458441101!3d44.91146468291081!2m3!1f0!2f0!3f0!3m2!1i1024!2i768!4f13.1!3m3!1m2!1s0x87f629f88bf60e0f%3A0x32bcb573d1700667!2sOlivet%20Congregational%20Church!5e0!3m2!1sen!2sus!4v1704345176713!5m2!1sen!2sus" width="600" height="450" style="border:0;" allowfullscreen="" loading="lazy" referrerpolicy="no-referrer-when-downgrade"&gt;&lt;/iframe&gt;</t>
  </si>
  <si>
    <t>44.949296, -93.178964</t>
  </si>
  <si>
    <t>Location added per &lt;a href="https://www.facebook.com/groups/288062357886428/posts/25410746425191341/"&gt;Facebook post&lt;/a&gt;</t>
  </si>
  <si>
    <t>https://www.google.com/maps/place/BOMBYX+Center+for+Arts+%26+Equity/@42.3549894,-72.9514624,11z/data=!4m6!3m5!1s0x89e6d75f1604a803:0xaabdfc74e9e51dcb!8m2!3d42.3315963!4d-72.6745147!16s%2Fg%2F11pd1r8_t4?entry=ttu||BOMBYX Center for Arts &amp; Equity, 130 Pine Street, Florence, MA 01062</t>
  </si>
  <si>
    <t>&lt;iframe src="https://www.google.com/maps/embed?pb=!1m18!1m12!1m3!1d188698.57445458704!2d-72.95146244274048!3d42.354989411739815!2m3!1f0!2f0!3f0!3m2!1i1024!2i768!4f13.1!3m3!1m2!1s0x89e6d75f1604a803%3A0xaabdfc74e9e51dcb!2sBOMBYX%20Center%20for%20Arts%20%26%20Equity!5e0!3m2!1sen!2sus!4v1704758651211!5m2!1sen!2sus" width="600" height="450" style="border:0;" allowfullscreen="" loading="lazy" referrerpolicy="no-referrer-when-downgrade"&gt;&lt;/iframe&gt;</t>
  </si>
  <si>
    <t>Location updated per &lt;a href="https://wmshc.org/convention"&gt;2024 Webpage&lt;/a&gt;</t>
  </si>
  <si>
    <t>42.331574, -72.674468</t>
  </si>
  <si>
    <t>Singing added per &lt;a href="https://www.facebook.com/groups/123791551021737/posts/7475929729141179/"&gt;Hoboken Sacred Harp Facebook&lt;/a&gt;</t>
  </si>
  <si>
    <t>7pm-12am</t>
  </si>
  <si>
    <t>New Year's Eve Sing at Mars Hill PBC</t>
  </si>
  <si>
    <t>&lt;a href="https://www.facebook.com/groups/123791551021737"&gt;Hoboken Sacred Harp Facebook&lt;/a&gt;</t>
  </si>
  <si>
    <t>https://www.google.com/maps/place/St.+Paul's+Episcopal+Church/@39.8317151,-86.2540569,11.17z/data=!4m6!3m5!1s0x886b5390dd0c8c51:0x8003503e05bb2f63!8m2!3d39.8645067!4d-86.1569757!16s%2Fg%2F1tcv25m2?entry=ttu||St. Paul's Episcopal Church, 6050 N Meridian St, Indianapolis, IN 46208</t>
  </si>
  <si>
    <t>39.864526, -86.157014</t>
  </si>
  <si>
    <t>Location and contact info updated per user submission</t>
  </si>
  <si>
    <t>Indianapolis</t>
  </si>
  <si>
    <t>&lt;iframe src="https://www.google.com/maps/embed?pb=!1m18!1m12!1m3!1d297006.32406308706!2d-86.15959636832983!3d39.74781392778665!2m3!1f0!2f0!3f0!3m2!1i1024!2i768!4f13.1!3m3!1m2!1s0x886b5390dd0c8c51%3A0x8003503e05bb2f63!2sSt.%20Paul&amp;#39;s%20Episcopal%20Church!5e0!3m2!1sen!2sus!4v1704865242825!5m2!1sen!2sus" width="600" height="450" style="border:0;" allowfullscreen="" loading="lazy" referrerpolicy="no-referrer-when-downgrade"&gt;&lt;/iframe&gt;</t>
  </si>
  <si>
    <t>https://www.google.com/maps/place/Saltford+Hall,+Wedmore+Rd,+Saltford,+Bristol+BS31+3BY,+UK/@51.4063823,-2.4595658,13.11z/data=!4m6!3m5!1s0x487185df5aa4f61d:0x78661d9820ffce9b!8m2!3d51.4057456!4d-2.4629048!16s%2Fg%2F1vc817s4?hl=en&amp;entry=ttu||Saltford Hall, Wedmore Rd, Saltford, Bristol BS31 3BY, UK</t>
  </si>
  <si>
    <t>&lt;iframe src="https://www.google.com/maps/embed?pb=!1m18!1m12!1m3!1d72319.04315206749!2d-2.4627570036901107!3d51.414895054297666!2m3!1f0!2f0!3f0!3m2!1i1024!2i768!4f13.1!3m3!1m2!1s0x487185df5aa4f61d%3A0x78661d9820ffce9b!2sSaltford%20Hall%2C%20Wedmore%20Rd%2C%20Saltford%2C%20Bristol%20BS31%203BY%2C%20UK!5e0!3m2!1sen!2sus!4v1704865638755!5m2!1sen!2sus" width="600" height="450" style="border:0;" allowfullscreen="" loading="lazy" referrerpolicy="no-referrer-when-downgrade"&gt;&lt;/iframe&gt;</t>
  </si>
  <si>
    <t>51.405766, -2.462902</t>
  </si>
  <si>
    <t>Friday night shape note gospel singing&lt;/br&gt;Sunday afternoon Christian Harmony singing</t>
  </si>
  <si>
    <t>West Midlands Singing</t>
  </si>
  <si>
    <t>Singing added per &lt;a href="https://sacredharp.uk/"&gt;sacredharp.uk&lt;/a&gt;</t>
  </si>
  <si>
    <t>Birmingham</t>
  </si>
  <si>
    <t>France Singing</t>
  </si>
  <si>
    <t>Location to be announced. Alternates irregularly between Clermont-Ferrand and Paris.</t>
  </si>
  <si>
    <t>&lt;a href="https://www.facebook.com/groups/288062357886428/posts/25465072423092074/"&gt;2024 Facebook post&lt;/a&gt; added</t>
  </si>
  <si>
    <t>The Social Harp and Sacred Harp Singing</t>
  </si>
  <si>
    <t>Location updated per 2023 minutes book</t>
  </si>
  <si>
    <t>https://www.google.com/maps/place/VALLEY+GROVE+COMMUNITY+CENTER/@34.1056713,-86.9360232,12.14z/data=!4m6!3m5!1s0x88884b206eb54627:0x43dcce3a1a8adf1b!8m2!3d34.0692116!4d-86.9207033!16s%2Fg%2F11qn4vpcby?entry=ttu||Valley Grove Community Center, 308 Co Rd 426, Cullman, AL 35057</t>
  </si>
  <si>
    <t>&lt;iframe src="https://www.google.com/maps/embed?pb=!1m18!1m12!1m3!1d96012.15785808777!2d-86.93602323658082!3d34.10567134522392!2m3!1f0!2f0!3f0!3m2!1i1024!2i768!4f13.1!3m3!1m2!1s0x88884b206eb54627%3A0x43dcce3a1a8adf1b!2sVALLEY%20GROVE%20COMMUNITY%20CENTER!5e0!3m2!1sen!2sus!4v1705201120360!5m2!1sen!2sus" width="600" height="450" style="border:0;" allowfullscreen="" loading="lazy" referrerpolicy="no-referrer-when-downgrade"&gt;&lt;/iframe&gt;</t>
  </si>
  <si>
    <t>34.069296, -86.920818</t>
  </si>
  <si>
    <t>Shoal Creek Labor Day Singing and Cleburne County Singing</t>
  </si>
  <si>
    <t>2024 location set to Alpharetta City Hall per 2023 minutes book</t>
  </si>
  <si>
    <t>2024 location updated per 2023 minutes book</t>
  </si>
  <si>
    <t>Cleburne County Convention (Aug, 3rd Sun) has been combined with this singing per 2023 minutes book</t>
  </si>
  <si>
    <t>http://atlantasacredharp.org/||TBA</t>
  </si>
  <si>
    <t>Singing moved to Sat before 3rd Sun in May per user submission</t>
  </si>
  <si>
    <t>Orlando</t>
  </si>
  <si>
    <t>Central Florida All-Day Sacred Harp Singing</t>
  </si>
  <si>
    <t>https://www.google.com/maps/place/St.+Paul's+Presbyterian+Church/@28.5860447,-81.4964446,11.17z/data=!4m6!3m5!1s0x88e770893848b8b5:0x7fb5f987dc21c91f!8m2!3d28.6018398!4d-81.3883789!16s%2Fg%2F1vk6_1gc?entry=ttu||St. Paul's Presbyterian Church, 4917 Eli St, Orlando, FL 32804</t>
  </si>
  <si>
    <t>&lt;iframe src="https://www.google.com/maps/embed?pb=!1m18!1m12!1m3!1d199758.44792243303!2d-81.49644459453822!3d28.586044735742!2m3!1f0!2f0!3f0!3m2!1i1024!2i768!4f13.1!3m3!1m2!1s0x88e770893848b8b5%3A0x7fb5f987dc21c91f!2sSt.%20Paul&amp;#39;s%20Presbyterian%20Church!5e0!3m2!1sen!2sus!4v1705381167432!5m2!1sen!2sus" width="600" height="450" style="border:0;" allowfullscreen="" loading="lazy" referrerpolicy="no-referrer-when-downgrade"&gt;&lt;/iframe&gt;</t>
  </si>
  <si>
    <t>Jan, 2nd Sun &amp; Sat before</t>
  </si>
  <si>
    <t>Start time adjusted per &lt;a href="https://www.facebook.com/cindy.tanner.77/posts/pfbid02WWq4y36Dmxwmp8hv1Mgnpi5Z1tTbBtUZMD6ESwe4L9PzqaBH6RMtxVwyh9XYMQ2Nl"&gt;2024 Facebook Post&lt;/a&gt;</t>
  </si>
  <si>
    <t>Singing brunch on Sunday morning.</t>
  </si>
  <si>
    <t>Central Ontario Convention</t>
  </si>
  <si>
    <t>Aug, 4th Sun &amp; Fri/Sat before</t>
  </si>
  <si>
    <t>&lt;iframe src="https://www.google.com/maps/embed?pb=!1m28!1m12!1m3!1d518447.6771629343!2d-80.00956265319624!3d43.54922582542465!2m3!1f0!2f0!3f0!3m2!1i1024!2i768!4f13.1!4m13!3e6!4m5!1s0x882b34a347c7d67d%3A0x5f64dfc25028ea25!2sFriends%20House%2C%2060%20Lowther%20Ave%2C%20Toronto%2C%20ON%20M5R%201C7%2C%20Canada!3m2!1d43.6703976!2d-79.3985555!4m5!1s0x882c0b0d70d0517d%3A0x602c25d03567b99e!2sDetweiler%20Meetinghouse%2C%203445%20Roseville%20Rd%2C%20Ayr%2C%20ON%20N0B%201E0%2C%20Canada!3m2!1d43.3386175!2d-80.4904018!5e0!3m2!1sen!2sus!4v1705622304331!5m2!1sen!2sus" width="600" height="450" style="border:0;" allowfullscreen="" loading="lazy" referrerpolicy="no-referrer-when-downgrade"&gt;&lt;/iframe&gt;</t>
  </si>
  <si>
    <t>Friday evening: Shenandoah Harmony — Saturday and Sunday: Sacred Harp (1991 Denson ed.)&lt;/br&gt;Friday evening and all day Saturday: Friends House&lt;/br&gt;All day Sunday: Detweiler Meeting House</t>
  </si>
  <si>
    <t>Added Sunday singing and location per user submission</t>
  </si>
  <si>
    <t>https://www.google.com/maps/dir/Friends+House,+60+Lowther+Ave,+Toronto,+ON+M5R+1C7,+Canada/Detweiler+Meetinghouse,+3445+Roseville+Rd,+Ayr,+ON+N0B+1E0,+Canada/@43.5492258,-80.0095627,9.51z/data=!4m13!4m12!1m5!1m1!1s0x882b34a347c7d67d:0x5f64dfc25028ea25!2m2!1d-79.3985555!2d43.6703976!1m5!1m1!1s0x882c0b0d70d0517d:0x602c25d03567b99e!2m2!1d-80.4904018!2d43.3386175?entry=ttu||Fri/Sat: Friends House, 60 Lowther Ave, Toronto, ON M5R 1C7, Canada    and    Sun: Detweiler Meetinghouse, 3445 Roseville Rd, Ayr, ON N0B 1E0, Canada (Sun)</t>
  </si>
  <si>
    <t>&lt;a href="http://home.olemiss.edu/~mudws/miss.html"&gt;http://home.olemiss.edu/~mudws/miss.html&lt;/a&gt;, John Hollingsworth, 706-789-3916, john [at] billnet.org  — Regina Derstine, 601-953-1094, derstinetodd [at] yahoo.com — Mark Davis, 601-940-1612</t>
  </si>
  <si>
    <t>Henry McGuire, (601) 502-4634, &lt;a href="http://home.olemiss.edu/~mudws/miss.html"&gt;http://home.olemiss.edu/~mudws/miss.html&lt;/a&gt;</t>
  </si>
  <si>
    <t>Nuremberg</t>
  </si>
  <si>
    <t>Sep, Sat before Last Sun</t>
  </si>
  <si>
    <t>Nuremberg All Day Singing</t>
  </si>
  <si>
    <t>OK</t>
  </si>
  <si>
    <t>Oklahoma</t>
  </si>
  <si>
    <t>Norman</t>
  </si>
  <si>
    <t>University of Oklahoma Singing</t>
  </si>
  <si>
    <t>https://www.google.com/maps/place/Catlett+Music+Center,+500+W+Boyd+St,+Norman,+OK+73069/@35.2458166,-97.6541739,10.68z/data=!4m6!3m5!1s0x87b269d2048f62d7:0x14f38891f1ded8aa!8m2!3d35.2105967!4d-97.4485598!16s%2Fg%2F1ptw57gbb?entry=ttu||Cattlett Music Center, 500 W Boyd St, Norman, OK 73069</t>
  </si>
  <si>
    <t>&lt;iframe src="https://www.google.com/maps/embed?pb=!1m18!1m12!1m3!1d260225.1766076779!2d-97.65417385717656!3d35.24581657093337!2m3!1f0!2f0!3f0!3m2!1i1024!2i768!4f13.1!3m3!1m2!1s0x87b269d2048f62d7%3A0x14f38891f1ded8aa!2sCatlett%20Music%20Center%2C%20500%20W%20Boyd%20St%2C%20Norman%2C%20OK%2073069!5e0!3m2!1sen!2sus!4v1705818294725!5m2!1sen!2sus" width="600" height="450" style="border:0;" allowfullscreen="" loading="lazy" referrerpolicy="no-referrer-when-downgrade"&gt;&lt;/iframe&gt;</t>
  </si>
  <si>
    <t>Singing added per &lt;a href="https://www.facebook.com/groups/288062357886428/posts/25529997469932902/"&gt;Facebook post&lt;/a&gt;</t>
  </si>
  <si>
    <t>35.210544, -97.448622</t>
  </si>
  <si>
    <t>Moved to 3rd weekend per &lt;a href="https://www.facebook.com/groups/288062357886428/posts/25531145796484736/"&gt;Facebook post&lt;/a&gt;</t>
  </si>
  <si>
    <t>Moved to 2nd weekend per &lt;a href="https://www.facebook.com/groups/288062357886428/posts/25531145796484736/"&gt;Facebook post&lt;/a&gt;</t>
  </si>
  <si>
    <t>Contact info updated per &lt;a href="https://www.facebook.com/AlabamaStateCouncilontheArts/posts/pfbid02cUUwb8JcwV5JWo4gRoF1xYJ7mQW3wrGu4toFro8HCcWrEU6V4Pzd1A2UgFrJ4DeFl"&gt;Facebook post&lt;/a&gt;</t>
  </si>
  <si>
    <t>https://www.google.com/maps/place/Gleis+21/@48.1818346,16.3109521,12.63z/data=!4m6!3m5!1s0x476da9dec0b4444f:0xde5aa3a06ed8fdf5!8m2!3d48.1789993!4d16.386166!16s%2Fg%2F11h_d7b2ly?entry=ttu||Gleis 21, Bloch-Bauer-Promenade 22, Vienna, 1100, Austria</t>
  </si>
  <si>
    <t>&lt;iframe src="https://www.google.com/maps/embed?pb=!1m18!1m12!1m3!1d55199.430162914636!2d16.310952075579614!3d48.181834613216616!2m3!1f0!2f0!3f0!3m2!1i1024!2i768!4f13.1!3m3!1m2!1s0x476da9dec0b4444f%3A0xde5aa3a06ed8fdf5!2sGleis%2021!5e0!3m2!1sen!2sus!4v1706329872967!5m2!1sen!2sus" width="600" height="450" style="border:0;" allowfullscreen="" loading="lazy" referrerpolicy="no-referrer-when-downgrade"&gt;&lt;/iframe&gt;</t>
  </si>
  <si>
    <t>Location updated per &lt;a href="https://www.facebook.com/events/1500297777476928/"&gt;2024 Facebook event&lt;/a&gt;</t>
  </si>
  <si>
    <t>48.178993, 16.386151</t>
  </si>
  <si>
    <t>Elder Gerald Hand Memorial</t>
  </si>
  <si>
    <t>&lt;a href="http://singings.texasfasola.org/annualsingings.html"&gt;singings.texasfasola.org&lt;/a&gt;, &lt;a href="https://ccms.music.baylor.edu/programs/sacred-harp-sing"&gt;https://ccms.music.baylor.edu/programs/sacred-harp-sing&lt;/a&gt;, &lt;a href="https://groups.google.com/g/fasola-singings/c/Ky4UX-N4ifI"&gt;2024 post&lt;/a&gt;</t>
  </si>
  <si>
    <t>chair [at] bayareasacredharp.org, &lt;a href="https://bayareasacredharp.org/all-day-singings/"&gt;https://bayareasacredharp.org/all-day-singings/&lt;/a&gt;, &lt;a href="https://www.facebook.com/events/879081070620426"&gt;2024 Facebook event&lt;/a&gt;</t>
  </si>
  <si>
    <t>Pacifica</t>
  </si>
  <si>
    <t>11am</t>
  </si>
  <si>
    <t>Sunday Christian Harmony singing</t>
  </si>
  <si>
    <t>Added Shenandoah Harmony and adjusted time per &lt;a href="https://www.facebook.com/events/1046595456677725/"&gt;2024 Facebook event&lt;/a&gt;</t>
  </si>
  <si>
    <t>Greenwood</t>
  </si>
  <si>
    <t>Greenwood County Singing</t>
  </si>
  <si>
    <t>34.184280, -82.149585</t>
  </si>
  <si>
    <t>Introductory class at 9:30 am. Traditional dinner on the grounds. Old Fellowship Hall is downstairs from the Sanctuary or ground floor from the back of the Church.&lt;/br&gt;Go 4 blocks south of Uptown to the second traffic light and turn left on E Creswell Avenue. Go five blocks and ILC is in the fork of the road.</t>
  </si>
  <si>
    <t>https://www.google.com/maps/place/Immanuel+Lutheran+Church/@34.2164607,-82.2518489,10.75z/data=!4m6!3m5!1s0x88f80169e0488cc5:0xb627dc1cd59fe371!8m2!3d34.1842094!4d-82.1496535!16s%2Fg%2F1th0c8ts?entry=ttu||Immanuel Lutheran Church, 501 E Creswell Ave, Greenwood, SC 29646</t>
  </si>
  <si>
    <t>&lt;iframe src="https://www.google.com/maps/embed?pb=!1m18!1m12!1m3!1d251103.96832705662!2d-82.25184893821513!3d34.21646066991734!2m3!1f0!2f0!3f0!3m2!1i1024!2i768!4f13.1!3m3!1m2!1s0x88f80169e0488cc5%3A0xb627dc1cd59fe371!2sImmanuel%20Lutheran%20Church!5e0!3m2!1sen!2sus!4v1707875392045!5m2!1sen!2sus" width="600" height="450" style="border:0;" allowfullscreen="" loading="lazy" referrerpolicy="no-referrer-when-downgrade"&gt;&lt;/iframe&gt;</t>
  </si>
  <si>
    <t>Moved to 4th weekend per &lt;a href="https://www.christianharmony.org/schedule.html"&gt;https://www.christianharmony.org/schedule.html&lt;/a&gt; and &lt;a href="https://swangathering.com/"&gt;https://swangathering.com/&lt;/a&gt;</t>
  </si>
  <si>
    <t>Coincides with Old-Time Week and changes from year to year. Be sure to check listings for date changes.</t>
  </si>
  <si>
    <t>&lt;a href="https://sacredharp.uk/"&gt;sacredharp.uk&lt;/a&gt;, &lt;a href="https://www.facebook.com/events/1869005886888861"&gt;2024 Facebook event&lt;/a&gt;</t>
  </si>
  <si>
    <t>Likely not happening. I can't find any indiciation of this singing resuming since 2020.</t>
  </si>
  <si>
    <t>portlandsacredharp [at] gmail.com, &lt;a href="https://www.facebook.com/groups/portlandsacredharp"&gt;Portland Sacred Harp on Facebook&lt;/a&gt;, and &lt;a href="https://www.facebook.com/events/3750877001902202/"&gt;2024 Facebook event&lt;/a&gt;</t>
  </si>
  <si>
    <t>Kevin Barrans /kbarrans [at] gmail.com, &lt;a href="https://www.facebook.com/events/2725461467617513/"&gt;2024 Facebook event&lt;/a&gt;</t>
  </si>
  <si>
    <t>&lt;a href="https://www.facebook.com/groups/209263802422031/"&gt;Olympia Shape Note&lt;/a&gt;, &lt;a href="https://www.facebook.com/events/288375447595050/"&gt;2024 Facebook event&lt;/a&gt;</t>
  </si>
  <si>
    <t>&lt;a href="&lt;a href="https://www.facebook.com/events/288375447595050/"&gt;2024 Facebook event&lt;/a&gt; added</t>
  </si>
  <si>
    <t>&lt;a href="https://sacredharp.uk/"&gt;https://sacredharp.uk/&lt;/a&gt;, &lt;a href="https://www.facebook.com/events/697340419241671/"&gt;2024 Facebook event&lt;/a&gt;</t>
  </si>
  <si>
    <t>Location changed to Holly Springs PBC for 2024 per &lt;a href="https://www.facebook.com/groups/288062357886428/posts/25738000239132623/"&gt;Pam's comment on Facebook post&lt;/a&gt;</t>
  </si>
  <si>
    <t>33.928248, -84.115133</t>
  </si>
  <si>
    <t>Location updated per &lt;a href="https://www.facebook.com/groups/45458433401/posts/10160397474608402/"&gt;Facebook post&lt;/a&gt;</t>
  </si>
  <si>
    <t>Oscar McGuire . 478-955-6135 (text preferred) - Contact Oscar with any questions. &lt;a href="http://atlantasacredharp.org"&gt;http://atlantasacredharp.org&lt;/a&gt;, &lt;a href="https://www.facebook.com/groups/45458433401/posts/10160397474608402/"&gt;2024 Facebook post&lt;/a&gt;</t>
  </si>
  <si>
    <t>For 2024 only, Vienna will fill in for Cologne’s cancelled all-day singing date with the first Vienna All-Day!&lt;/br&gt;On Sunday, there will be a half-day Shenandoah Harmony singing starting at 10am.</t>
  </si>
  <si>
    <t>https://www.google.com/maps/dir/Episcopal+Church+of+the+Ascension,+633+Sligo+Ave,+Silver+Spring,+MD+20910/Lacey+Woods+Park,+1200+N+George+Mason+Dr,+Arlington,+VA+22205/@38.9396274,-77.1194241,11.51z/data=!4m14!4m13!1m5!1m1!1s0x89b7c8a3fcee3a39:0x987bc78f2bbf7494!2m2!1d-77.0155695!2d38.9913122!1m5!1m1!1s0x89b7b4478f30c999:0xd6f55298cc55e26f!2m2!1d-77.126487!2d38.8839202!3e0?entry=ttu||Sat: Church of the Ascension, 633 Sligo Ave, Silver Spring, MD 20910 --- Sun:Lacey Woods Park, 1200 N George Mason Dr, Arlington, VA 22205</t>
  </si>
  <si>
    <t>&lt;iframe src="https://www.google.com/maps/embed?pb=!1m28!1m12!1m3!1d139094.47770600833!2d-77.11942413986382!3d38.93962740668684!2m3!1f0!2f0!3f0!3m2!1i1024!2i768!4f13.1!4m13!3e0!4m5!1s0x89b7c8a3fcee3a39%3A0x987bc78f2bbf7494!2sEpiscopal%20Church%20of%20the%20Ascension%2C%20633%20Sligo%20Ave%2C%20Silver%20Spring%2C%20MD%2020910!3m2!1d38.991312199999996!2d-77.0155695!4m5!1s0x89b7b4478f30c999%3A0xd6f55298cc55e26f!2sLacey%20Woods%20Park%2C%201200%20N%20George%20Mason%20Dr%2C%20Arlington%2C%20VA%2022205!3m2!1d38.8839202!2d-77.126487!5e0!3m2!1sen!2sus!4v1710207884455!5m2!1sen!2sus" width="600" height="450" style="border:0;" allowfullscreen="" loading="lazy" referrerpolicy="no-referrer-when-downgrade"&gt;&lt;/iframe&gt;</t>
  </si>
  <si>
    <t>Valdosta</t>
  </si>
  <si>
    <t>Valdosta Sacred Harp All-Day Sing</t>
  </si>
  <si>
    <t>9:15am-2pm</t>
  </si>
  <si>
    <t>https://www.google.com/maps/place/Polwarth+Parish+Church/@55.7842959,-3.539079,8.71z/data=!4m6!3m5!1s0x4887c700c8e542e9:0xa4d3eb7488382dec!8m2!3d55.9338256!4d-3.2236359!16s%2Fg%2F1tjwh9yy?hl=en&amp;entry=ttu||Polwarth Parish Church, 36-38 Polwarth Terrace, Edinburgh EH11 1LU, United Kingdom</t>
  </si>
  <si>
    <t>&lt;iframe src="https://www.google.com/maps/embed?pb=!1m18!1m12!1m3!1d703022.6484301541!2d-3.5390789714896402!3d55.78429590433905!2m3!1f0!2f0!3f0!3m2!1i1024!2i768!4f13.1!3m3!1m2!1s0x4887c700c8e542e9%3A0xa4d3eb7488382dec!2sPolwarth%20Parish%20Church!5e0!3m2!1sen!2sus!4v1711072392182!5m2!1sen!2sus" width="600" height="450" style="border:0;" allowfullscreen="" loading="lazy" referrerpolicy="no-referrer-when-downgrade"&gt;&lt;/iframe&gt;</t>
  </si>
  <si>
    <t>55.933822, -3.223632</t>
  </si>
  <si>
    <t>9am-2:30pm</t>
  </si>
  <si>
    <t>34.545558, -84.005683</t>
  </si>
  <si>
    <t>Eastern Townships Sacred Harp All-Day Singing</t>
  </si>
  <si>
    <t>https://www.google.com/maps/place/2081+Chem.+de+Ways+Mills,+Barnston-Ouest,+QC+J0B+1C0,+Canada/@45.1553529,-72.5324494,9.25z/data=!4m6!3m5!1s0x4cb65d11e4a733c5:0x26f300e9ec3a05f9!8m2!3d45.1002003!4d-71.9760296!16s%2Fg%2F11hzlc_j0x?entry=ttu||Way's Mills Community Centre, 2081 Chemin de Way's Mills, Barnston-Ouest, QC J1A, Canada</t>
  </si>
  <si>
    <t>Barnston-Ouest</t>
  </si>
  <si>
    <t>&lt;iframe src="https://www.google.com/maps/embed?pb=!1m18!1m12!1m3!1d605675.2112690988!2d-72.53244940281041!3d45.155352924205616!2m3!1f0!2f0!3f0!3m2!1i1024!2i768!4f13.1!3m3!1m2!1s0x4cb65d11e4a733c5%3A0x26f300e9ec3a05f9!2s2081%20Chem.%20de%20Ways%20Mills%2C%20Barnston-Ouest%2C%20QC%20J0B%201C0%2C%20Canada!5e0!3m2!1sen!2sus!4v1712018878312!5m2!1sen!2sus" width="600" height="450" style="border:0;" allowfullscreen="" loading="lazy" referrerpolicy="no-referrer-when-downgrade"&gt;&lt;/iframe&gt;</t>
  </si>
  <si>
    <t>45.100206, -71.975988</t>
  </si>
  <si>
    <t>Dora</t>
  </si>
  <si>
    <t>Ann Arbor</t>
  </si>
  <si>
    <t>Ann Arbor Singing</t>
  </si>
  <si>
    <t>https://www.google.com/maps/place/Burton+Memorial+Tower,+230+N+Ingalls+St,+Ann+Arbor,+MI+48109/@42.2850651,-83.7756877,14.08z/data=!4m6!3m5!1s0x883cae40fe8dc425:0xa93444c180e900b8!8m2!3d42.2794141!4d-83.7387148!16zL20vMDduNTRk?entry=ttu||Burton Memorial Tower, Room 506 (on University of Michigan Campus), 230 N. Ingalls Street, Ann Arbor, MI 48109</t>
  </si>
  <si>
    <t>&lt;iframe src="https://www.google.com/maps/embed?pb=!1m18!1m12!1m3!1d22288.220970893097!2d-83.7756876741499!3d42.28506507734678!2m3!1f0!2f0!3f0!3m2!1i1024!2i768!4f13.1!3m3!1m2!1s0x883cae40fe8dc425%3A0xa93444c180e900b8!2sBurton%20Memorial%20Tower%2C%20230%20N%20Ingalls%20St%2C%20Ann%20Arbor%2C%20MI%2048109!5e0!3m2!1sen!2sus!4v1712380167431!5m2!1sen!2sus" width="600" height="450" style="border:0;" allowfullscreen="" loading="lazy" referrerpolicy="no-referrer-when-downgrade"&gt;&lt;/iframe&gt;</t>
  </si>
  <si>
    <t>42.279419, -83.738696</t>
  </si>
  <si>
    <t>&lt;a href="https://groups.google.com/g/fasola-singings/c/wvfAXmItaH0"&gt;2024 listserv post&lt;/a&gt;</t>
  </si>
  <si>
    <t>&lt;a href="http://shape-note.uchicago.edu/"&gt;http://shape-note.uchicago.edu/&lt;/a&gt;, &lt;a href="https://groups.google.com/g/fasola-singings/c/wbkBpO8v94I"&gt;2024 listserv post&lt;/a&gt;</t>
  </si>
  <si>
    <t>Bill Hogan, &lt;a href="https://groups.google.com/g/fasola-singings/c/oKQfcX4b4Fo"&gt;2024 listserv post&lt;/a&gt;, &lt;a href="https://www.facebook.com/events/3621082948183043/"&gt;2024 Facebook event&lt;/a&gt;</t>
  </si>
  <si>
    <t>Riley Lee, &lt;a href="https://www.facebook.com/groups/123791551021737"&gt;Hoboken Sacred Harp Facebook&lt;/a&gt;, &lt;a href="https://groups.google.com/g/fasola-singings/c/bsmoc56oRnI"&gt;2024 listserv post&lt;/a&gt;</t>
  </si>
  <si>
    <t>trcopes [at] gmail.com, &lt;a href="https://groups.google.com/g/fasola-singings/c/X0UNtJx8VRg"&gt;2024 listserv post&lt;/a&gt;</t>
  </si>
  <si>
    <t>&lt;a href="http://home.olemiss.edu/~mudws/miss.html"&gt;http://home.olemiss.edu/~mudws/miss.html&lt;/a&gt;, &lt;a href="https://groups.google.com/g/fasola-singings/c/XXSh_kuzrg0"&gt;2024 listserv post&lt;/a&gt;</t>
  </si>
  <si>
    <t>&lt;a href="http://singings.texasfasola.org/annualsingings.html"&gt;singings.texasfasola.org&lt;/a&gt;, &lt;a href="https://www.facebook.com/events/338206412120933"&gt;2024 Facebook event&lt;/a&gt;, &lt;a href="https://groups.google.com/g/fasola-singings/c/oXBbL7J9leo"&gt;2024 listserv post&lt;/a&gt;</t>
  </si>
  <si>
    <t>&lt;a href="http://singings.texasfasola.org/annualsingings.html"&gt;singings.texasfasola.org&lt;/a&gt;, Gaylon Powell, &lt;a href="https://groups.google.com/g/fasola-singings/c/FNVCAFAuLB8"&gt;2023 listserv post&lt;/a&gt;</t>
  </si>
  <si>
    <t>Singing added per &lt;a href="https://groups.google.com/g/fasola-singings/c/oKQfcX4b4Fo"&gt;2024 listserv post&lt;/a&gt;</t>
  </si>
  <si>
    <t>Singing added per &lt;a href="https://groups.google.com/g/fasola-singings/c/wvfAXmItaH0"&gt;2024 listserv post&lt;/a&gt;</t>
  </si>
  <si>
    <t>Info added per &lt;a href="https://groups.google.com/g/fasola-singings/c/vLNIRUF50vc"&gt;listserv post&lt;/a&gt;</t>
  </si>
  <si>
    <t>Added per &lt;a href="https://groups.google.com/g/fasola-singings/c/p6LJbSQ9-LM"&gt;listserv post&lt;/a&gt;</t>
  </si>
  <si>
    <t>Location added per &lt;a href="https://groups.google.com/g/fasola-singings/c/HgD07opo4yg"&gt;listserv post&lt;/a&gt;</t>
  </si>
  <si>
    <t>Singings consolidated to single listing. Location and books updated per &lt;a href="https://groups.google.com/g/fasola-singings/c/al5nbBweUeQ"&gt;listserv post&lt;/a&gt;</t>
  </si>
  <si>
    <t>Location added per &lt;a href="https://groups.google.com/g/fasola-singings/c/EUwKx5rSQ2Q"&gt;listserv post&lt;/a&gt;</t>
  </si>
  <si>
    <t>Location updated per &lt;a href="https://groups.google.com/g/fasola-singings/c/u8jobW4cTEY"&gt;listserv post&lt;/a&gt;</t>
  </si>
  <si>
    <t>Cassie Allen - 205 916 8406, &lt;a href="https://www.facebook.com/cindy.tanner.77/posts/pfbid02WWq4y36Dmxwmp8hv1Mgnpi5Z1tTbBtUZMD6ESwe4L9PzqaBH6RMtxVwyh9XYMQ2Nl"&gt;2024 Facebook post&lt;/a&gt;</t>
  </si>
  <si>
    <t>Danny Creel, &lt;a href="https://www.facebook.com/groups/288062357886428/posts/25585895514343097/"&gt;2024 post&lt;/a&gt;</t>
  </si>
  <si>
    <t>Nicholas Thompson, &lt;a href="https://www.facebook.com/zena.tucker/posts/pfbid035ggmCammbrKuWL8sZt1XocBCNM9Y9ivegCdj2KEhycuvKTxtDGRDBPhKjFfgYfkxl"&gt;2024 Facebook post&lt;/a&gt;</t>
  </si>
  <si>
    <t xml:space="preserve"> &lt;a href="http://www.sacredharpbook.com/calendar-of-singings/"&gt;sacredharpbook.com/calendar-of-singings/&lt;/a&gt;, &lt;a href="https://www.facebook.com/groups/288062357886428/posts/25288009550798363/"&gt;2023 Facebook post&lt;/a&gt;</t>
  </si>
  <si>
    <t>Changed back to 2 day convention and separate locations per &lt;a href="https://www.facebook.com/events/745499727521455"&gt;2024 Facebook event&lt;/a&gt;</t>
  </si>
  <si>
    <t>Jonathan Surrency, &lt;a href="https://www.facebook.com/events/919349106538594/"&gt;2024 Facebook event&lt;/a&gt;</t>
  </si>
  <si>
    <t>See &lt;a href="https://www.davidbrodeur.com/index.php/westside-park-pavilion"&gt;2024 event Page&lt;/a&gt; for detailed directions.</t>
  </si>
  <si>
    <t>Days of books switched from minutes book and time added, both based on &lt;a href="https://www.facebook.com/events/946492516362716/"&gt;Facebook event&lt;/a&gt;</t>
  </si>
  <si>
    <t>&lt;a href="https://www.facebook.com/events/3750877001902202/"&gt;Facebook event&lt;/a&gt; added</t>
  </si>
  <si>
    <t>&lt;a href="https://www.facebook.com/events/1145287480229842/"&gt;2024 Facebook event&lt;/a&gt;</t>
  </si>
  <si>
    <t>Helen Brown, &lt;a href="https://groups.google.com/g/fasola-singings/c/p6LJbSQ9-LM"&gt;listserv post&lt;/a&gt;, &lt;a href="https://www.facebook.com/events/1417686172167140/"&gt;2024 Facebook event&lt;/a&gt;</t>
  </si>
  <si>
    <t>&lt;a href="https://www.facebook.com/events/1696680740777415/"&gt;2023 Facebook event&lt;/a&gt;</t>
  </si>
  <si>
    <t>Singing added per &lt;a href="https://www.facebook.com/events/274074288358308/"&gt;2023 Facebook event&lt;/a&gt;</t>
  </si>
  <si>
    <t>&lt;a href="https://www.facebook.com/events/433292052501517/"&gt;2024 Facebook event&lt;/a&gt;</t>
  </si>
  <si>
    <t>Singing added per &lt;a href="https://www.facebook.com/events/433292052501517/"&gt;2024 Facebook event&lt;/a&gt;</t>
  </si>
  <si>
    <t>Location added per &lt;a href="https://www.facebook.com/events/1622757971543182/"&gt;2023 Facebook event&lt;/a&gt;</t>
  </si>
  <si>
    <t>&lt;a href="https://www.facebook.com/groups/397320923953301"&gt;Sacred Harp Nürnberg Facebook Group&lt;/a&gt;, &lt;a href="https://www.facebook.com/events/748724496861232"&gt;2024 Facebook event&lt;/a&gt;</t>
  </si>
  <si>
    <t>&lt;a href="https://www.facebook.com/events/1036505297531459/"&gt;2023 event&lt;/a&gt; added</t>
  </si>
  <si>
    <t>&lt;a href="https://www.facebook.com/events/325007783518987/"&gt;2023 Facebook event&lt;/a&gt; added</t>
  </si>
  <si>
    <t>Date moved back 1 week per &lt;a href="https://www.facebook.com/events/835899051470594/"&gt;2023 Facebook event&lt;/a&gt;</t>
  </si>
  <si>
    <t>Location updated per &lt;a href="https://www.facebook.com/events/710921180443722/"&gt;2023 Facebook event&lt;/a&gt;</t>
  </si>
  <si>
    <t>&lt;a href="https://www.facebook.com/events/717914716870691/"&gt;2023 Facebook event&lt;/a&gt;</t>
  </si>
  <si>
    <t>Singing added per &lt;a href="https://www.facebook.com/events/717914716870691/"&gt;2023 Facebook event&lt;/a&gt;</t>
  </si>
  <si>
    <t>Location updated per &lt;a href="https://www.facebook.com/events/3150311385272315"&gt;2023 Facebook event&lt;/a&gt;</t>
  </si>
  <si>
    <t>Singing added per &lt;a href="https://www.facebook.com/events/357663870000724/"&gt;2023 Facebook event&lt;/a&gt;</t>
  </si>
  <si>
    <t>pennsylvaniasacredharp.com, &lt;a href="https://www.facebook.com/groups/288062357886428/posts/26008269475439030/"&gt;2024 Facebook post&lt;/a&gt;, &lt;a href="https://www.facebook.com/events/345549561826019/"&gt;2024 Facebook event&lt;/a&gt;</t>
  </si>
  <si>
    <t>Pam Nunn, &lt;a href="https://www.facebook.com/events/738271101789117/"&gt;2024 Facebook Event&lt;/a&gt;</t>
  </si>
  <si>
    <t>10am EST</t>
  </si>
  <si>
    <t>chicagosingings [at] gmail.com, &lt;a href="http://shape-note.uchicago.edu/annual.html"&gt;http://shape-note.uchicago.edu/annual.html&lt;/a&gt;, &lt;a href="https://groups.google.com/g/fasola-singings/c/imndhJmsxgY"&gt;2024 Listserv post&lt;/a&gt;</t>
  </si>
  <si>
    <t>Moved to 3rd Sunday per user submission.</t>
  </si>
  <si>
    <t>&lt;iframe src="https://www.google.com/maps/embed?pb=!1m18!1m12!1m3!1d82487.12193027846!2d-86.59163970569891!3d34.72675730079127!2m3!1f0!2f0!3f0!3m2!1i1024!2i768!4f13.1!3m3!1m2!1s0x8862137876166c73%3A0x7ac2b557ee03a2c!2sBurritt%20on%20the%20Mountain!5e0!3m2!1sen!2sus!4v1671686343780!5m2!1sen!2sus" width="600" height="450" style="border:0;" allowfullscreen="" loading="lazy" referrerpolicy="no-referrer-when-downgrade"&gt;&lt;/iframe&gt;</t>
  </si>
  <si>
    <t>https://www.google.com/maps/place/Burritt+on+the+Mountain/@34.7267573,-86.5916397,12.35z/data=!4m5!3m4!1s0x8862137876166c73:0x7ac2b557ee03a2c!8m2!3d34.715948!4d-86.539693||Burritt on the Mountain, 3101 Burritt Dr SE, Huntsville, AL 35801</t>
  </si>
  <si>
    <t>Location updated per &lt;a href="https://groups.google.com/g/fasola-singings/c/YVQyxIoDGNw"&gt;2024 Listserv post&lt;/a&gt;</t>
  </si>
  <si>
    <t>34.715972, -86.539720</t>
  </si>
  <si>
    <t>2024 singing resumed per &lt;a href="https://www.facebook.com/groups/288062357886428/posts/26220927304173245/"&gt;Facebook post&lt;/a&gt;</t>
  </si>
  <si>
    <t>Matt Bell, &lt;a href="https://www.facebook.com/groups/288062357886428/posts/26220927304173245/"&gt;2024 Facebook post&lt;/a&gt;</t>
  </si>
  <si>
    <t>11am-4pm</t>
  </si>
  <si>
    <t>Allison Langston - osageorange86 [at] gmail.com, &lt;a href="https://www.facebook.com/events/1381759275817218/"&gt;2024 Facebook event&lt;/a&gt;</t>
  </si>
  <si>
    <t>https://www.google.com/maps/place/Shiloh+Museum+of+Ozark+History/@36.2355797,-94.2276471,11.65z/data=!4m6!3m5!1s0x87c96b4a1d5c0893:0x7a1e0d905aec6616!8m2!3d36.186589!4d-94.131975!16zL20vMDl3bjQ5?entry=ttu||Shiloh Museum of Ozark History, 118 W Johnson Ave, Springdale, AR 72764</t>
  </si>
  <si>
    <t>&lt;iframe src="https://www.google.com/maps/embed?pb=!1m18!1m12!1m3!1d131003.24240153412!2d-94.2276470504568!3d36.235579726678054!2m3!1f0!2f0!3f0!3m2!1i1024!2i768!4f13.1!3m3!1m2!1s0x87c96b4a1d5c0893%3A0x7a1e0d905aec6616!2sShiloh%20Museum%20of%20Ozark%20History!5e0!3m2!1sen!2sus!4v1713928249828!5m2!1sen!2sus" width="600" height="450" style="border:0;" allowfullscreen="" loading="lazy" referrerpolicy="no-referrer-when-downgrade"&gt;&lt;/iframe&gt;</t>
  </si>
  <si>
    <t>36.186552, -94.132019</t>
  </si>
  <si>
    <t>Springdale</t>
  </si>
  <si>
    <t>Rocky Mountain Convention</t>
  </si>
  <si>
    <t>Changed back to 2-day convention per &lt;a href="https://www.facebook.com/events/1127795314913347/"&gt;2024 Facebook event&lt;/a&gt;</t>
  </si>
  <si>
    <t>&lt;a href="https://www.sacredharpcolorado.org/"&gt;sacredharpcolorado.org&lt;/a&gt;, Convention Chairperson: coloradofasola [at] gmail.com, &lt;a href="https://www.facebook.com/events/1127795314913347/"&gt;2024 Facebook event&lt;/a&gt;</t>
  </si>
  <si>
    <t>&lt;a href="https://www.facebook.com/events/854020460067601/"&gt;2024 Facebook event&lt;/a&gt;</t>
  </si>
  <si>
    <t>https://www.google.com/maps/place/First+Christian+Church+of+Valdosta/@30.8501062,-83.3490485,11.65z/data=!4m6!3m5!1s0x88ee6704001dc38d:0xce1ee7aaf585fdc4!8m2!3d30.8540783!4d-83.2880221!16s%2Fg%2F1thf9d0v?entry=ttu||First Christian Church, 1905 N Patterson St, Valdosta, GA 31602</t>
  </si>
  <si>
    <t>&lt;iframe src="https://www.google.com/maps/embed?pb=!1m18!1m12!1m3!1d139435.58983011224!2d-83.34904853628241!3d30.850106203180246!2m3!1f0!2f0!3f0!3m2!1i1024!2i768!4f13.1!3m3!1m2!1s0x88ee6704001dc38d%3A0xce1ee7aaf585fdc4!2sFirst%20Christian%20Church%20of%20Valdosta!5e0!3m2!1sen!2sus!4v1714789181947!5m2!1sen!2sus" width="600" height="450" style="border:0;" allowfullscreen="" loading="lazy" referrerpolicy="no-referrer-when-downgrade"&gt;&lt;/iframe&gt;</t>
  </si>
  <si>
    <t>Location updated per &lt;a href="https://www.facebook.com/events/1145287480229842/"&gt;2024 Facebook event&lt;/a&gt;</t>
  </si>
  <si>
    <t>30.854039, -83.287911</t>
  </si>
  <si>
    <t>Saturday: Sacred Harp&lt;/br&gt;Sunday: Southern Harmony&lt;/br&gt;Lunch served both days at noon at Woodmen of the World building at 1005 Poplar Street.</t>
  </si>
  <si>
    <t>Details updated per &lt;a href="https://www.facebook.com/groups/288062357886428/posts/26312443291688312/"&gt;2024 Facebook post&lt;/a&gt;</t>
  </si>
  <si>
    <t>montrealsacredharp [at] gmail.com, &lt;a href="https://www.facebook.com/events/444476994900105"&gt;2024 Event&lt;/a&gt;</t>
  </si>
  <si>
    <t>https://www.google.com/maps/place/New+Hope+Senior+Citizen's+Center/@45.482694,-73.695483,12.19z/data=!3m1!5s0x4cc9174adaf65199:0xb352ff597653863a!4m10!1m2!2m1!1sNew+Hope+Senior+Citizens'+Centre,+6225+Avenue+Godfrey,+Montr%C3%A9al,+QC+H4B+1K3,+CanadaH3J+1L8,+Canada!3m6!1s0x4cc9174ad6b83c07:0x4fb53180a02eef0c!8m2!3d45.4679357!4d-73.6271099!15sCmNOZXcgSG9wZSBTZW5pb3IgQ2l0aXplbnMnIENlbnRyZSwgNjIyNSBBdmVudWUgR29kZnJleSwgTW9udHLDqWFsLCBRQyBINEIgMUszLCBDYW5hZGFIM0ogMUw4LCBDYW5hZGGSARVzZW5pb3JfY2l0aXplbl9jZW50ZXLgAQA!16s%2Fg%2F1v16pxz4?entry=ttu||New Hope Senior Citizens' Centre, 6225 Avenue Godfrey, Montréal, QC H4B 1K3, CanadaH3J 1L8, Canada</t>
  </si>
  <si>
    <t>&lt;iframe src="https://www.google.com/maps/embed?pb=!1m18!1m12!1m3!1d109556.12905485179!2d-73.71886434302567!3d45.490742501569045!2m3!1f0!2f0!3f0!3m2!1i1024!2i768!4f13.1!3m3!1m2!1s0x4cc9174ad6b83c07%3A0x4fb53180a02eef0c!2sNew%20Hope%20Senior%20Citizen&amp;#39;s%20Center!5e0!3m2!1sen!2sus!4v1715054672557!5m2!1sen!2sus" width="600" height="450" style="border:0;" allowfullscreen="" loading="lazy" referrerpolicy="no-referrer-when-downgrade"&gt;&lt;/iframe&gt;</t>
  </si>
  <si>
    <t>Location updated per &lt;a href="https://www.facebook.com/events/444476994900105"&gt;2024 Event&lt;/a&gt;</t>
  </si>
  <si>
    <t>Singing school on Friday</t>
  </si>
  <si>
    <t>&lt;a href="http://www.bristolsacredharp.org/allday/"&gt;bristolsacredharp.org&lt;/a&gt;, &lt;a href="https://www.facebook.com/events/383222154466369/"&gt;2024 Facebook event&lt;/a&gt;</t>
  </si>
  <si>
    <t>Saturday 10:30am, Sunday 11:45am</t>
  </si>
  <si>
    <t>&lt;a href="https://www.facebook.com/groups/126240957475104"&gt;Tallahassee Sacred Harp Facebook group&lt;/a&gt;, &lt;a href="https://www.facebook.com/events/3503355899963756"&gt;2024 Facebook event&lt;/a&gt;</t>
  </si>
  <si>
    <t>Friday evening (7-9pm) singing from the Shenandoah Harmony, Saturday (10am-3pm) from the Cooper book</t>
  </si>
  <si>
    <t>&lt;a href="https://sacredharp.uk/"&gt;https://sacredharp.uk/&lt;/a&gt;, &lt;a href="https://www.facebook.com/events/1506873590186276/"&gt;2024 Facebook event&lt;/a&gt;</t>
  </si>
  <si>
    <t>Tommy Schultz or &lt;a href="http://www.stlfasola.org/"&gt;www.stlfasola.org&lt;/a&gt;, &lt;a href="https://www.facebook.com/groups/306868649480789/posts/2713699285464368"&gt;2024 post&lt;/a&gt;</t>
  </si>
  <si>
    <t>&lt;a href="https://sacredharp.uk/"&gt;sacredharp.uk&lt;/a&gt;, &lt;a href="https://newcastlesacredharp.co.uk/all-day/"&gt;https://newcastlesacredharp.co.uk/all-day/&lt;/a&gt;, &lt;a href="https://www.facebook.com/events/970014571180602/"&gt;2024 Facebook event&lt;/a&gt;</t>
  </si>
  <si>
    <t>&lt;a href="https://fasolamichigan.org/"&gt;fasolamichigan.org&lt;/a&gt;, &lt;a href="https://groups.google.com/g/fasola-singings/c/aCf4pGFO_IA/m/2SyDzQj6AgAJ"&gt;</t>
  </si>
  <si>
    <t>Dublin All-Day Sacred Harp Singing</t>
  </si>
  <si>
    <t>&lt;a href="https://www.facebook.com/events/343901238314427/"&gt;2024 Facebook event&lt;/a&gt;</t>
  </si>
  <si>
    <t>https://www.google.com/maps/place/The+Friary+Centre/@53.331582,-6.3214211,12.63z/data=!4m6!3m5!1s0x48670c2625577a27:0x5c4a820be28546b6!8m2!3d53.3442688!4d-6.2724548!16s%2Fg%2F11hbqpx_0g?entry=ttu||The Friary Centre, Cook Street, Dublin 8, Ireland</t>
  </si>
  <si>
    <t>&lt;iframe src="https://www.google.com/maps/embed?pb=!1m18!1m12!1m3!1d49438.67797539836!2d-6.321421134685827!3d53.331582020656136!2m3!1f0!2f0!3f0!3m2!1i1024!2i768!4f13.1!3m3!1m2!1s0x48670c2625577a27%3A0x5c4a820be28546b6!2sThe%20Friary%20Centre!5e0!3m2!1sen!2sus!4v1715304924673!5m2!1sen!2sus" width="600" height="450" style="border:0;" allowfullscreen="" loading="lazy" referrerpolicy="no-referrer-when-downgrade"&gt;&lt;/iframe&gt;</t>
  </si>
  <si>
    <t>Singing added per &lt;a href="https://www.facebook.com/events/343901238314427/"&gt;2024 Facebook event&lt;/a&gt;</t>
  </si>
  <si>
    <t>53.344282, -6.272445</t>
  </si>
  <si>
    <t>Sannox</t>
  </si>
  <si>
    <t>Sannox Singing</t>
  </si>
  <si>
    <t>Friday night and Saturday morning singing school, informal Sunday singing</t>
  </si>
  <si>
    <t xml:space="preserve">https://www.google.com/maps/place/Sannox+Christian+Centre/@55.7247967,-5.4448996,7.76z/data=!4m6!3m5!1s0x4889ec1a99a1de4f:0x38e701f9cbca34f7!8m2!3d55.663311!4d-5.154658!16s%2Fg%2F11gzw0rq0?hl=en&amp;entry=ttu||Sannox Christian Centre, Sannox Isle of Arran, Scotland, KA27 8JD, United Kingdom </t>
  </si>
  <si>
    <t>&lt;iframe src="https://www.google.com/maps/embed?pb=!1m18!1m12!1m3!1d1354995.662115615!2d-5.444899555150425!3d55.72479672803925!2m3!1f0!2f0!3f0!3m2!1i1024!2i768!4f13.1!3m3!1m2!1s0x4889ec1a99a1de4f%3A0x38e701f9cbca34f7!2sSannox%20Christian%20Centre!5e0!3m2!1sen!2sus!4v1715345366753!5m2!1sen!2sus" width="600" height="450" style="border:0;" allowfullscreen="" loading="lazy" referrerpolicy="no-referrer-when-downgrade"&gt;&lt;/iframe&gt;</t>
  </si>
  <si>
    <t>55.663313, -5.154706</t>
  </si>
  <si>
    <t>&lt;a href="https://sacredharp.uk/"&gt;sacredharp.uk&lt;/a&gt;, &lt;a href="https://www.facebook.com/events/3134540600010569"&gt;2024 Facebook event&lt;/a&gt;</t>
  </si>
  <si>
    <t>&lt;a href="https://sacredharp.uk/"&gt;sacredharp.uk&lt;/a&gt;, &lt;a href="https://www.facebook.com/events/938545524642394"&gt;2024 Facebook event&lt;/a&gt;</t>
  </si>
  <si>
    <t>&lt;a href="https://sacredharp.uk/"&gt;sacredharp.uk&lt;/a&gt;, &lt;a href="https://www.facebook.com/events/392525320021933"&gt;2024 Facebook event&lt;/a&gt;</t>
  </si>
  <si>
    <t>&lt;a href="https://sacredharp.uk/"&gt;sacredharp.uk&lt;/a&gt;, &lt;a href="http://www.oxfordsacredharp.org/"&gt;http://www.oxfordsacredharp.org/&lt;/a&gt;, &lt;a href="https://www.facebook.com/events/1479225296363086/"&gt;2024 Facebook event&lt;/a&gt;</t>
  </si>
  <si>
    <t>shapenotesscotland [at] gmail.com, &lt;a href="https://sacredharp.uk/"&gt;https://sacredharp.uk/&lt;/a&gt;, &lt;a href="https://www.facebook.com/events/943158230861233/"&gt;2024 Facebook event&lt;/a&gt;</t>
  </si>
  <si>
    <t>Caro Stamm-Reush or sacredharpberlin [at] gmail.com —&lt;a href="https://www.sacredharpberlin.de/all-day-singing.html"&gt;sacredharpberlin.de/all-day-singing.html&lt;/a&gt;, &lt;a href="https://www.facebook.com/events/7333218260093564/"&gt;2024 Facebook event&lt;/a&gt;</t>
  </si>
  <si>
    <t>&lt;a href="https://www.facebook.com/groups/288062357886428/posts/24231609556438373/"&gt;2024 Facebook post&lt;/a&gt;</t>
  </si>
  <si>
    <t>Original B.F. White Sacred Harp Singing Convention</t>
  </si>
  <si>
    <t>H. R. Avery Memorial Singing</t>
  </si>
  <si>
    <t>&lt;a href="https://www.facebook.com/groups/288062357886428/posts/26371428849123089/"&gt;2024 Facebook post&lt;/a&gt;</t>
  </si>
  <si>
    <t>John Plunkett or Oscar McGuire, &lt;a href="https://www.atlantasacredharp.org/"&gt;https://www.atlantasacredharp.org/&lt;/a&gt;</t>
  </si>
  <si>
    <t>Oscar McGuire, 478-955-6135 (text preferred), &lt;a href="https://www.atlantasacredharp.org/"&gt;https://www.atlantasacredharp.org/&lt;/a&gt;</t>
  </si>
  <si>
    <t>Moved to 4th weekend and updated location per &lt;a href="https://www.facebook.com/events/832256338967634/"&gt;2024 Facebook event&lt;/a&gt;</t>
  </si>
  <si>
    <t>https://www.google.com/maps/place/Trinity+Lutheran+Church/@41.2645796,-96.2137199,10.68z/data=!4m6!3m5!1s0x879391a481aecac9:0x5b7e370c571ecbbf!8m2!3d41.3173928!4d-95.9572473!16s%2Fg%2F1tfcj7vl?entry=ttu|| Trinity North Lutheran Church, 6340 N 30th St, Omaha, NE 68111</t>
  </si>
  <si>
    <t>&lt;iframe src="https://www.google.com/maps/embed?pb=!1m18!1m12!1m3!1d239510.08431427897!2d-96.21371985062277!3d41.26457959787091!2m3!1f0!2f0!3f0!3m2!1i1024!2i768!4f13.1!3m3!1m2!1s0x879391a481aecac9%3A0x5b7e370c571ecbbf!2sTrinity%20Lutheran%20Church!5e0!3m2!1sen!2sus!4v1715490712482!5m2!1sen!2sus" width="600" height="450" style="border:0;" allowfullscreen="" loading="lazy" referrerpolicy="no-referrer-when-downgrade"&gt;&lt;/iframe&gt;</t>
  </si>
  <si>
    <t>41.317340, -95.957169</t>
  </si>
  <si>
    <t>&lt;a href="https://www.facebook.com/groups/425512161122029"&gt;Omaha Shape-Note Singers Facebook&lt;/a&gt;, &lt;a href="https://www.facebook.com/events/832256338967634/"&gt;2024 Facebook event&lt;/a&gt;</t>
  </si>
  <si>
    <t>Charles Coulsto, &lt;a href="https://groups.google.com/g/fasola-singings/c/wtGuxGdTYkA"&gt;2024 listserv post&lt;/a&gt;</t>
  </si>
  <si>
    <t>Omaha</t>
  </si>
  <si>
    <t>Jun, Last Saturday</t>
  </si>
  <si>
    <t>Moved back to last Saturday per &lt;a href="https://www.facebook.com/events/710875444459400"&gt;2024 Facebook event&lt;/a&gt;</t>
  </si>
  <si>
    <t>&lt;a href="https://www.facebook.com/groups/1813676962174329/"&gt;Olympic Peninsula Sacred Harp Singers Facebook group&lt;/a&gt;, &lt;a href="https://www.facebook.com/events/710875444459400"&gt;2024 Facebook event&lt;/a&gt;</t>
  </si>
  <si>
    <t>2025 location updated per &lt;a href="https://sacredharp.uk/"&gt;https://sacredharp.uk/&lt;/a&gt;</t>
  </si>
  <si>
    <t>Sep, Last 5th Sun before Thanksgiving and Sat Before</t>
  </si>
  <si>
    <t>September 28-29, 2024</t>
  </si>
  <si>
    <t>&lt;add-to-calendar-button  name="Southwest Texas Convention, Fall Session"   location="Jarrell Memorial Park Community Center, 1651 CR 305, Jarrell, Texas"   description="9:30am; shapenotesingings.com"   options="'Apple','Google','iCal','Outlook.com'"   styleLight="--btn-background: #550000; --btn-text: #fff; --btn-shadow:#fff;" dates='[{"startDate":"2024-09-28", "endDate":"2024-09-28", "startTime":"09:30", "endTime":"15:00", "timeZone":"America/Chicago"}, {"startDate":"2024-09-29", "endDate":"2024-09-29", "startTime":"09:30", "endTime":"15:00", "timeZone":"America/Chicago"}]' &gt;&lt;/add-to-calendar-button&gt;</t>
  </si>
  <si>
    <t>Date updated per &lt;a href="https://groups.google.com/g/fasola-singings/c/eDuYhjw8IHo/m/N7Osfr7BDQAJ"&gt;listserv post&lt;/a&gt;</t>
  </si>
  <si>
    <t>Tarik Wareh, twareh [at] gmail.com, 518 630-1418, &lt;a href="https://groups.google.com/g/fasola-singings/c/z-G1l4IQs84"&gt;2024 listserv post&lt;/a&gt;</t>
  </si>
  <si>
    <t>&lt;a href="https://fasolamichigan.org"&gt;fasolamichigan.org&lt;/a&gt;, Martha Beverly, &lt;a href="https://groups.google.com/g/fasola-singings/c/I5RCcyDdcKI"&gt;2024 Listserv post&lt;/a&gt;</t>
  </si>
  <si>
    <t>Karen Rollins, &lt;a href="https://groups.google.com/g/fasola-singings/c/iUhTjykQ4xI"&gt;2024 Listserv post&lt;/a&gt;</t>
  </si>
  <si>
    <t>Port Wing</t>
  </si>
  <si>
    <t>South Shore of Lake Superior All-Day Singing</t>
  </si>
  <si>
    <t>&lt;a href="https://www.facebook.com/events/1466090214313236"&gt;2024 Facebook event&lt;/a&gt;</t>
  </si>
  <si>
    <t>Singing added per &lt;a href="https://www.facebook.com/events/1466090214313236"&gt;2024 Facebook event&lt;/a&gt;</t>
  </si>
  <si>
    <t>https://www.google.com/maps/place/Lake+Wind+Coffee/@46.6820786,-91.3558299,9.22z/data=!4m6!3m5!1s0x52aed75caa20a9c5:0xb85747ef6765a967!8m2!3d46.7752377!4d-91.3842893!16s%2Fg%2F11q370q20c?entry=ttu||Lake Wind Coffee, 83010 Washington Ave, Port Wing, WI 54865</t>
  </si>
  <si>
    <t>&lt;iframe src="https://www.google.com/maps/embed?pb=!1m14!1m8!1m3!1d1398547.5409286106!2d-90.6126904!3d46.793704!3m2!1i1024!2i768!4f13.1!3m3!1m2!1s0x52aed75caa20a9c5%3A0xb85747ef6765a967!2sLake%20Wind%20Coffee!5e0!3m2!1sen!2sus!4v1716610931803!5m2!1sen!2sus" width="600" height="450" style="border:0;" allowfullscreen="" loading="lazy" referrerpolicy="no-referrer-when-downgrade"&gt;&lt;/iframe&gt;</t>
  </si>
  <si>
    <t>46.775213, -91.384282</t>
  </si>
  <si>
    <t>chrisfromground2plate [at] gmail.com or 276-229-2394, &lt;a href="https://www.facebook.com/events/1668835073919718/"&gt;2024 Facebook event&lt;/a&gt;</t>
  </si>
  <si>
    <t xml:space="preserve">Friday evening, 6:30-8:30pm - singing from the Valley Pocket Harmonist at the White Oak Grove Church, 615 White Oak Grove Road, Riner, Virginia&lt;/br&gt;Saturday evening, 5pm-6pm - festival singing demo at Floyd Center for the Arts, 220 Parkway Ln S, Floyd, VA 24091. Social to follow. </t>
  </si>
  <si>
    <t>Details added per &lt;a href="https://www.facebook.com/events/1668835073919718/"&gt;2024 Facebook event&lt;/a&gt;</t>
  </si>
  <si>
    <t>https://www.google.com/maps/place/Ozias+Primitive+Baptist+Church/@33.5261729,-84.2839341,11.33z/data=!4m6!3m5!1s0x88f451a1629c4591:0xeae0c1804c4d9dd2!8m2!3d33.542576!4d-84.138403!16s%2Fg%2F1vfn7h7c?entry=ttu||Ozias Primitive Baptist Church, 3389 GA-155 N, McDonough, GA 30253</t>
  </si>
  <si>
    <t>&lt;iframe src="https://www.google.com/maps/embed?pb=!1m18!1m12!1m3!1d332884.4854949239!2d-84.33968423131886!3d33.564253256034014!2m3!1f0!2f0!3f0!3m2!1i1024!2i768!4f13.1!3m3!1m2!1s0x88f451a1629c4591%3A0xeae0c1804c4d9dd2!2sOzias%20Primitive%20Baptist%20Church!5e0!3m2!1sen!2sus!4v1716898550639!5m2!1sen!2sus" width="600" height="450" style="border:0;" allowfullscreen="" loading="lazy" referrerpolicy="no-referrer-when-downgrade"&gt;&lt;/iframe&gt;</t>
  </si>
  <si>
    <t>2024 Location updated per Jesse Roberts</t>
  </si>
  <si>
    <t>33.542577, -84.138379</t>
  </si>
  <si>
    <t>Jesse Roberts, jroberjr [at] bellsouth-dot-net</t>
  </si>
  <si>
    <t>McDonough</t>
  </si>
  <si>
    <t>&lt;a href="http://www.sacredharpbook.com/calendar-of-singings/"&gt;sacredharpbook.com/calendar-of-singings/&lt;/a&gt;, &lt;a href="https://www.facebook.com/groups/288062357886428/posts/26523451633920809/"&gt;2024 Facebook post&lt;/a&gt;</t>
  </si>
  <si>
    <t>9:30am-4pm</t>
  </si>
  <si>
    <t>&lt;a href="https://www.facebook.com/groups/288062357886428/posts/26538999895699316/"&gt;2024 Facebook post&lt;/a&gt;</t>
  </si>
  <si>
    <t>David Ivey, &lt;a href="https://groups.google.com/g/fasola-singings/c/p6LJbSQ9-LM"&gt;listserv post&lt;/a&gt;, &lt;a href="https://www.facebook.com/events/1548887269002643/"&gt;2024 Facebook event&lt;/a&gt;</t>
  </si>
  <si>
    <t>Philip Langley, &lt;a href="https://www.facebook.com/groups/45458433401/posts/10160549832603402/"&gt;2024 Facebook post&lt;/a&gt;</t>
  </si>
  <si>
    <t>John Plunkett or Oscar McGuire, &lt;a href="https://www.atlantasacredharp.org/"&gt;https://www.atlantasacredharp.org/&lt;/a&gt;, &lt;a href="https://www.facebook.com/groups/45458433401/posts/10160549832603402/"&gt;2024 Facebook post&lt;/a&gt;</t>
  </si>
  <si>
    <t>Helen Bryson, &lt;a href="https://www.facebook.com/groups/45458433401/posts/10160549832603402/"&gt;2024 Facebook post&lt;/a&gt;</t>
  </si>
  <si>
    <t>ReneSGreene [at] comcast.net, PamDNunn [at] gmail.com, &lt;a href="https://www.facebook.com/events/305470302620067/"&gt;2024 Facebook event&lt;/a&gt;</t>
  </si>
  <si>
    <t>Lincoln</t>
  </si>
  <si>
    <t>Christian Harmony</t>
  </si>
  <si>
    <t>Rhode Island All-Day Christian Harmony Singing</t>
  </si>
  <si>
    <t>&lt;a href="https://www.facebook.com/events/1998460570555806"&gt;2024 Facebook event&lt;/a&gt;</t>
  </si>
  <si>
    <t>https://www.google.com/maps/place/Saylesville+Friends+Meeting/@41.9012485,-71.4669468,12.14z/data=!4m6!3m5!1s0x89e4431274928211:0x5ea9d0d13c0a9afc!8m2!3d41.9008912!4d-71.4177815!16s%2Fg%2F11bc6yprgt?entry=ttu||Saylesville Friends Meeting House, 374 Great Rd, Lincoln, RI 02865</t>
  </si>
  <si>
    <t>&lt;iframe src="https://www.google.com/maps/embed?pb=!1m18!1m12!1m3!1d86305.72835961274!2d-71.46694675619561!3d41.90124845936981!2m3!1f0!2f0!3f0!3m2!1i1024!2i768!4f13.1!3m3!1m2!1s0x89e4431274928211%3A0x5ea9d0d13c0a9afc!2sSaylesville%20Friends%20Meeting!5e0!3m2!1sen!2sus!4v1717647390375!5m2!1sen!2sus" width="600" height="450" style="border:0;" allowfullscreen="" loading="lazy" referrerpolicy="no-referrer-when-downgrade"&gt;&lt;/iframe&gt;</t>
  </si>
  <si>
    <t>Singing added per &lt;a href="https://www.facebook.com/events/1998460570555806"&gt;2024 Facebook event&lt;/a&gt;</t>
  </si>
  <si>
    <t>41.900941, -71.417748</t>
  </si>
  <si>
    <t>Justin Squizzero, 802-866-0876, j.l.squizzero [at] gmail.com, &lt;a href="https://www.facebook.com/events/2032877193796934/"&gt;2024 Facebook event&lt;/a&gt;</t>
  </si>
  <si>
    <t>Newton Highlands</t>
  </si>
  <si>
    <t>Newton Highlands Singing</t>
  </si>
  <si>
    <t>1pm-5:30pm</t>
  </si>
  <si>
    <t>&lt;a href="https://www.facebook.com/events/7124940187609983"&gt;2024 Facebook event&lt;/a&gt; and &lt;a href="https://groups.google.com/g/fasola-singings/c/DDEr-0s3NSM"&gt;2024 Listserv post&lt;/a&gt;</t>
  </si>
  <si>
    <t>Singing added per &lt;a href="https://www.facebook.com/events/7124940187609983"&gt;2024 Facebook event&lt;/a&gt; and &lt;a href="https://groups.google.com/g/fasola-singings/c/DDEr-0s3NSM"&gt;2024 Listserv post&lt;/a&gt;</t>
  </si>
  <si>
    <t>https://www.google.com/maps/place/Newton+Highlands+Congregational/@42.3206479,-71.244739,12.65z/data=!4m6!3m5!1s0x89e3826cdacb87a3:0xf77e49b1742718c9!8m2!3d42.3210389!4d-71.2082317!16s%2Fg%2F1vv2t7ns?entry=ttu||Newton Highlands Congregational, 54 Lincoln St, Newton, MA 02461</t>
  </si>
  <si>
    <t>&lt;iframe src="https://www.google.com/maps/embed?pb=!1m18!1m12!1m3!1d60044.06450570349!2d-71.2447390079429!3d42.32064790275798!2m3!1f0!2f0!3f0!3m2!1i1024!2i768!4f13.1!3m3!1m2!1s0x89e3826cdacb87a3%3A0xf77e49b1742718c9!2sNewton%20Highlands%20Congregational!5e0!3m2!1sen!2sus!4v1718077446876!5m2!1sen!2sus" width="600" height="450" style="border:0;" allowfullscreen="" loading="lazy" referrerpolicy="no-referrer-when-downgrade"&gt;&lt;/iframe&gt;</t>
  </si>
  <si>
    <t>42.321033, -71.208229</t>
  </si>
  <si>
    <t>Samuel Sommers, &lt;a href="https://groups.google.com/g/fasola-singings/c/n7gbXNvmXoo"&gt;2024 Listserv post&lt;/a&gt;</t>
  </si>
  <si>
    <t>Cresco</t>
  </si>
  <si>
    <t>Singing in the Poconos</t>
  </si>
  <si>
    <t>&lt;a href="https://www.facebook.com/events/288201194335882/"&gt;2024 Facebook event&lt;/a&gt;</t>
  </si>
  <si>
    <t>Sunday afternoon Christian Harmony singing</t>
  </si>
  <si>
    <t>&lt;a href="https://www.facebook.com/MobileSacredHarp"&gt;Mobile Sacred Harp Facebook&lt;/a&gt;, &lt;a href="https://www.facebook.com/groups/288062357886428/posts/26622955890637049"&gt;2024 Facebook post&lt;/a&gt;</t>
  </si>
  <si>
    <t>&lt;a href="https://pennsylvaniasacredharp.com/upcoming-sings/"&gt;pennsylvaniasacredharp.com&lt;/a&gt;, Matthew Kaufman (484-219-1655) or Ted Stokes (610-639-9364), &lt;a href="https://groups.google.com/g/fasola-singings/c/TCn70tlifuY"&gt;2024 listserv post&lt;/a&gt;, &lt;a href="https://www.facebook.com/events/748399110734454/"&gt;2024 Facebook event&lt;/a&gt;</t>
  </si>
  <si>
    <t>Douglassville</t>
  </si>
  <si>
    <t>https://www.google.com/maps/place/Sunset+Hill+Community+Association/@47.6540178,-122.4127173,11.17z/data=!4m6!3m5!1s0x549015d9844748e3:0xe5e41dbdb745174f!8m2!3d47.6763772!4d-122.3960223!16s%2Fg%2F1tm1298t?entry=ttu||Sunset Hill Community Club, 3003 NW 66th St, Seattle, WA 98117</t>
  </si>
  <si>
    <t>47.676392, -122.396060</t>
  </si>
  <si>
    <t>&lt;iframe src="https://www.google.com/maps/embed?pb=!1m18!1m12!1m3!1d156064.5393878636!2d-122.32312660054701!3d47.70507123366951!2m3!1f0!2f0!3f0!3m2!1i1024!2i768!4f13.1!3m3!1m2!1s0x549015d9844748e3%3A0xe5e41dbdb745174f!2sSunset%20Hill%20Community%20Association!5e0!3m2!1sen!2sus!4v1718254822806!5m2!1sen!2sus" width="600" height="450" style="border:0;" allowfullscreen="" loading="lazy" referrerpolicy="no-referrer-when-downgrade"&gt;&lt;/iframe&gt;</t>
  </si>
  <si>
    <t>2025 Location updated per user submission</t>
  </si>
  <si>
    <t>Start time is 9:30 both days per David Ivey</t>
  </si>
  <si>
    <t>Cocoa Beach</t>
  </si>
  <si>
    <t>Cocoa Beach All-Day Singing</t>
  </si>
  <si>
    <t>https://www.google.com/maps/place/Lutheran+Church+of+the+Resurrection/@28.3734722,-80.872665,8.43z/data=!4m6!3m5!1s0x88de1d3c4651c2b3:0x8a2a40399ffaa3ff!8m2!3d28.3190696!4d-80.6142601!16s%2Fg%2F1tfln7kz?entry=ttu||Lutheran Church of the Resurrection, 525 Minutemen Causeway, Cocoa Beach, FL 32931</t>
  </si>
  <si>
    <t>&lt;iframe src="https://www.google.com/maps/embed?pb=!1m18!1m12!1m3!1d1333616.0647651947!2d-80.8726650346938!3d28.373472219039662!2m3!1f0!2f0!3f0!3m2!1i1024!2i768!4f13.1!3m3!1m2!1s0x88de1d3c4651c2b3%3A0x8a2a40399ffaa3ff!2sLutheran%20Church%20of%20the%20Resurrection!5e0!3m2!1sen!2sus!4v1719204745218!5m2!1sen!2sus" width="600" height="450" style="border:0;" allowfullscreen="" loading="lazy" referrerpolicy="no-referrer-when-downgrade"&gt;&lt;/iframe&gt;</t>
  </si>
  <si>
    <t>Singing added per &lt;a href="https://www.facebook.com/events/974297737672960"&gt;2024 Facebook event&lt;/a&gt;</t>
  </si>
  <si>
    <t>Rachel Speer at 301.943.0515 or respeer [at] gmail.com, &lt;a href="https://www.facebook.com/events/974297737672960"&gt;2024 Facebook event&lt;/a&gt;</t>
  </si>
  <si>
    <t>Stefani Priskos at (334) 242-5143 or stefani [at] arts.alabama.gov, &lt;a href="https://groups.google.com/g/fasola-singings/c/jRRNTtlbkVQ"&gt;2024 Listserv post&lt;/a&gt;, &lt;a href="https://www.facebook.com/events/1177131550305023/"&gt;2024 Facebook event&lt;/a&gt;</t>
  </si>
  <si>
    <t>judycaudle [at] gmail.com, &lt;a href="https://www.facebook.com/events/981083093712535/"&gt;2024 Facebook event&lt;/a&gt;</t>
  </si>
  <si>
    <t>https://www.google.com/maps/place/Topsham+Grange+Hall/@43.8723466,-70.4976011,9.43z/data=!4m6!3m5!1s0x4cad878464061f77:0xfc24666e6cfd6b13!8m2!3d43.9315492!4d-69.9637806!16s%2Fg%2F1tw_mv9c?entry=ttu||Topsham Grange Hall, 47 Pleasant St, Topsham, ME 04086</t>
  </si>
  <si>
    <t>&lt;iframe src="https://www.google.com/maps/embed?pb=!1m18!1m12!1m3!1d546322.8044070443!2d-70.49760110995668!3d43.87234660501904!2m3!1f0!2f0!3f0!3m2!1i1024!2i768!4f13.1!3m3!1m2!1s0x4cad878464061f77%3A0xfc24666e6cfd6b13!2sTopsham%20Grange%20Hall!5e0!3m2!1sen!2sus!4v1719808761395!5m2!1sen!2sus" width="600" height="450" style="border:0;" allowfullscreen="" loading="lazy" referrerpolicy="no-referrer-when-downgrade"&gt;&lt;/iframe&gt;</t>
  </si>
  <si>
    <t>Location updated per &lt;a href="https://www.facebook.com/groups/221036991368952/posts/2993711950768095"&gt;2024 Facebook post&lt;/a&gt;</t>
  </si>
  <si>
    <t>43.931646, -69.963789</t>
  </si>
  <si>
    <t>pennsylvaniasacredharp.com, &lt;a href="https://www.facebook.com/events/3757878321200829"&gt;2024 Facebook event&lt;/a&gt;</t>
  </si>
  <si>
    <t>10:30am-2pm</t>
  </si>
  <si>
    <t>&lt;a href="https://www.facebook.com/groups/221036991368952"&gt;Maine Shape Note Singing Facebook&lt;/a&gt;, &lt;a href="https://www.facebook.com/events/449532507977577/"&gt;2024 Facebook event&lt;/a&gt;</t>
  </si>
  <si>
    <t>Friday 6pm, Sat 10am-4pm, Sun 9am-12pm</t>
  </si>
  <si>
    <t>Friday evening - Cooper singing&lt;/br&gt;
Saturday - All-Day singing from The Sacred Harp, 1991 (Denson)&lt;/br&gt;
Sunday morning  - Peter Golden Memorial Singing with a focus on Maine composers of shape-note music.</t>
  </si>
  <si>
    <t>&lt;a href="https://www.atlantasacredharp.org/"&gt;atlantasacredharp.org&lt;/a&gt;, &lt;a href="https://www.facebook.com/events/7660339597378675/"&gt;2024 Facebook Event&lt;/a&gt;</t>
  </si>
  <si>
    <t>&lt;a href="https://wmshc.org/pioneer_valley_all_day_sing"&gt;wmshc.org/pioneer_valley_all_day_sing&lt;/a&gt; or wmshc.clerk [at] gmail.com, &lt;a href="https://groups.google.com/g/fasola-singings/c/Gtw0eR8U46Q"&gt;2024 Listserv post&lt;/a&gt;</t>
  </si>
  <si>
    <t>Glenn Keeton, &lt;a href="https://www.facebook.com/groups/288062357886428/posts/26941059172160051/"&gt;2024 Facebook post&lt;/a&gt;</t>
  </si>
  <si>
    <t>42.437364, -76.631311</t>
  </si>
  <si>
    <t>&lt;a href="https://sacredharp.uk/"&gt;https://sacredharp.uk/&lt;/a&gt; &lt;a href="https://www.facebook.com/events/1165981781394478/"&gt;2024 Facebook event&lt;/a&gt;</t>
  </si>
  <si>
    <t>Date changed per &lt;a href="https://www.facebook.com/events/1165981781394478/"&gt;2024 Facebook event&lt;/a&gt;</t>
  </si>
  <si>
    <t>Saturday 9:30am-4:30pm - Sacred Harp&lt;/br&gt;Sunday afternoon 1:30pm-4:30pm - Cooper book singing</t>
  </si>
  <si>
    <t>&lt;a href="https://www.facebook.com/Central-Illinois-Sacred-Harp-1959143424375593"&gt;Central Illinois Sacred Harp Facebook Page&lt;/a&gt;, Mark Graber - mlgraber78 [at] gmail.com, Ryan Hill - ryanhill98 [at] hotmail.com, &lt;a href="https://www.facebook.com/events/852448196685213/"&gt;2024 Facebook event&lt;/a&gt;</t>
  </si>
  <si>
    <t>Winston-Salem</t>
  </si>
  <si>
    <t>36.099760, -80.2673336</t>
  </si>
  <si>
    <t>Additional regular singing on Sunday from 2-5 (from the Shenandoah Harmony and the Sacred Harp) at St. Anne's Episcopal Church</t>
  </si>
  <si>
    <t>&lt;a href="https://www.facebook.com/events/734054135527458"&gt;2024 Facebook event&lt;/a&gt;</t>
  </si>
  <si>
    <t>Swannanoa Shape Note Singing</t>
  </si>
  <si>
    <t>Denson Book, Shenandoah Harmony</t>
  </si>
  <si>
    <t>Denson Book, Cooper Book</t>
  </si>
  <si>
    <t>Denson Book</t>
  </si>
  <si>
    <t>Denson Book, Cooper Book, Christian Harmony 2010</t>
  </si>
  <si>
    <t>Denson Book, Cooper Book, Christian Harmony 2010, Colored Denson Book</t>
  </si>
  <si>
    <t>Denson Book, Social Harp</t>
  </si>
  <si>
    <t>Denson Book, Missouri Harmony</t>
  </si>
  <si>
    <t>Denson Book, Christian Harmony 2010</t>
  </si>
  <si>
    <t>Denson Book, J.L. White Book</t>
  </si>
  <si>
    <t>Denson Book, Southern Harmony</t>
  </si>
  <si>
    <t>Denson Book Revision</t>
  </si>
  <si>
    <t>Denson Book, 1805 Christian Harmony</t>
  </si>
  <si>
    <t>Denson Book, Christian Harmony 2010, Southern Harmony</t>
  </si>
  <si>
    <t>Denson Book, Cooper Book, American Vocalist</t>
  </si>
  <si>
    <t>Denson Book, Cooper Book, Christian Harmony 2010, J.L. White Book</t>
  </si>
  <si>
    <t>Denson Book, Norumbega Harmony</t>
  </si>
  <si>
    <t>Denson Book, Cooper Book, Missouri Harmony</t>
  </si>
  <si>
    <t>Denson Book, Dayton Harmonist</t>
  </si>
  <si>
    <t>Crestwood</t>
  </si>
  <si>
    <t>Bob Meek Memorial</t>
  </si>
  <si>
    <t>https://www.google.com/maps/place/Harrods+Creek+Baptist+Church/@38.4478855,-85.5062656,10.19z/data=!4m6!3m5!1s0x88699a32fc6d2159:0x9dc5f7500341c321!8m2!3d38.3609751!4d-85.5078333!16s%2Fg%2F1tq6f6zh?entry=ttu||Harrod's Creek Baptist Church, 8102 Hwy 329, Crestwood, KY 40014</t>
  </si>
  <si>
    <t>&lt;iframe src="https://www.google.com/maps/embed?pb=!1m18!1m12!1m3!1d349532.6444200559!2d-85.50626561997305!3d38.44788547017942!2m3!1f0!2f0!3f0!3m2!1i1024!2i768!4f13.1!3m3!1m2!1s0x88699a32fc6d2159%3A0x9dc5f7500341c321!2sHarrods%20Creek%20Baptist%20Church!5e0!3m2!1sen!2sus!4v1722730900671!5m2!1sen!2sus" width="600" height="450" style="border:0;" allowfullscreen="" loading="lazy" referrerpolicy="no-referrer-when-downgrade"&gt;&lt;/iframe&gt;</t>
  </si>
  <si>
    <t>38.360976, -85.507839</t>
  </si>
  <si>
    <t>Duncanville</t>
  </si>
  <si>
    <t>Shiloh June Singing</t>
  </si>
  <si>
    <t>https://www.google.com/maps/place/33%C2%B000'49.1%22N+87%C2%B023'22.7%22W/@32.9948584,-87.5586462,9.97z/data=!4m4!3m3!8m2!3d33.013625!4d-87.3896326?entry=ttu||33.013635, -87.389662, Shiloh Methodist Church, Lake Payne Road, Duncanville AL 35456</t>
  </si>
  <si>
    <t>&lt;iframe src="https://www.google.com/maps/embed?pb=!1m17!1m12!1m3!1d262042.63605668978!2d-87.59090759959462!3d33.0310480425817!2m3!1f0!2f0!3f0!3m2!1i1024!2i768!4f13.1!3m2!1m1!2zMzPCsDAwJzQ5LjEiTiA4N8KwMjMnMjIuOCJX!5e0!3m2!1sen!2sus!4v1722794075399!5m2!1sen!2sus" width="600" height="450" style="border:0;" allowfullscreen="" loading="lazy" referrerpolicy="no-referrer-when-downgrade"&gt;&lt;/iframe&gt;</t>
  </si>
  <si>
    <t>33.013635, -87.389662</t>
  </si>
  <si>
    <t>10am-2pm</t>
  </si>
  <si>
    <t>Shiloh October Singing</t>
  </si>
  <si>
    <t>Matt Wells, fasolamatt [at] yahoo.com, &lt;a href="https://mnfasola.org/?page_id=693"&gt;https://mnfasola.org/?page_id=693&lt;/a&gt;, &lt;a href="https://www.facebook.com/groups/288062357886428/posts/27180165761582723/"&gt;2024 Facebook post&lt;/a&gt;</t>
  </si>
  <si>
    <t xml:space="preserve">&lt;a href="https://www.christianharmony.org/schedule.html"&gt;christianharmony.org/schedule.html&lt;/a&gt;&lt;/br&gt;Tuscaloosa County, Alabama, 5 miles southeast of Duncanville, Turn off US Hwy 82 near Mile Marker 65, onto Lake Payne Road. Go 3 miles. Church on left. </t>
  </si>
  <si>
    <t>&lt;a href="https://www.facebook.com/groups/SacredHarpMelbourne/"&gt;Sacred Harp Melbourne Facebook group&lt;/a&gt;, email Natalie and Shawn at sacred_harp [at] yahoo.com.au, &lt;a href="https://www.facebook.com/events/990025959147708/"&gt;2024 Facebook event&lt;/a&gt;</t>
  </si>
  <si>
    <t>sacredharpnewyorkcity [at] gmail.com, &lt;a href="https://www.facebook.com/events/522079723709828/"&gt;2024 Facebook event&lt;/a&gt;</t>
  </si>
  <si>
    <t>&lt;a href="http://shape-note.uchicago.edu/annual.html"&gt;http://shape-note.uchicago.edu/annual.html&lt;/a&gt;, &lt;a href="https://groups.google.com/g/fasola-singings/c/vF4nSIJOGyU"&gt;2024 Listserv post&lt;/a&gt;</t>
  </si>
  <si>
    <t>&lt;a href="https://www.facebook.com/events/1529224014470010/"&gt;2024 Facebook event&lt;/a&gt;, Karis Askin and Isaac Green</t>
  </si>
  <si>
    <t>&lt;a href="https://www.facebook.com/groups/1440729196190005/posts/3697566213839614/"&gt;2024 Facebook post&lt;/a&gt;</t>
  </si>
  <si>
    <t>&lt;a href="https://torontoshapenote.org/"&gt;torontoshapenote.org&lt;/a&gt; and &lt;a href="https://www.facebook.com/groups/683302891727636/"&gt;Toronto Shape Note Singing Community Facebook&lt;/a&gt;, &lt;a href="https://www.facebook.com/events/401819286191336/"&gt;2024 Facebook event&lt;/a&gt;</t>
  </si>
  <si>
    <t>Moved to Sept and per &lt;a href="https://www.facebook.com/groups/daytonsacredharp/posts/1030035498506895/"&gt;2024 Facebook post&lt;/a&gt;. Made a guess at date formula. Previous minutes show inconsistent dates for this singing.</t>
  </si>
  <si>
    <t>Typically Oct, Sat before 2nd Sun. Moved to Sept at least for 2024.</t>
  </si>
  <si>
    <t>&lt;a href="https://drive.google.com/file/d/1rLOtpINY7Vd578tkoaaHNWh4OGBE6Mld/view"&gt;2024 Flyer&lt;/a&gt;</t>
  </si>
  <si>
    <t>Date change per &lt;a href="https://drive.google.com/file/d/1rLOtpINY7Vd578tkoaaHNWh4OGBE6Mld/view"&gt;2024 Flyer&lt;/a&gt;</t>
  </si>
  <si>
    <t>Singing moved to 4th Sun in Oct per announcement at '24 convention</t>
  </si>
  <si>
    <t>Mobile Sacred Harp All-Day Singing</t>
  </si>
  <si>
    <t>Tim Meeks, &lt;a href="https://www.atlantasacredharp.org/monthly.html"&gt;https://www.atlantasacredharp.org/monthly.html&lt;/a&gt;, &lt;a href="https://groups.google.com/g/fasola-singings/c/0Jr3Zn-keBU/m/Z1gvPcbbAQAJ"&gt;2024 Listserv post&lt;/a&gt;</t>
  </si>
  <si>
    <t>&lt;a href="http://sacredharpbook.com/calendar-of-singings"&gt;sacredharpbook.com/calendar-of-singings&lt;/a&gt;, &lt;a href="https://www.facebook.com/groups/288062357886428/posts/27248905524708746/"&gt;2024 Facebook post&lt;/a&gt;</t>
  </si>
  <si>
    <t>&lt;a href="https://www.facebook.com/groups/daytonsacredharp/"&gt;Dayton Area Sacred Harp Facebook group&lt;/a&gt;, &lt;a href="https://groups.google.com/g/daytonsacredharp"&gt;Dayton Sacred Harp listserv&lt;/a&gt;, &lt;a href="https://www.facebook.com/groups/daytonsacredharp/posts/1030035498506895/"&gt;2024 Facebook post&lt;/a&gt;, &lt;a href="https://www.facebook.com/events/416692634175102/"&gt;2024 Facebook event&lt;/a&gt;</t>
  </si>
  <si>
    <t>&lt;a href="http://www.sacredharpbook.com/calendar-of-singings/"&gt;sacredharpbook.com/calendar-of-singings/&lt;/a&gt;, &lt;a href="https://www.facebook.com/events/470640545862402/"&gt;2024 Facebook Event&lt;/a&gt;</t>
  </si>
  <si>
    <t>Mt. Pisgah/Cedar Creek Singing</t>
  </si>
  <si>
    <t>Mt Pisgah singing (2nd 5th Sun) permanently cancelled and combined into Cedar Creek Singing (Aug 3rd Sun)</t>
  </si>
  <si>
    <t>David Smead or Lauren Bock, &lt;a href="https://www.facebook.com/events/1943779309399141/"&gt;2024 Facebook post&lt;/a&gt;</t>
  </si>
  <si>
    <t>&lt;a href="http://home.olemiss.edu/~mudws/miss.html"&gt;http://home.olemiss.edu/~mudws/miss.html&lt;/a&gt;, Mark Davis (601) 940-1612, &lt;a href="https://www.facebook.com/groups/597808083577669/"&gt;Mississippi Sacred Harp Convention FB group&lt;/a&gt;, &lt;a href="https://www.facebook.com/groups/288062357886428/posts/27296715466594418/"&gt;2024 Facebook post&lt;/a&gt;</t>
  </si>
  <si>
    <t>sacredharpmanchester [at] gmail.com, &lt;a href="https://www.facebook.com/profile.php?id=100064576396070"&gt;Manchester Sacred Harp Singing Facebook group&lt;/a&gt;, &lt;a href="https://sacredharp.uk/"&gt;https://sacredharp.uk/&lt;/a&gt;, &lt;a href="https://www.facebook.com/events/997315328741936"&gt;Sat 2024 Facebook event&lt;/a&gt;, &lt;a href="https://www.facebook.com/events/508855308217563/"&gt;Sun 2024 Facebook event&lt;/a&gt;</t>
  </si>
  <si>
    <t>Oct, 2nd Sun &amp; Sat before</t>
  </si>
  <si>
    <t>Saturday Sacred Harp from 10am-4pm.&lt;/br&gt;Sunday Christian Harmony singing at the Whitworth Gallery, Denmark Rd, from 1pm.</t>
  </si>
  <si>
    <t>2024 moved back to 3rd Sunday &amp; Sat before</t>
  </si>
  <si>
    <t>Date updated per &lt;a href="https://bayareasacredharp.org/santa-cruz-all-day/"&gt;bayareasacredharp.org/santa-cruz-all-day/&lt;/a&gt;</t>
  </si>
  <si>
    <t>&lt;a href="https://bayareasacredharp.org/santa-cruz-all-day/"&gt;https://bayareasacredharp.org/santa-cruz-all-day/&lt;/a&gt;</t>
  </si>
  <si>
    <t>skyami89 [at] gmail.com or jerilclenney [at] gmail.com, &lt;a href="https://www.facebook.com/groups/795601977317541/"&gt;Orlando Sacred Harp&lt;/a&gt;</t>
  </si>
  <si>
    <t xml:space="preserve">https://www.google.com/maps/place/Fairfield+Village+Community+Association/@52.4159687,-2.3097952,10.4z/data=!4m6!3m5!1s0x48709319a5809e13:0x9bff202a9d909f34!8m2!3d52.3738382!4d-2.0774959!16s%2Fg%2F11jy713cc4?hl=en&amp;entry=ttu&amp;g_ep=EgoyMDI0MDgyMy4wIKXMDSoASAFQAw%3D%3D||Fairfield Village Hall, Stourbridge Rd, Fairfield
Bromsgrove, B61 9LZ, United Kingdom </t>
  </si>
  <si>
    <t>&lt;iframe src="https://www.google.com/maps/embed?pb=!1m18!1m12!1m3!1d235608.43168282276!2d-2.3097952277624576!3d52.41596873177717!2m3!1f0!2f0!3f0!3m2!1i1024!2i768!4f13.1!3m3!1m2!1s0x48709319a5809e13%3A0x9bff202a9d909f34!2sFairfield%20Village%20Community%20Association!5e0!3m2!1sen!2sus!4v1724805246313!5m2!1sen!2sus" width="600" height="450" style="border:0;" allowfullscreen="" loading="lazy" referrerpolicy="no-referrer-when-downgrade"&gt;&lt;/iframe&gt;</t>
  </si>
  <si>
    <t>&lt;iframe src="https://www.google.com/maps/embed?pb=!1m18!1m12!1m3!1d75412.06962856218!2d11.076339218259719!3d49.43196395553281!2m3!1f0!2f0!3f0!3m2!1i1024!2i768!4f13.1!3m3!1m2!1s0x479f5773d16d9227%3A0xb5ea4508b8b29704!2sGustav-Adolf-Ged%C3%A4chtniskirche!5e0!3m2!1sen!2sus!4v1724806116525!5m2!1sen!2sus" width="600" height="450" style="border:0;" allowfullscreen="" loading="lazy" referrerpolicy="no-referrer-when-downgrade"&gt;&lt;/iframe&gt;</t>
  </si>
  <si>
    <t>Location updated per &lt;a href="https://www.sacredharp.uk/"&gt;https://www.sacredharp.uk/&lt;/a&gt;</t>
  </si>
  <si>
    <t>49.437936, 11.089783</t>
  </si>
  <si>
    <t>52.373836, -2.077493</t>
  </si>
  <si>
    <t>Friday evening Shenandoah Singing</t>
  </si>
  <si>
    <t xml:space="preserve">https://www.google.com/maps/place/Saint+Fin+Barre's+Cathedral+Hall/@51.8957942,-8.4894277,14.08z/data=!4m6!3m5!1s0x484491d87a57cd77:0x8eb132faafbc1fa4!8m2!3d51.8938982!4d-8.4810057!16s%2Fg%2F11h4nks4w4?hl=en&amp;entry=ttu&amp;g_ep=EgoyMDI0MDgyMy4wIKXMDSoASAFQAw%3D%3D||Saint Fin Barre’s Cathedral Hall, 9 Dean Street
Cork, T12 P3Y8, Ireland </t>
  </si>
  <si>
    <t>&lt;iframe src="https://www.google.com/maps/embed?pb=!1m18!1m12!1m3!1d18591.238904293703!2d-8.489427656952557!3d51.89579418553195!2m3!1f0!2f0!3f0!3m2!1i1024!2i768!4f13.1!3m3!1m2!1s0x484491d87a57cd77%3A0x8eb132faafbc1fa4!2sSaint%20Fin%20Barre&amp;#39;s%20Cathedral%20Hall!5e0!3m2!1sen!2sus!4v1724806360325!5m2!1sen!2sus" width="600" height="450" style="border:0;" allowfullscreen="" loading="lazy" referrerpolicy="no-referrer-when-downgrade"&gt;&lt;/iframe&gt;</t>
  </si>
  <si>
    <t>51.893867, -8.4810595</t>
  </si>
  <si>
    <t>Mapperley</t>
  </si>
  <si>
    <t>Robert Vaughn, &lt;a href="http://singings.texasfasola.org/annualsingings.html"&gt;http://singings.texasfasola.org/annualsingings.html&lt;/a&gt;, &lt;a href="https://www.facebook.com/events/1214409003205014"&gt;2024 Facebook event&lt;/a&gt;</t>
  </si>
  <si>
    <t>Suches</t>
  </si>
  <si>
    <t>https://www.google.com/maps/place/Kennedy+Creek+Resort/@34.7955491,-84.3490911,9.71z/data=!4m9!3m8!1s0x885f6b4e9be5244b:0x73627c21b1687ce7!5m2!4m1!1i2!8m2!3d34.696056!4d-84.013927!16s%2Fg%2F11m89r2ly9?entry=ttu&amp;g_ep=EgoyMDI0MDgyNi4wIKXMDSoASAFQAw%3D%3D||Kennedy Creek Resort, 26 High Valley Rd, Suches, GA 30572, United States</t>
  </si>
  <si>
    <t>&lt;iframe src="https://www.google.com/maps/embed?pb=!1m18!1m12!1m3!1d513344.6025186499!2d-84.34909112459258!3d34.79554914817849!2m3!1f0!2f0!3f0!3m2!1i1024!2i768!4f13.1!3m3!1m2!1s0x885f6b4e9be5244b%3A0x73627c21b1687ce7!2sKennedy%20Creek%20Resort!5e0!3m2!1sen!2sus!4v1724894496226!5m2!1sen!2sus" width="600" height="450" style="border:0;" allowfullscreen="" loading="lazy" referrerpolicy="no-referrer-when-downgrade"&gt;&lt;/iframe&gt;</t>
  </si>
  <si>
    <t>34.696026, -84.013911</t>
  </si>
  <si>
    <t>Sacred Harp Singing at Kennedy Creek Festival</t>
  </si>
  <si>
    <t>Dave Farmer, &lt;a href="https://www.facebook.com/events/482132854440462"&gt;2024 Facebook Event&lt;/a&gt;</t>
  </si>
  <si>
    <t>&lt;a href="https://www.facebook.com/events/3681610308823480/"&gt;2024 Facebook event&lt;/a&gt;, &lt;a href="https://morgan-ellis.net/kennedy-creek/"&gt;https://morgan-ellis.net/kennedy-creek/&lt;/a&gt;</t>
  </si>
  <si>
    <t>Singing added per &lt;a href="https://www.facebook.com/events/3681610308823480/"&gt;2024 Facebook event&lt;/a&gt;</t>
  </si>
  <si>
    <t>&lt;a href="https://www.facebook.com/groups/morethemerriershapes"&gt;Louisville Area Sacred Harp Group&lt;/a&gt;, &lt;a href="https://www.facebook.com/groups/288062357886428/posts/27476752698590693/"&gt;2024 Facebook post&lt;/a&gt;</t>
  </si>
  <si>
    <t>33.807036, -86.927603</t>
  </si>
  <si>
    <t>Location updated per &lt;a href="http://christianharmony.org/schedule.html"&gt;http://christianharmony.org/schedule.html&lt;/a&gt;</t>
  </si>
  <si>
    <t>Cassie Allen - 205-916-8406, &lt;a href="http://christianharmony.org/schedule.html"&gt;http://christianharmony.org/schedule.html&lt;/a&gt;</t>
  </si>
  <si>
    <t>&lt;a href="http://www.sacredharpbook.com/calendar-of-singings/"&gt;sacredharpbook.com/calendar-of-singings/&lt;/a&gt;, &lt;a href="https://www.facebook.com/groups/288062357886428/posts/27500449212887708/"&gt;2024 Facebook post&lt;/a&gt;</t>
  </si>
  <si>
    <t>San Pedro</t>
  </si>
  <si>
    <t>Jeff Begley Memorial Singing</t>
  </si>
  <si>
    <t>https://www.google.com/maps/place/Angels+Gate,+Bldg+H/@33.8145958,-118.675839,10.22z/data=!4m6!3m5!1s0x80dd376cf200abd3:0xfa718e1083366822!8m2!3d33.7135177!4d-118.2948157!16s%2Fg%2F11ffv377g0?entry=ttu&amp;g_ep=EgoyMDI0MDgyOC4wIKXMDSoASAFQAw%3D%3D||Angels Gate, Building H, 3601 S Gaffey St, San Pedro, CA 90731</t>
  </si>
  <si>
    <t>&lt;iframe src="https://www.google.com/maps/embed?pb=!1m18!1m12!1m3!1d259793.97615961946!2d-118.53608587740624!3d33.77975488585023!2m3!1f0!2f0!3f0!3m2!1i1024!2i768!4f13.1!3m3!1m2!1s0x80dd376cf200abd3%3A0xfa718e1083366822!2sAngels%20Gate%2C%20Bldg%20H!5e0!3m2!1sen!2sus!4v1725338422022!5m2!1sen!2sus" width="600" height="450" style="border:0;" allowfullscreen="" loading="lazy" referrerpolicy="no-referrer-when-downgrade"&gt;&lt;/iframe&gt;</t>
  </si>
  <si>
    <t>Singing added per &lt;a href="https://www.facebook.com/groups/288062357886428/posts/27491761280423168/"&gt;2024 Facebook post&lt;/a&gt;</t>
  </si>
  <si>
    <t>&lt;a href="https://www.facebook.com/groups/288062357886428/posts/27491761280423168/"&gt;2024 Facebook post&lt;/a&gt;</t>
  </si>
  <si>
    <t>33.713516, -118.294774</t>
  </si>
  <si>
    <t>https://www.google.com/maps/place/Southside+Community+Center/@33.9161273,-86.2770323,10z/data=!4m6!3m5!1s0x888a3a1004e0d8b3:0x721189b86ea1a601!8m2!3d33.9226188!4d-86.022911!16s%2Fg%2F11c59zv0mp?entry=ttu&amp;g_ep=EgoyMDI0MDkwMi4wIKXMDSoASAFQAw%3D%3D||Southside Community Center, 2142 AL-77, Southside, AL 35907</t>
  </si>
  <si>
    <t>&lt;iframe src="https://www.google.com/maps/embed?pb=!1m14!1m8!1m3!1d423804.380719411!2d-86.2770323!3d33.9161273!3m2!1i1024!2i768!4f13.1!3m3!1m2!1s0x888a3a1004e0d8b3%3A0x721189b86ea1a601!2sSouthside%20Community%20Center!5e0!3m2!1sen!2sus!4v1725486921396!5m2!1sen!2sus" width="600" height="450" style="border:0;" allowfullscreen="" loading="lazy" referrerpolicy="no-referrer-when-downgrade"&gt;&lt;/iframe&gt;</t>
  </si>
  <si>
    <t>33.922661, -86.022933</t>
  </si>
  <si>
    <t>Location rotates. Even number years in Los Angeles. Odd number years in the Bay Area.</t>
  </si>
  <si>
    <t>Southside</t>
  </si>
  <si>
    <t>2024 location updated per &lt;a href="https://www.facebook.com/groups/288062357886428/posts/27521800964085866/"&gt;Facebook post&lt;/a&gt;</t>
  </si>
  <si>
    <t>David [at] davidivey.com, &lt;a href="https://www.facebook.com/groups/288062357886428/posts/27521800964085866/"&gt;2024 Facebook post&lt;/a&gt;</t>
  </si>
  <si>
    <t>&lt;a href="https://www.facebook.com/events/1048971289971262/"&gt;2024 Facebook event&lt;/a&gt;</t>
  </si>
  <si>
    <t>&lt;iframe src="https://www.google.com/maps/embed?pb=!1m14!1m8!1m3!1d204269.45769397836!2d-84.24964141176189!3d33.76029342814343!3m2!1i1024!2i768!4f13.1!3m3!1m2!1s0x88f5aa1110c117d1%3A0xa64c2f31c7044b5c!2s3965%20Glenwood%20Rd%2C%20Decatur%2C%20GA%2030032!5e0!3m2!1sen!2sus!4v1725852129729!5m2!1sen!2sus" width="600" height="450" style="border:0;" allowfullscreen="" loading="lazy" referrerpolicy="no-referrer-when-downgrade"&gt;&lt;/iframe&gt;</t>
  </si>
  <si>
    <t>https://www.google.com/maps/place/3965+Glenwood+Rd,+Decatur,+GA+30032/@33.7602934,-84.2496414,11.06z/data=!4m6!3m5!1s0x88f5aa1110c117d1:0xa64c2f31c7044b5c!8m2!3d33.7377399!4d-84.2559115!16s%2Fg%2F11cnd94b6l!5m1!1e4?entry=ttu&amp;g_ep=EgoyMDI0MDkwNC4wIKXMDSoASAFQAw%3D%3D||Hardeman Primitive Baptist Church, 3965 Glenwood Rd, Decatur, GA 30032</t>
  </si>
  <si>
    <t>William J Futral Memorial Singing</t>
  </si>
  <si>
    <t>Jack Nelson, &lt;a href="https://www.facebook.com/groups/288062357886428/posts/27167483539517612"&gt;2024 Facebook post&lt;/a&gt;</t>
  </si>
  <si>
    <t>Singing renamed per &lt;a href="https://www.facebook.com/groups/288062357886428/posts/27167483539517612"&gt;2024 Facebook post&lt;/a&gt;</t>
  </si>
  <si>
    <t>&lt;a href="https://www.facebook.com/groups/437816312450007/posts/490824637149174"&gt;2024 Facebook post&lt;/a&gt;</t>
  </si>
  <si>
    <t>Bridget Camden, &lt;a href="https://www.facebook.com/profile.php?id=100048973548444"&gt;Richmond Shape Note Singers Facebook&lt;/a&gt;, &lt;a href="https://www.facebook.com/events/486006494307152/"&gt;2024 Facebook event&lt;/a&gt;</t>
  </si>
  <si>
    <t>Reba Windom, &lt;a href="https://www.facebook.com/events/1035027241432025/"&gt;2024 Facebook event&lt;/a&gt;</t>
  </si>
  <si>
    <t>Barrett Patton, Emily Stutzman, &lt;a href="https://www.facebook.com/events/1042257674108245/"&gt;2024 Facebook event&lt;/a&gt;</t>
  </si>
  <si>
    <t>portlandsacredharp [at] gmail.com, &lt;a href="https://www.facebook.com/groups/portlandsacredharp"&gt;Portland Sacred Harp on Facebook&lt;/a&gt;, &lt;a href="https://www.facebook.com/events/424382480130429/"&gt;2024 Facebook event&lt;/a&gt;</t>
  </si>
  <si>
    <t>Sunday morning Christian Harmony singing; details and location information will be announced at Saturday singing.</t>
  </si>
  <si>
    <t>Beginning 2025, start times will be 10:30am</t>
  </si>
  <si>
    <t xml:space="preserve">https://www.google.com/maps/place/Gustav-Adolf-Ged%C3%A4chtniskirche/@49.431964,11.0763392,12.14z/data=!4m6!3m5!1s0x479f5773d16d9227:0xb5ea4508b8b29704!8m2!3d49.4379519!4d11.0897958!16s%2Fg%2F11cmttvft7?hl=en&amp;entry=ttu&amp;g_ep=EgoyMDI0MDgyMy4wIKXMDSoASAFQAw%3D%3D||Gustav-Adolf-Gedächtniskirche, 116 Allersberger Str Nürnberg, 90461, Germany </t>
  </si>
  <si>
    <t>Saturday: Sacred Harp, Sunday: Christian Harmony</t>
  </si>
  <si>
    <t>https://www.google.com/maps/place/First+Christian+Church/@39.0883518,-86.572957,10.19z/data=!4m6!3m5!1s0x886c66dd74c5b3b5:0x2ed55d13480f2d27!8m2!3d39.1668927!4d-86.5319406!16s%2Fg%2F1tjfhlms?entry=ttu&amp;g_ep=EgoyMDI0MDkxNS4wIKXMDSoASAFQAw%3D%3D||First Christian Church, 205 E Kirkwood Ave, Bloomington, IN 47408</t>
  </si>
  <si>
    <t>&lt;iframe src="https://www.google.com/maps/embed?pb=!1m18!1m12!1m3!1d346408.77283559565!2d-86.572957042402!3d39.08835181549557!2m3!1f0!2f0!3f0!3m2!1i1024!2i768!4f13.1!3m3!1m2!1s0x886c66dd74c5b3b5%3A0x2ed55d13480f2d27!2sFirst%20Christian%20Church!5e0!3m2!1sen!2sus!4v1726619415457!5m2!1sen!2sus" width="600" height="450" style="border:0;" allowfullscreen="" loading="lazy" referrerpolicy="no-referrer-when-downgrade"&gt;&lt;/iframe&gt;</t>
  </si>
  <si>
    <t>39.166869, -86.531910</t>
  </si>
  <si>
    <t>Location updated per &lt;a href="https://bloomingtonsacredharp.org/"&gt;https://bloomingtonsacredharp.org/&lt;/a&gt;</t>
  </si>
  <si>
    <t>&lt;a href="https://bloomingtonsacredharp.org/"&gt;https://bloomingtonsacredharp.org/&lt;/a&gt;, &lt;a href="https://www.facebook.com/events/525443863205204/"&gt;2024 Facebook event&lt;/a&gt;</t>
  </si>
  <si>
    <t xml:space="preserve">https://www.google.com/maps/place/St+Michael+the+Archangel,+Church/@50.8606532,-0.0676512,10.22z/data=!4m9!1m2!2m1!1sSouth+Malling+Parish+Church+Church+Lane+Lewes+East+Sussex+BN7+2JA+United+Kingdom!3m5!1s0x47df628441a49579:0xd5a1899a484ca1f0!8m2!3d50.8811239!4d0.0068524!16s%2Fg%2F1thk80fh?hl=en&amp;entry=ttu&amp;g_ep=EgoyMDI0MDkxNi4wIKXMDSoASAFQAw%3D%3D||South Malling Parish Church, Church Lane, Lewes, East Sussex, BN7 2JA, United Kingdom </t>
  </si>
  <si>
    <t>&lt;iframe src="https://www.google.com/maps/embed?pb=!1m18!1m12!1m3!1d276289.6948283759!2d-0.11469455058294567!3d50.86878174366519!2m3!1f0!2f0!3f0!3m2!1i1024!2i768!4f13.1!3m3!1m2!1s0x47df628441a49579%3A0xd5a1899a484ca1f0!2sSt%20Michael%20the%20Archangel%2C%20Church!5e0!3m2!1sen!2sus!4v1726787143272!5m2!1sen!2sus" width="600" height="450" style="border:0;" allowfullscreen="" loading="lazy" referrerpolicy="no-referrer-when-downgrade"&gt;&lt;/iframe&gt;</t>
  </si>
  <si>
    <t>50.881184, 0.006834</t>
  </si>
  <si>
    <t>&lt;a href="http://home.olemiss.edu/~mudws/miss.html"&gt;http://home.olemiss.edu/~mudws/miss.html&lt;/a&gt;, &lt;a href="https://groups.google.com/g/fasola-singings/c/-60QcdG-Sdw"&gt;2024 listserv post&lt;/a&gt;</t>
  </si>
  <si>
    <t>Cancelled in 2024 due to Hurricane Helene</t>
  </si>
  <si>
    <t>Date updated per &lt;a href="https://sacredharp.uk/"&gt;https://sacredharp.uk/&lt;/a&gt;</t>
  </si>
  <si>
    <t>https://www.google.com/maps/place/Barley+Mow+Village+Hall/@54.7456945,-1.564194,9.22z/data=!4m6!3m5!1s0x487e7b996e4faecf:0xab28240f5c575bd7!8m2!3d54.8792457!4d-1.5744978!16s%2Fg%2F1tfq__70?hl=en&amp;entry=ttu&amp;g_ep=EgoyMDI0MDkyNC4wIKXMDSoASAFQAw%3D%3D||Barley Mow Village Hall, Bedford Ave, Birtley, Chester-le-Street DH3 2AJ, United Kingdom</t>
  </si>
  <si>
    <t>&lt;iframe src="https://www.google.com/maps/embed?pb=!1m18!1m12!1m3!1d505392.45454993064!2d-1.5641939878826465!3d54.7456944870621!2m3!1f0!2f0!3f0!3m2!1i1024!2i768!4f13.1!3m3!1m2!1s0x487e7b996e4faecf%3A0xab28240f5c575bd7!2sBarley%20Mow%20Village%20Hall!5e0!3m2!1sen!2sus!4v1727393479479!5m2!1sen!2sus" width="600" height="450" style="border:0;" allowfullscreen="" loading="lazy" referrerpolicy="no-referrer-when-downgrade"&gt;&lt;/iframe&gt;</t>
  </si>
  <si>
    <t>54.879310, -1.574503</t>
  </si>
  <si>
    <t>Birtley</t>
  </si>
  <si>
    <t>https://www.google.com/maps/place/Highgate+URC+Church/@51.5690336,-0.1842396,11.86z/data=!4m6!3m5!1s0x48761a4eef0bdeaf:0x490f49ee64c08992!8m2!3d51.5699819!4d-0.1490691!16s%2Fg%2F11bbrjm41t?hl=en&amp;entry=ttu&amp;g_ep=EgoyMDI0MDkyNC4wIKXMDSoASAFQAw%3D%3D||Highgate URC Church, Pond Square, South Grove, London N6 6BA, United Kingdom</t>
  </si>
  <si>
    <t>&lt;iframe src="https://www.google.com/maps/embed?pb=!1m18!1m12!1m3!1d87378.32643665557!2d-0.18423961500758648!3d51.56903355272245!2m3!1f0!2f0!3f0!3m2!1i1024!2i768!4f13.1!3m3!1m2!1s0x48761a4eef0bdeaf%3A0x490f49ee64c08992!2sHighgate%20URC%20Church!5e0!3m2!1sen!2sus!4v1727393768217!5m2!1sen!2sus" width="600" height="450" style="border:0;" allowfullscreen="" loading="lazy" referrerpolicy="no-referrer-when-downgrade"&gt;&lt;/iframe&gt;</t>
  </si>
  <si>
    <t>2024 location moved back to Arnoldsville per &lt;a href="https://www.facebook.com/groups/45458433401/posts/10160872059143402/"&gt;Facebook post&lt;/a&gt;</t>
  </si>
  <si>
    <t>33.905408, -83.217333</t>
  </si>
  <si>
    <t>https://www.google.com/maps/place/Lynd+School+House/@38.6503066,-86.450941,9.94z/data=!4m14!1m7!3m6!1s0x886eaa3caf7a0567:0xc1bd910c4f3279b7!2s723+County+Rd+700+E,+Orleans,+IN+47452!3b1!8m2!3d38.570126!4d-86.3278625!3m5!1s0x886eaa3ca5f31a5d:0xae51211d2db14d83!8m2!3d38.5672159!4d-86.3272113!16s%2Fg%2F11qmrlffhn?entry=ttu&amp;g_ep=EgoyMDI0MTAwMS4wIKXMDSoASAFQAw%3D%3D||Lynd Schoolhouse, 723 N Lynd Rd, Orleans, IN</t>
  </si>
  <si>
    <t>&lt;iframe src="https://www.google.com/maps/embed?pb=!1m18!1m12!1m3!1d414498.1855196023!2d-86.45094096976976!3d38.650306604885195!2m3!1f0!2f0!3f0!3m2!1i1024!2i768!4f13.1!3m3!1m2!1s0x886eaa3ca5f31a5d%3A0xae51211d2db14d83!2sLynd%20School%20House!5e0!3m2!1sen!2sus!4v1727916717995!5m2!1sen!2sus" width="600" height="450" style="border:0;" allowfullscreen="" loading="lazy" referrerpolicy="no-referrer-when-downgrade"&gt;&lt;/iframe&gt;</t>
  </si>
  <si>
    <t>38.567193, -86.327232</t>
  </si>
  <si>
    <t>Nov, First 5th Sun after Labor Day &amp; Sat before</t>
  </si>
  <si>
    <t>November 29-30, 2025</t>
  </si>
  <si>
    <t>&lt;add-to-calendar-button  name="Union Musical Sacred Harp Convention"   location="Alpharetta City Hall, 2 Park Plaza, Alpharetta, GA 30009"   description="10am; shapenotesingings.com"   options="'Apple','Google','iCal','Outlook.com'"   styleLight="--btn-background: #550000; --btn-text: #fff; --btn-shadow:#fff;" dates='[{"startDate":"2025-11-29", "endDate":"2025-11-29", "startTime":"10:00", "endTime":"15:00", "timeZone":"America/New_York"}, {"startDate":"2025-11-30", "endDate":"2025-11-30", "startTime":"10:00", "endTime":"15:00", "timeZone":"America/New_York"}]' &gt;&lt;/add-to-calendar-button&gt;</t>
  </si>
  <si>
    <t>Normally First 5th Sun after Labor Day &amp; Sat before. Moved to 5th Sun in June for 2025.</t>
  </si>
  <si>
    <t>Cancelled in 2024 due to Hurricane Helene&lt;/br&gt;Reduced singing time for 2024 at the official festival, but unofficial afternoon singing has been arranged.&lt;/br&gt;
&lt;/br&gt;
Schedule&lt;/br&gt;
10:00-10:45am  Sacred Harp&lt;/br&gt;
11:30-12:15pm  Christian Harmony&lt;/br&gt;
(both sessions in the Bear Lake Reserve Family Circle Stage, closer to the creek than in previous years)&lt;/br&gt;
Lunch provided by university&lt;/br&gt;
1:30-3:30 Afternoon singing (both books) Coulter Building Recital Hall (other side of campus from the festival, but parking should be available)&lt;/br&gt;</t>
  </si>
  <si>
    <t>2025 date adjusted per &lt;a href="https://www.facebook.com/groups/288062357886428/posts/27987792790820012/"&gt;Facebook post&lt;/a&gt;</t>
  </si>
  <si>
    <t>Rene Greene or Pam Nunn, &lt;a href="https://www.facebook.com/groups/288062357886428/posts/28030297346569556/"&gt;2024 Facebook post&lt;/a&gt;</t>
  </si>
  <si>
    <t>Allison Langston - osageorange86 [at] gmail.com and Cory Winters - wlee1987 [at] hotmail.com, &lt;a href="https://www.facebook.com/events/1657331918378390/"&gt;2024 Facebook event&lt;/a&gt;</t>
  </si>
  <si>
    <t>&lt;a href="https://www.facebook.com/groups/288062357886428/posts/27993614866904471/"&gt;2024 Facebook post&lt;/a&gt;</t>
  </si>
  <si>
    <t>&lt;a href="https://sacredharpaustralia.com/kyneton/"&gt;sacredharpaustralia.com/kyneton/&lt;/a&gt;, &lt;a href="https://www.facebook.com/groups/SacredHarpMelbourne/"&gt;Sacred Harp Melbourne Facebook group&lt;/a&gt;, or email Lauren at kynetonsacredharp [at] gmail.com, &lt;a href="https://www.facebook.com/events/1161878171570361/"&gt;2024 Facebook event&lt;/a&gt;</t>
  </si>
  <si>
    <t>&lt;a href="https://pennsylvaniasacredharp.com/upcoming-sings/"&gt;pennsylvaniasacredharp.com&lt;/a&gt;, &lt;a href="https://www.facebook.com/events/1174714146915160/"&gt;2024 Facebook event&lt;/a&gt;</t>
  </si>
  <si>
    <t>Philadelphia All-Day Singing</t>
  </si>
  <si>
    <t>Shenandoah Harmony singing on Saturday. Pub Carol sing on Saturday evening. Sunday brunch singing from Valley Pocket Harmonist</t>
  </si>
  <si>
    <t>Denson Book 2025</t>
  </si>
  <si>
    <t>United Sacred Harp Musical Association Convention, Sacred Harp Revision Release</t>
  </si>
  <si>
    <t>The Saturday session will be dedicated to the introduction of the new book and its new songs, recognition of composers, and recognition of the committee and adjunct committees and working groups. The Sunday session will be a regular singing day from the new songbook.</t>
  </si>
  <si>
    <t>Featuring introduction of The Sacred Harp 2025 per &lt;a href="https://www.facebook.com/groups/288062357886428/posts/28015467844719173"&gt;Facebook post&lt;/a&gt;</t>
  </si>
  <si>
    <t>2025 Convention will feature release of new revision to The Sacred Harp per &lt;a href="https://www.facebook.com/groups/288062357886428/posts/28015467844719173"&gt;Facebook post&lt;/a&gt;</t>
  </si>
  <si>
    <t>Singing returning to Andrews Chapel 2024 session per Oscar McGuire and &lt;a href="https://www.facebook.com/groups/45458433401/"&gt;FB post&lt;/a&gt;</t>
  </si>
  <si>
    <t>https://www.google.com/maps/place/Andrews+Chapel/@32.9052826,-84.2917163,11.51z/data=!4m6!3m5!1s0x88f3810041202109:0x7745b22ddb415dd3!8m2!3d32.9014407!4d-84.223914!16s%2Fg%2F11w9xt7zcf?authuser=0&amp;entry=ttu&amp;g_ep=EgoyMDI0MTAwNy4xIKXMDSoASAFQAw%3D%3D||Andrews Chapel, 1800 Andrews Chapel Rd, Thomaston, GA 30286</t>
  </si>
  <si>
    <t>&lt;iframe src="https://www.google.com/maps/embed?pb=!1m14!1m8!1m3!1d150139.13881214857!2d-84.29171632808773!3d32.90528262866056!3m2!1i1024!2i768!4f13.1!3m3!1m2!1s0x88f3810041202109%3A0x7745b22ddb415dd3!2sAndrews%20Chapel!5e0!3m2!1sen!2sus!4v1728553087579!5m2!1sen!2sus" width="600" height="450" style="border:0;" allowfullscreen="" loading="lazy" referrerpolicy="no-referrer-when-downgrade"&gt;&lt;/iframe&gt;</t>
  </si>
  <si>
    <t>32.901453, -84.223903</t>
  </si>
  <si>
    <t>Thomaston</t>
  </si>
  <si>
    <t>Location updated per &lt;a href="https://www.sacredharp.de/convention.html"&gt;https://www.sacredharp.de/convention.html&lt;/a&gt;</t>
  </si>
  <si>
    <t>53.083642, 8.865198</t>
  </si>
  <si>
    <t>https://www.google.de/maps/place/Anthroposophische+Gesellschaft,+Novalis-Zweig+Bremen/@53.0643623,8.8503065,11.68z/data=!4m6!3m5!1s0x47b127c74874e17b:0x176563fb1ed5a3d4!8m2!3d53.0836654!4d8.865471!16s%2Fg%2F1tyktf84?entry=ttu&amp;g_ep=EgoyMDI0MTAwOC4wIKXMDSoASAFQAw%3D%3D||Anthroposophische Gesellschaft, Freiligrathstraße 15, 28211 Bremen, Germany</t>
  </si>
  <si>
    <t>&lt;iframe src="https://www.google.com/maps/embed?pb=!1m18!1m12!1m3!1d95737.10500650527!2d8.850306527149106!3d53.064362299914684!2m3!1f0!2f0!3f0!3m2!1i1024!2i768!4f13.1!3m3!1m2!1s0x47b127c74874e17b%3A0x176563fb1ed5a3d4!2sAnthroposophische%20Gesellschaft%2C%20Novalis-Zweig%20Bremen!5e0!3m2!1sen!2sus!4v1728604960522!5m2!1sen!2sus" width="600" height="450" style="border:0;" allowfullscreen="" loading="lazy" referrerpolicy="no-referrer-when-downgrade"&gt;&lt;/iframe&gt;</t>
  </si>
  <si>
    <t>Elkhart</t>
  </si>
  <si>
    <t>Harmonia Sacra</t>
  </si>
  <si>
    <t>New Year's Day Harmonia Sacra Singing</t>
  </si>
  <si>
    <t>https://www.google.com/maps/place/Anabaptist+Mennonite+Biblical+Seminary/@41.6527325,-86.1792576,9.47z/data=!4m6!3m5!1s0x8816c3021bd6e46f:0xaf5b6c3ba714d5ef!8m2!3d41.655814!4d-85.97218!16zL20vMGJsbW05?entry=ttu&amp;g_ep=EgoyMDI0MTAwOS4wIKXMDSoASAFQAw%3D%3D||Anabaptist Mennonite Biblical Seminary, 3003 Benham Ave, Elkhart, IN 46517</t>
  </si>
  <si>
    <t>&lt;iframe src="https://www.google.com/maps/embed?pb=!1m18!1m12!1m3!1d550134.8712561455!2d-86.17925763274104!3d41.65273254911637!2m3!1f0!2f0!3f0!3m2!1i1024!2i768!4f13.1!3m3!1m2!1s0x8816c3021bd6e46f%3A0xaf5b6c3ba714d5ef!2sAnabaptist%20Mennonite%20Biblical%20Seminary!5e0!3m2!1sen!2sus!4v1728966257491!5m2!1sen!2sus" width="600" height="450" style="border:0;" allowfullscreen="" loading="lazy" referrerpolicy="no-referrer-when-downgrade"&gt;&lt;/iframe&gt;</t>
  </si>
  <si>
    <t>Singing added per user submission</t>
  </si>
  <si>
    <t>7-shape oblong book&lt;/br&gt;
Waltner Hall Chapel of the Word&lt;/br&gt;
Please park in the south lot and enter through the south door.&lt;/br&gt;
&lt;/br&gt;
A light potluck supper will follow.&lt;/br&gt;
For more information contact: Samuel Sommers at scmws [at] yahoo.com</t>
  </si>
  <si>
    <t>41.655872, -85.972154</t>
  </si>
  <si>
    <t>&lt;a href="http://singings.texasfasola.org/annualsingings.html"&gt;singings.texasfasola.org&lt;/a&gt;, Gaylon Powell, &lt;a href="https://groups.google.com/g/fasola-singings/c/KRehGykk87g"&gt;2024 listserv post&lt;/a&gt;</t>
  </si>
  <si>
    <t>trcopes [at] gmail.com, &lt;a href="https://groups.google.com/g/fasola-singings/c/yIlgXj92WRY"&gt;2024 Listserv post&lt;/a&gt;</t>
  </si>
  <si>
    <t>Voted at 2024 singing to change date for 2025 only.</t>
  </si>
  <si>
    <t>Cancelled in 2024 due to flood damage from Helene per &lt;a href="http://christianharmony.org/schedule.html"&gt;christianharmony.org/schedule.html&lt;/a&gt;</t>
  </si>
  <si>
    <t>Jane Cannon, (706) 410-0982; crvjanecannon [at] gmail.com, &lt;a href="http://www.christianharmony.org/schedule.html"&gt;http://www.christianharmony.org/schedule.html&lt;/a&gt;, &lt;a href="https://www.facebook.com/events/1910154552827380"&gt;2024 Facebook Event&lt;/a&gt;</t>
  </si>
  <si>
    <t>&lt;a href="https://sacredharp.uk/"&gt;sacredharp.uk&lt;/a&gt;, &lt;a href="https://www.facebook.com/events/868363045276487/"&gt;2024 Facebook Event&lt;/a&gt;</t>
  </si>
  <si>
    <t>&lt;a href="http://atlantasacredharp.org/"&gt;atlantasacredharp.org&lt;/a&gt;, &lt;a href="https://www.facebook.com/events/860150472974775/"&gt;2024 Facebook event&lt;/a&gt;</t>
  </si>
  <si>
    <t>Hamburg New Year's Singing</t>
  </si>
  <si>
    <t>Jan, Sat before 1st Sun</t>
  </si>
  <si>
    <t>Kari Lundgren, &lt;a href="https://www.facebook.com/groups/288062357886428/posts/24607617142170944/"&gt;2023 Facebook post&lt;/a&gt; - &lt;H4&gt;NO POSTS FOUND FOR 2024&lt;/H4&gt;</t>
  </si>
  <si>
    <t>&lt;a href="https://sacredharp.uk/"&gt;https://sacredharp.uk/&lt;/a&gt;, &lt;a href="https://www.facebook.com/events/1257330111851414/"&gt;2024 Facebook event&lt;/a&gt;</t>
  </si>
  <si>
    <t>&lt;a href="http://shape-note.uchicago.edu/"&gt;http://www.chicagosingings.org&lt;/a&gt;, &lt;a href="https://groups.google.com/g/fasola-singings/c/RZvtXEfX6fU"&gt;2024 listserv post&lt;/a&gt;</t>
  </si>
  <si>
    <t>dndross1968 [at] gmail.com, &lt;a href="http://singings.texasfasola.org/annualsingings.html"&gt;http://singings.texasfasola.org/annualsingings.html&lt;/a&gt;, &lt;a href="https://www.facebook.com/events/1227245678310525/"&gt;2024 Facebook event&lt;/a&gt;, &lt;a href="https://groups.google.com/g/fasola-singings/c/wLNhiMeHjD0"&gt;2024 Listserv post&lt;/a&gt;</t>
  </si>
  <si>
    <t>Singing added per &lt;a href="https://www.facebook.com/events/1203653240883446/"&gt;2025 Facebook Event&lt;/a&gt;</t>
  </si>
  <si>
    <t>Confirmed happening after Helene, but bag lunches only.</t>
  </si>
  <si>
    <t>Valley Pocket Harmonist</t>
  </si>
  <si>
    <t>Valley Pocket Harmonist Two-Day Singing</t>
  </si>
  <si>
    <t>Singing added per &lt;a href="https://dcshapenote.squarespace.com/big-singings"&gt;https://dcshapenote.squarespace.com/big-singings&lt;/a&gt;</t>
  </si>
  <si>
    <t xml:space="preserve">https://www.google.com/maps/dir/Grace+Episcopal+Church,+110+N+Church+St,+Berryville,+VA+22611/2336+Salem+Church+Rd,+Boyce,+VA+22620/@39.1588144,-78.0956175,12.06z/data=!4m14!4m13!1m5!1m1!1s0x89b5e30755b21a21:0x4ef6231dc5f8aef6!2m2!1d-77.9800407!2d39.1525506!1m5!1m1!1s0x89b5e5b7b9ccde2f:0xdfda21ec5f223eb7!2m2!1d-78.0745169!2d39.143044!3e0?entry=ttu&amp;g_ep=EgoyMDI0MTAyOS4wIKXMDSoASAFQAw%3D%3D||Grace Episcopal Church Parish Hall (110 N. Church Street, Berryville VA) and Singing Hall (2336 Salem Church Rd, Boyce VA 22620) </t>
  </si>
  <si>
    <t>39.152558, -77.980064</t>
  </si>
  <si>
    <t>Berryville</t>
  </si>
  <si>
    <t>&lt;a href="https://dcshapenote.squarespace.com/big-singings"&gt;https://dcshapenote.squarespace.com/big-singings&lt;/a&gt;, &lt;a href="https://www.shenandoahharmony.com/our-books/the-valley-pocket-harmonist/"&gt;https://www.shenandoahharmony.com/our-books/the-valley-pocket-harmonist/&lt;/a&gt;</t>
  </si>
  <si>
    <t>Jan, 1st Sun &amp; Sat Before</t>
  </si>
  <si>
    <t>https://www.google.com/maps/place/Episcopal+Church-Holy+Spirit/@35.8177536,-82.7124936,10.68z/data=!4m6!3m5!1s0x885a22eb067962bd:0x3a7103baf70a3ded!8m2!3d35.8355207!4d-82.5857452!16s%2Fg%2F1tdqpchx?entry=ttu&amp;g_ep=EgoyMDI0MTAyOS4wIKXMDSoASAFQAw%3D%3D||The Church of the Holy Spirit, 433 Bone Camp Road, Marshall, NC 28753</t>
  </si>
  <si>
    <t>&lt;iframe src="https://www.google.com/maps/embed?pb=!1m18!1m12!1m3!1d184593.27743711296!2d-82.7103827102126!3d35.76349178064015!2m3!1f0!2f0!3f0!3m2!1i1024!2i768!4f13.1!3m3!1m2!1s0x885a22eb067962bd%3A0x3a7103baf70a3ded!2sEpiscopal%20Church-Holy%20Spirit!5e0!3m2!1sen!2sus!4v1730596023575!5m2!1sen!2sus" width="600" height="450" style="border:0;" allowfullscreen="" loading="lazy" referrerpolicy="no-referrer-when-downgrade"&gt;&lt;/iframe&gt;</t>
  </si>
  <si>
    <t>Location updated per &lt;a href="https://www.christianharmony.org/schedule.html"&gt;christianharmony.org/schedule.html&lt;/a&gt;</t>
  </si>
  <si>
    <t>35.835338, -82.585556</t>
  </si>
  <si>
    <t>Dec, Christmas Day</t>
  </si>
  <si>
    <t>Calvary Christmas Night Singing</t>
  </si>
  <si>
    <t>5:30-8:30pm</t>
  </si>
  <si>
    <t>Dan Huger +1 828 274 8899 - dehuger at gmail dot com, &lt;a href="https://www.christianharmony.org/schedule.html"&gt;https://www.christianharmony.org/schedule.html&lt;/a&gt;</t>
  </si>
  <si>
    <t>Singing added per &lt;a href="https://www.christianharmony.org/schedule.html"&gt;https://www.christianharmony.org/schedule.html&lt;/a&gt;</t>
  </si>
  <si>
    <t>Brandon Johnson - madcoed at gmail dot com, &lt;a href="http://www.christianharmony.org/schedule.html"&gt;http://www.christianharmony.org/schedule.html&lt;/a&gt;, &lt;a href="https://madisoncountyarts.com/events/christian-harmony-singing-and-d-o-g/"&gt;https://madisoncountyarts.com/events/christian-harmony-singing-and-d-o-g/&lt;/a&gt;</t>
  </si>
  <si>
    <t>Shenandoah Harmony, Valley Pocket Harmonist</t>
  </si>
  <si>
    <t>&lt;iframe src="https://www.google.com/maps/embed?pb=!1m24!1m8!1m3!1d381073.4406824699!2d-78.11322313012046!3d39.15160913559405!3m2!1i1024!2i768!4f13.1!4m13!3e0!4m5!1s0x89b5e30755b21a21%3A0x4ef6231dc5f8aef6!2sGrace%20Episcopal%20Church%2C%20110%20N%20Church%20St%2C%20Berryville%2C%20VA%2022611!3m2!1d39.1525506!2d-77.9800407!4m5!1s0x89b5e5b7b9ccde2f%3A0xdfda21ec5f223eb7!2s2336%20Salem%20Church%20Rd%2C%20Boyce%2C%20VA%2022620!3m2!1d39.143043999999996!2d-78.07451689999999!5e0!3m2!1sen!2sus!4v1730596959161!5m2!1sen!2sus" width="600" height="450" style="border:0;" allowfullscreen="" loading="lazy" referrerpolicy="no-referrer-when-downgrade"&gt;&lt;/iframe&gt;</t>
  </si>
  <si>
    <t>Contact Ginny Huszagh at: vhuszagh [at] aol.com or Eric Bean at: gebean0 [at] gmail.com, &lt;a href="https://groups.google.com/g/fasola-singings/c/Cn9ujqbc7KM"&gt;2024 Listserv post&lt;/a&gt;, &lt;a href="https://www.facebook.com/events/581455457589082/"&gt;2024 Facebook Event&lt;/a&gt;, &lt;a href="http://www.albanysacredharp.org/"&gt;http://www.albanysacredharp.org/&lt;/a&gt;</t>
  </si>
  <si>
    <t>2025 location expected to be Albany per user submission</t>
  </si>
  <si>
    <t>Singing re-added for 2025 per &lt;a href="https://sacredharp.uk/"&gt;https://sacredharp.uk/&lt;/a&gt;</t>
  </si>
  <si>
    <t>&lt;a href="https://sacredharp.uk/"&gt;https://sacredharp.uk/&lt;/a&gt; &lt;a href="https://www.facebook.com/events/1203653240883446/"&gt;2025 Facebook event&lt;/a&gt;</t>
  </si>
  <si>
    <t>Moved 2025 to 1st weekend per &lt;a href="https://sacredharp.uk/"&gt;sacredharp.uk&lt;/a&gt;</t>
  </si>
  <si>
    <t>&lt;a href="http://www.sacredharpbook.com/calendar-of-singings/"&gt;sacredharpbook.com/calendar-of-singings/&lt;/a&gt;, &lt;a href="https://www.facebook.com/groups/288062357886428/posts/would-like-to-invite-everyone-to-the-97th-session-state-of-alabama-convention-co/28499985449600741/"&gt;2024 Facebook post&lt;/a&gt;</t>
  </si>
  <si>
    <t>&lt;a href="https://www.facebook.com/groups/OrlandoFaSoLa"&gt;Orlando Sacred Harp Facebook Group&lt;/a&gt;, &lt;a href="https://www.facebook.com/events/980526660347442/"&gt;2025 Facebook event&lt;/a&gt;</t>
  </si>
  <si>
    <t>Added as recurring event per user submission</t>
  </si>
  <si>
    <t>Saturday 9am-10am, Singing school&lt;/br&gt;Saturday 10am-3pm, singing from The Sacred Harp (1991, Denson) with dinner on the grounds&lt;/br&gt;Saturday 4:30-5:30pm, singing from The Christian Harmony 2010&lt;/br&gt;Saturday 5:30-8pm, evening Social with bonfire&lt;/br&gt;Sunday 10am-12:15pm, Singing from Shenandoah Harmony and Valley Parket Harmonist&lt;/br&gt;Sunday 1pm-4pm, Cooper Book singing</t>
  </si>
  <si>
    <t>https://www.google.com/maps/place/Harrison+Recreation+Center/@37.735851,-122.2670035,11.65z/data=!4m6!3m5!1s0x808f86be339c958d:0x86a398fa18525852!8m2!3d37.7581324!4d-122.2298699!16s%2Fg%2F113k82dwb?entry=ttu&amp;g_ep=EgoyMDI0MTExOS4yIKXMDSoASAFQAw%3D%3D||Harrison Recreation Center in Lincoln Park, 1450 High St, Alameda, CA 94501</t>
  </si>
  <si>
    <t>&lt;iframe src="https://www.google.com/maps/embed?pb=!1m18!1m12!1m3!1d128444.76593992174!2d-122.2670034793284!3d37.73585096630538!2m3!1f0!2f0!3f0!3m2!1i1024!2i768!4f13.1!3m3!1m2!1s0x808f86be339c958d%3A0x86a398fa18525852!2sHarrison%20Recreation%20Center!5e0!3m2!1sen!2sus!4v1732253513494!5m2!1sen!2sus" width="600" height="450" style="border:0;" allowfullscreen="" loading="lazy" referrerpolicy="no-referrer-when-downgrade"&gt;&lt;/iframe&gt;</t>
  </si>
  <si>
    <t>Location added per &lt;a href="https://www.facebook.com/events/1085655773188940/"&gt;2025 Facebook event&lt;/a&gt;</t>
  </si>
  <si>
    <t>37.758097, -122.229899</t>
  </si>
  <si>
    <t>Alameda</t>
  </si>
  <si>
    <t>&lt;a href="https://bayareasacredharp.org/all-california-sacred-harp-convention/"&gt;bayareasacredharp.org&lt;/a&gt;, &lt;a href="https://www.facebook.com/events/1085655773188940/"&gt;2025 Facebook event&lt;/a&gt;</t>
  </si>
  <si>
    <t>&lt;a href="http://www.sacredharpbook.com/calendar-of-singings/"&gt;sacredharpbook.com/calendar-of-singings/&lt;/a&gt;, &lt;a href="https://www.facebook.com/groups/288062357886428/posts/28639266562339295/"&gt;2024 Facebook post&lt;/a&gt;</t>
  </si>
  <si>
    <t>&lt;a href="https://sacredharp.uk/"&gt;sacredharp.uk&lt;/a&gt;, &lt;a href="https://www.facebook.com/events/1075399974056864/"&gt;2025 Facebook event&lt;/a&gt;</t>
  </si>
  <si>
    <t>https://www.google.com/maps/place/Old+Labor+Hall+National+Historic+Landmark/@44.1319504,-72.6105889,10.96z/data=!4m6!3m5!1s0x4cb506dc9989aedd:0x57e1b2b44cf4768e!8m2!3d44.1986704!4d-72.5067106!16s%2Fg%2F1ydpvckrb?entry=ttu&amp;g_ep=EgoyMDI0MTEyNC4xIKXMDSoASAFQAw%3D%3D||Barre Labor Hall, 46 Granite Street, Barre, VT</t>
  </si>
  <si>
    <t>&lt;iframe src="https://www.google.com/maps/embed?pb=!1m18!1m12!1m3!1d188643.56362814657!2d-72.61058888529047!3d44.13195040615254!2m3!1f0!2f0!3f0!3m2!1i1024!2i768!4f13.1!3m3!1m2!1s0x4cb506dc9989aedd%3A0x57e1b2b44cf4768e!2sOld%20Labor%20Hall%20National%20Historic%20Landmark!5e0!3m2!1sen!2sus!4v1732714823705!5m2!1sen!2sus" width="600" height="450" style="border:0;" allowfullscreen="" loading="lazy" referrerpolicy="no-referrer-when-downgrade"&gt;&lt;/iframe&gt;</t>
  </si>
  <si>
    <t>Moved back to March and updated location per &lt;a href="https://www.facebook.com/sacredharpcommunity/posts/pfbid0seZi9YiriFwKLzCJPxu9qU87aCMHvPHeQZuYkSP16piwQAG8dz5DjhJaMAubWzf1l"&gt;Facebook post&lt;/a&gt;</t>
  </si>
  <si>
    <t>44.198807, -72.506784</t>
  </si>
  <si>
    <t>Barre</t>
  </si>
  <si>
    <t>&lt;a href="https://vermontshapenotesingers.com/annual/"&gt;https://vermontshapenotesingers.com/annual/&lt;/a&gt;, &lt;a href="https://www.facebook.com/sacredharpcommunity"&gt;Sacred Harp Community of Vermont on Facebook&lt;/a&gt;</t>
  </si>
  <si>
    <t>Moved to 1st Saturday per &lt;a href="https://www.facebook.com/events/1350204972653513/"&gt;2025 Facebook event&lt;/a&gt;</t>
  </si>
  <si>
    <t>&lt;a href="https://www.oldharp.org/"&gt;oldharp.org&lt;/a&gt;, &lt;a href="https://www.facebook.com/groups/oldharp"&gt;Old Harp Singing in East TN on Facebook&lt;/a&gt;, &lt;a href="https://www.facebook.com/events/1350204972653513/"&gt;2025 Facebook event&lt;/a&gt;</t>
  </si>
  <si>
    <t>Adrian Eldridge, Erin Fulton, &lt;a href="https://www.facebook.com/events/906642658279961/"&gt;2024 Facebook event&lt;/a&gt;</t>
  </si>
  <si>
    <t>&lt;a href="https://ynhrs.yale.edu/event/all-day-singing"&gt;ynhrs.yale.edu/event/all-day-singing&lt;/a&gt;, &lt;a href="https://ynhrs.yale.edu/event/2025-new-haven-all-day-singing"&gt;2025 event page&lt;/a&gt;</t>
  </si>
  <si>
    <t>Location updated per &lt;a href="https://ynhrs.yale.edu/event/2025-new-haven-all-day-singing"&gt;2025 event page&lt;/a&gt;</t>
  </si>
  <si>
    <t>https://www.google.com/maps/place/Rosenfeld+Hall,+109+Grove+St,+New+Haven,+CT+06510/@41.2892133,-73.0942539,10.25z/data=!4m6!3m5!1s0x89e7d9b60f313f99:0x9fb0e0c87e7519f6!8m2!3d41.3111947!4d-72.9233096!16s%2Fg%2F1ttphy3x?entry=ttu&amp;g_ep=EgoyMDI0MTIxMC4wIKXMDSoASAFQAw%3D%3D||Rosenfeld Hall, 109 Grove St, New Haven, CT 06510</t>
  </si>
  <si>
    <t>&lt;iframe src="https://www.google.com/maps/embed?pb=!1m18!1m12!1m3!1d321819.5080004875!2d-73.09425390119773!3d41.289213327860345!2m3!1f0!2f0!3f0!3m2!1i1024!2i768!4f13.1!3m3!1m2!1s0x89e7d9b60f313f99%3A0x9fb0e0c87e7519f6!2sRosenfeld%20Hall%2C%20109%20Grove%20St%2C%20New%20Haven%2C%20CT%2006510!5e0!3m2!1sen!2sus!4v1734048958202!5m2!1sen!2sus" width="600" height="450" style="border:0;" allowfullscreen="" loading="lazy" referrerpolicy="no-referrer-when-downgrade"&gt;&lt;/iframe&gt;</t>
  </si>
  <si>
    <t>41.311193, -72.923330</t>
  </si>
  <si>
    <t>Rodney Ivey</t>
  </si>
  <si>
    <t>Jan, Sat before MLK Day</t>
  </si>
  <si>
    <t>Crosbyton</t>
  </si>
  <si>
    <t>West Texas Singing</t>
  </si>
  <si>
    <t>https://www.google.com/maps/place/Crosbyton+Primitive+Baptist+Church/@33.4310725,-100.9377319,8.46z/data=!4m6!3m5!1s0x86ffc94dca61a93b:0xdc209ca09e439be5!8m2!3d33.655715!4d-101.2427947!16s%2Fg%2F11rjz42jjk?entry=ttu&amp;g_ep=EgoyMDI0MTIxMS4wIKXMDSoASAFQAw%3D%3D||Crosbyton PBC, 401 S Emerald, Crosbyton, TX 79322</t>
  </si>
  <si>
    <t>&lt;iframe src="https://www.google.com/maps/embed?pb=!1m18!1m12!1m3!1d1240803.2370556858!2d-100.93773191060923!3d33.43107249304712!2m3!1f0!2f0!3f0!3m2!1i1024!2i768!4f13.1!3m3!1m2!1s0x86ffc94dca61a93b%3A0xdc209ca09e439be5!2sCrosbyton%20Primitive%20Baptist%20Church!5e0!3m2!1sen!2sus!4v1734159918049!5m2!1sen!2sus" width="600" height="450" style="border:0;" allowfullscreen="" loading="lazy" referrerpolicy="no-referrer-when-downgrade"&gt;&lt;/iframe&gt;</t>
  </si>
  <si>
    <t>Singing added per &lt;a href="http://singings.texasfasola.org/annualsingings.html"&gt;singings.texasfasola.org&lt;/a&gt;</t>
  </si>
  <si>
    <t>&lt;a href="https://singings.texasfasola.org/annual/west_texas.html"&gt;https://singings.texasfasola.org/annual/west_texas.html&lt;/a&gt;</t>
  </si>
  <si>
    <t>33.655776, -101.242817</t>
  </si>
  <si>
    <t>&lt;a href="https://www.facebook.com/events/1232925551263033/"&gt;2025 Facebook event&lt;/a&gt;</t>
  </si>
  <si>
    <t>&lt;a href="https://pennsylvaniasacredharp.com/upcoming-sings/"&gt;pennsylvaniasacredharp.com&lt;/a&gt;, &lt;a href="https://www.facebook.com/events/1192706955132729"&gt;2025 Facebook event&lt;/a&gt;</t>
  </si>
  <si>
    <t>Leola</t>
  </si>
  <si>
    <t>https://www.google.com/maps/place/Bareville+Fire+Company/@40.0489489,-76.3125715,11.17z/data=!4m6!3m5!1s0x89c63e65ad6baf6d:0xa89ebf2aaa63aa6c!8m2!3d40.0921139!4d-76.1628244!16s%2Fg%2F1td7d2w0?entry=ttu&amp;g_ep=EgoyMDI0MTIxMS4wIKXMDSoASAFQAw%3D%3D||Bareville Fire Hall, 211 East Main Street, Leola, PA 17540</t>
  </si>
  <si>
    <t>&lt;iframe src="https://www.google.com/maps/embed?pb=!1m18!1m12!1m3!1d174136.87305355672!2d-76.25697078113909!3d40.05099409349249!2m3!1f0!2f0!3f0!3m2!1i1024!2i768!4f13.1!3m3!1m2!1s0x89c63e65ad6baf6d%3A0xa89ebf2aaa63aa6c!2sBareville%20Fire%20Company!5e0!3m2!1sen!2sus!4v1734268028061!5m2!1sen!2sus" width="600" height="450" style="border:0;" allowfullscreen="" loading="lazy" referrerpolicy="no-referrer-when-downgrade"&gt;&lt;/iframe&gt;</t>
  </si>
  <si>
    <t>Location updated per &lt;a href="https://www.facebook.com/events/1192706955132729"&gt;2025 Facebook event&lt;/a&gt;</t>
  </si>
  <si>
    <t>40.092095, -76.162885</t>
  </si>
  <si>
    <t>Jun, 2nd Sat</t>
  </si>
  <si>
    <t>Date formula updated per &lt;a href="https://www.christianharmony.org/schedule.html"&gt;christianharmony.org/schedule.html&lt;/a&gt;</t>
  </si>
  <si>
    <t>Oct, 3rd Sat</t>
  </si>
  <si>
    <t>Moved to Saturday per &lt;a href="http://www.sacredharpbook.com/calendar-of-singings/"&gt;sacredharpbook.com/calendar-of-singings/&lt;/a&gt;</t>
  </si>
  <si>
    <t>&lt;h4&gt;Cancelled for 2025&lt;/h4&gt;Take U.S. Hwy. 78 to Fruithurst—Turn north onto County Road 49—Dutch Treat Singing—Meals are served at the church for a very reasonable price</t>
  </si>
  <si>
    <t>Cancelled in 2024 per &lt;a href="https://www.facebook.com/groups/288062357886428/posts/25217526944513291/"&gt;https://www.facebook.com/groups/288062357886428/posts/25217526944513291/&lt;/a&gt; and in 2025 per 2024 minutes book</t>
  </si>
  <si>
    <t>-33.899344, 151.183813</t>
  </si>
  <si>
    <t>Normally Feb, 4th Sun &amp; Sat before. 2025 only will be March 8th and 9th.</t>
  </si>
  <si>
    <t>2025 date adjusted per 2024 minutes book</t>
  </si>
  <si>
    <t>2025 location moved to Holly Springs per 2024 minutes book</t>
  </si>
  <si>
    <t>33.683423, -85.14946</t>
  </si>
  <si>
    <t>https://www.google.com/maps/place/First+Existentialist+Congregation+of+Atlanta/@33.7560841,-84.3788966,13.11z/data=!4m6!3m5!1s0x88f506b09f4c3a8d:0xe04c384588ba6b57!8m2!3d33.767006!4d-84.3397754!16s%2Fg%2F11c3k2xv4n?entry=ttu&amp;g_ep=EgoyMDI0MTIxMS4wIKXMDSoASAFQAw%3D%3D||First Existentialist Congregation of Atlanta, 470 Candler Park Dr NE, Atlanta, GA 30307</t>
  </si>
  <si>
    <t>&lt;iframe src="https://www.google.com/maps/embed?pb=!1m18!1m12!1m3!1d49140.6473520523!2d-84.37889660797174!3d33.75608414479193!2m3!1f0!2f0!3f0!3m2!1i1024!2i768!4f13.1!3m3!1m2!1s0x88f506b09f4c3a8d%3A0xe04c384588ba6b57!2sFirst%20Existentialist%20Congregation%20of%20Atlanta!5e0!3m2!1sen!2sus!4v1734574602517!5m2!1sen!2sus" width="600" height="450" style="border:0;" allowfullscreen="" loading="lazy" referrerpolicy="no-referrer-when-downgrade"&gt;&lt;/iframe&gt;</t>
  </si>
  <si>
    <t>Location updated per 2024 minutes book</t>
  </si>
  <si>
    <t>33.767003, -84.339744</t>
  </si>
  <si>
    <t>E. T. White Memorial Singing</t>
  </si>
  <si>
    <t>Singing renamed per 2024 minutes book</t>
  </si>
  <si>
    <t>bhillkennedy [at] gmail.com</t>
  </si>
  <si>
    <t>Magic City All-Day Singing</t>
  </si>
  <si>
    <t>Jul, 1st Mon of Camp</t>
  </si>
  <si>
    <t>Los Angeles</t>
  </si>
  <si>
    <t>2025 TBA||2025 TBA in Los Angeles</t>
  </si>
  <si>
    <t>2025 singing will be in Los Angeles per minutes book</t>
  </si>
  <si>
    <t>Cancelled in 2024 due to Camp DoReMi conflict, per Mike Spencer</t>
  </si>
  <si>
    <t>Cancelled in 2024 due to flood damage from Helene</t>
  </si>
  <si>
    <t>Columbus</t>
  </si>
  <si>
    <t>https://www.google.com/maps/place/Calvary+Bible+Church/@40.0030556,-83.0634013,10.68z/data=!4m6!3m5!1s0x88388c41316ef11d:0xe88ba4c1fc99e319!8m2!3d40.0408953!4d-83.0190727!16s%2Fg%2F1w6_pgzh?entry=ttu&amp;g_ep=EgoyMDI0MTIxMS4wIKXMDSoASAFQAw%3D%3D||Calvary Bible Church, 3865 N High St, Columbus, OH 43214</t>
  </si>
  <si>
    <t>&lt;iframe src="https://www.google.com/maps/embed?pb=!1m18!1m12!1m3!1d244078.7434220259!2d-83.06340131099694!3d40.003055641568004!2m3!1f0!2f0!3f0!3m2!1i1024!2i768!4f13.1!3m3!1m2!1s0x88388c41316ef11d%3A0xe88ba4c1fc99e319!2sCalvary%20Bible%20Church!5e0!3m2!1sen!2sus!4v1734808741706!5m2!1sen!2sus" width="600" height="450" style="border:0;" allowfullscreen="" loading="lazy" referrerpolicy="no-referrer-when-downgrade"&gt;&lt;/iframe&gt;</t>
  </si>
  <si>
    <t>40.040918, -83.0191946</t>
  </si>
  <si>
    <t>2025 location updated per &lt;a href="http://columbussacredharp.org/convention/"&gt;http://columbussacredharp.org/convention/&lt;/a&gt;</t>
  </si>
  <si>
    <t>&lt;a href="https://www.facebook.com/groups/193737510649288"&gt;Sacred Harp Singing in Iowa FB Group&lt;/a&gt;</t>
  </si>
  <si>
    <t>https://www.google.com/maps/place/Plymouth+Church/@41.5838182,-93.7316407,11.57z/data=!4m6!3m5!1s0x87ee9f89193ea543:0xe68365daeba6d545!8m2!3d41.5859365!4d-93.6734157!16s%2Fg%2F11j9077jwz?entry=ttu&amp;g_ep=EgoyMDI0MTIxMS4wIKXMDSoASAFQAw%3D%3D||Plymouth Congregational Church, 4126 Ingersoll Ave, Des Moines, IA 50312</t>
  </si>
  <si>
    <t>&lt;iframe src="https://www.google.com/maps/embed?pb=!1m18!1m12!1m3!1d128708.26789576511!2d-93.731640740315!3d41.583818150676144!2m3!1f0!2f0!3f0!3m2!1i1024!2i768!4f13.1!3m3!1m2!1s0x87ee9f89193ea543%3A0xe68365daeba6d545!2sPlymouth%20Church!5e0!3m2!1sen!2sus!4v1735538950593!5m2!1sen!2sus" width="600" height="450" style="border:0;" allowfullscreen="" loading="lazy" referrerpolicy="no-referrer-when-downgrade"&gt;&lt;/iframe&gt;</t>
  </si>
  <si>
    <t>9am-3:30pm</t>
  </si>
  <si>
    <t>Iowa All-Day Annual Singing</t>
  </si>
  <si>
    <t>41.585734, -93.673415</t>
  </si>
  <si>
    <t>&lt;a href="https://groups.google.com/g/fasola-singings/c/zqkRnA9ddb8"&gt;2025 Listserv post&lt;/a&gt;</t>
  </si>
  <si>
    <t>Returned to 2nd weekend for 2025, per 2024 minutes book</t>
  </si>
  <si>
    <t>Cologne</t>
  </si>
  <si>
    <t>Cologne Singing</t>
  </si>
  <si>
    <t>&lt;a href="https://www.sacredharp.uk/"&gt;https://www.sacredharp.uk/&lt;/a&gt;, &lt;a href="https://www.facebook.com/events/2826178520894118"&gt;2025 Facebook Event&lt;/a&gt;</t>
  </si>
  <si>
    <t>https://www.google.com/maps/place/Greenmount+National+School/@51.8918418,-8.4908093,13.11z/data=!4m6!3m5!1s0x484490192e5bacbb:0x5f751c9e269e80d0!8m2!3d51.8911891!4d-8.4811035!16s%2Fg%2F11bbrmmqgc?hl=en&amp;entry=ttu&amp;g_ep=EgoyMDI0MTIxMS4wIKXMDSoASAFQAw%3D%3D||Greenmount National School, Green St, Green Street, Ballyphehane, Cork, T12 HE14, Ireland</t>
  </si>
  <si>
    <t>&lt;iframe src="https://www.google.com/maps/embed?pb=!1m18!1m12!1m3!1d36476.61910216425!2d-8.490809349824783!3d51.89184179904877!2m3!1f0!2f0!3f0!3m2!1i1024!2i768!4f13.1!3m3!1m2!1s0x484490192e5bacbb%3A0x5f751c9e269e80d0!2sGreenmount%20National%20School!5e0!3m2!1sen!2sus!4v1735661411814!5m2!1sen!2sus" width="600" height="450" style="border:0;" allowfullscreen="" loading="lazy" referrerpolicy="no-referrer-when-downgrade"&gt;&lt;/iframe&gt;</t>
  </si>
  <si>
    <t>Location updated per &lt;a href="https://sites.google.com/view/corksacredharp/11th-ireland-convention"&gt;11th Ireland Convention Website&lt;/a&gt;</t>
  </si>
  <si>
    <t>&lt;a href="https://sites.google.com/view/corksacredharp"&gt;https://sites.google.com/view/corksacredharp&lt;/a&gt;, &lt;a href="https://www.facebook.com/corksacredharp"&gt;Sacred Harp Sings of Cork Facebook&lt;/a&gt;, &lt;a href="https://sacredharp.uk/"&gt;sacredharp.uk&lt;/a&gt;, &lt;a href="https://sites.google.com/view/corksacredharp/11th-ireland-convention"&gt;11th Ireland Convention Website&lt;/a&gt;</t>
  </si>
  <si>
    <t>https://www.google.com/maps/place/St+Mary%E2%80%99s+Church,+Primrose+Hill/@51.520201,-0.1816392,12z/data=!4m6!3m5!1s0x48761aecbdb0d32d:0xa95ca438eaee6116!8m2!3d51.5422162!4d-0.1626331!16s%2Fg%2F11cfhmqks?hl=en&amp;entry=ttu&amp;g_ep=EgoyMDI0MTIxMS4wIKXMDSoASAFQAw%3D%3D||St. Mary's Church, Primrose Hill, 2 Elsworthy Rd, London NW3 3DU, United Kingdom</t>
  </si>
  <si>
    <t>&lt;iframe src="https://www.google.com/maps/embed?pb=!1m18!1m12!1m3!1d79443.81584746247!2d-0.18163923580307711!3d51.52020104994474!2m3!1f0!2f0!3f0!3m2!1i1024!2i768!4f13.1!3m3!1m2!1s0x48761aecbdb0d32d%3A0xa95ca438eaee6116!2sSt%20Mary%E2%80%99s%20Church%2C%20Primrose%20Hill!5e0!3m2!1sen!2sus!4v1735661720728!5m2!1sen!2sus" width="600" height="450" style="border:0;" allowfullscreen="" loading="lazy" referrerpolicy="no-referrer-when-downgrade"&gt;&lt;/iframe&gt;</t>
  </si>
  <si>
    <t>Location updated per &lt;a href="https://sacredharp.uk/"&gt;sacredharp.uk/&lt;/a&gt;</t>
  </si>
  <si>
    <t>51.542197, -0.162728</t>
  </si>
  <si>
    <t>Added back for 2025 per &lt;a href="https://sacredharp.uk/"&gt;https://sacredharp.uk/&lt;/a&gt;</t>
  </si>
  <si>
    <t>&lt;a href="https://sacredharp.uk/"&gt;sacredharp.uk&lt;/a&gt;, &lt;a href="https://brightonshapenote.weebly.com/all-day-singing.html"&gt;Website&lt;/a&gt;</t>
  </si>
  <si>
    <t>&lt;a href="https://www.othonaessex.org.uk/civicrm/event/info?id=2187"&gt;2024 event: https://www.othonaessex.org.uk/civicrm/event/info?id=2187&lt;/a&gt;</t>
  </si>
  <si>
    <t>&lt;a href="https://sacredharp.uk/"&gt;https://sacredharp.uk/&lt;/a&gt;, &lt;a href="https://www.facebook.com/corksacredharp"&gt;Sacred Harp Singers of Cork FB page&lt;/a&gt;</t>
  </si>
  <si>
    <t>Betsy Jeronen</t>
  </si>
  <si>
    <t>Hanna Flyckt at hanna.flyck [at] ub.uu.se —&lt;a href="https://sacredharp.uk/"&gt;https://sacredharp.uk/&lt;/a&gt;, &lt;a href="https://sacredharpuppsala.wordpress.com/"&gt;https://sacredharpuppsala.wordpress.com/&lt;/a&gt;</t>
  </si>
  <si>
    <t>Syble Adams, &lt;a href="http://www.sacredharpbook.com/calendar-of-singings/"&gt;sacredharpbook.com/calendar-of-singings/&lt;/a&gt;, &lt;a href="https://www.facebook.com/groups/288062357886428/posts/27884803941118898/"&gt;2024 post&lt;/a&gt;</t>
  </si>
  <si>
    <t>&lt;a href="https://www.facebook.com/groups/781551348597002"&gt;Sacred Harp Munich Facebook Group&lt;/a&gt;</t>
  </si>
  <si>
    <t>&lt;a href="https://pennsylvaniasacredharp.com/"&gt;pennsylvaniasacredharp.com&lt;/a&gt;</t>
  </si>
  <si>
    <t>Brenda Chafin, &lt;a href="https://www.facebook.com/groups/288062357886428/posts/28346880998244521/"&gt;2024 Facebook post&lt;/a&gt;</t>
  </si>
  <si>
    <t>Phillip Langley</t>
  </si>
  <si>
    <t>&lt;a href="https://wmshc.org/bfads"&gt;wmshc.org&lt;/a&gt;</t>
  </si>
  <si>
    <t>&lt;a href="https://bayareasacredharp.org/sally-coghlan-memorial-singing/"&gt;bayareasacredharp.org&lt;/a&gt;, &lt;a href="https://www.facebook.com/events/845801767641133"&gt;2024 Facebook event&lt;/a&gt;</t>
  </si>
  <si>
    <t>Jim Crawford - crawfj [at] netnet.net, &lt;a href="https://www.facebook.com/groups/193737510649288/posts/9054703971219220/"&gt;2024 Facebook post&lt;/a&gt;</t>
  </si>
  <si>
    <t>&lt;a href="https://sacredharp.uk/"&gt;sacredharp.uk&lt;/a&gt;, &lt;a href="https://www.facebook.com/events/1791811711637336"&gt;2024 Facebook event&lt;/a&gt;</t>
  </si>
  <si>
    <t>&lt;a href="https://www.facebook.com/events/1530831520934146/"&gt;2024 Facebook event&lt;/a&gt;</t>
  </si>
  <si>
    <t>Terry Wootten</t>
  </si>
  <si>
    <t>https://www.google.com/maps/place/146+Primrose+Dr,+Cresco,+PA+18326/@41.1743997,-75.2262428,9.22z/data=!4m6!3m5!1s0x89c48de983f29671:0x6a5b0fddd21b89d9!8m2!3d41.1094642!4d-75.2649712!16s%2Fg%2F11f54ydx24?entry=ttu&amp;g_ep=EgoyMDI0MTIxMS4wIKXMDSoASAFQAw%3D%3D||Paradise Falls Lutheran Church, 146 Primrose Dr, Cresco PA 18326</t>
  </si>
  <si>
    <t>&lt;iframe src="https://www.google.com/maps/embed?pb=!1m18!1m12!1m3!1d454003.7776203097!2d-75.4097414847154!3d40.99392492445521!2m3!1f0!2f0!3f0!3m2!1i1024!2i768!4f13.1!3m3!1m2!1s0x89c48de983f29671%3A0x6a5b0fddd21b89d9!2s146%20Primrose%20Dr%2C%20Cresco%2C%20PA%2018326!5e0!3m2!1sen!2sus!4v1735973247714!5m2!1sen!2sus" width="600" height="450" style="border:0;" allowfullscreen="" loading="lazy" referrerpolicy="no-referrer-when-downgrade"&gt;&lt;/iframe&gt;</t>
  </si>
  <si>
    <t>41.109480, -75.264920</t>
  </si>
  <si>
    <t>&lt;a href="https://mnfasola.org/?page_id=693"&gt;https://mnfasola.org/&lt;/a&gt;,  &lt;a href="https://groups.google.com/g/fasola-singings/c/xR2PYvHwZ-g/m/RKaQHkgzBwAJ"&gt;2025 Listserv post&lt;/a&gt;</t>
  </si>
  <si>
    <t>Western Massachusetts Christian Harmony All-Day</t>
  </si>
  <si>
    <t>https://www.google.com/maps/place/Northampton+Friends+Meeting/@42.3162431,-72.6861051,11.65z/data=!4m6!3m5!1s0x89e6d746b3447279:0xa28e643a2249bf59!8m2!3d42.3195812!4d-72.6328656!16s%2Fg%2F1tf9zfvf?entry=ttu&amp;g_ep=EgoyMDI0MTIxMS4wIKXMDSoASAFQAw%3D%3D||Northampton Friends Meeting, 43 Center Ct STE 202, Northampton, MA 01060</t>
  </si>
  <si>
    <t>42.319573, -72.632834</t>
  </si>
  <si>
    <t>Currently a one-off in 2025</t>
  </si>
  <si>
    <t>Tampa</t>
  </si>
  <si>
    <t>Florida State Fair Singing</t>
  </si>
  <si>
    <t>10:30am-12:30pm</t>
  </si>
  <si>
    <t>https://www.google.com/maps/place/Florida+State+Fairgrounds/@27.9647128,-82.3945033,11.65z/data=!4m15!1m8!3m7!1s0x88c2cf37746c9fcd:0x1aab627891892239!2sBirch+Dr,+East+Lake-Orient+Park,+FL!3b1!8m2!3d27.9837586!4d-82.3640695!16s%2Fg%2F1tdr8zyq!3m5!1s0x88c2cf35e7b20f79:0x2830eeba5dc04e15!8m2!3d27.990479!4d-82.3597263!16zL20vMDhkZnds?entry=ttu&amp;g_ep=EgoyMDI0MTIxMS4wIKXMDSoASAFQAw%3D%3D||Cracker Country, Florida State Fairgrounds, Birch Dr, Tampa FL 33610</t>
  </si>
  <si>
    <t>&lt;iframe src="https://www.google.com/maps/embed?pb=!1m18!1m12!1m3!1d143451.2773201669!2d-82.39450331172941!3d27.964712752572467!2m3!1f0!2f0!3f0!3m2!1i1024!2i768!4f13.1!3m3!1m2!1s0x88c2cf35e7b20f79%3A0x2830eeba5dc04e15!2sFlorida%20State%20Fairgrounds!5e0!3m2!1sen!2sus!4v1735974352716!5m2!1sen!2sus" width="600" height="450" style="border:0;" allowfullscreen="" loading="lazy" referrerpolicy="no-referrer-when-downgrade"&gt;&lt;/iframe&gt;</t>
  </si>
  <si>
    <t>27.988404, -82.361839</t>
  </si>
  <si>
    <t>Apr, 2nd Sun &amp; Sat before</t>
  </si>
  <si>
    <t>Allison Langston - osageorange86 [at] gmail.com, &lt;a href="https://www.facebook.com/events/294087646384514/"&gt;2024 Facebook event&lt;/a&gt;</t>
  </si>
  <si>
    <t>Moved to second weekend per submission from Allison Langston</t>
  </si>
  <si>
    <t>&lt;a href="http://www.ncshapenote.org/join-us.html"&gt;ncshapenote.org&lt;/a&gt;, &lt;a href="https://www.facebook.com/triangleshapenote"&gt;Triangle Shape Note Facebook&lt;/a&gt;, &lt;a href="https://www.facebook.com/events/1071306467969279"&gt;2025 Facebook event&lt;/a&gt;</t>
  </si>
  <si>
    <t>&lt;a href="http://www.sacredharpbook.com/calendar-of-singings/"&gt;sacredharpbook.com/calendar-of-singings/&lt;/a&gt;, &lt;a href="https://www.facebook.com/events/606428225190000/"&gt;2025 Facebook event&lt;/a&gt;</t>
  </si>
  <si>
    <t>Saturday evening (6:30-8:30pm) singing from the Christian Harmony 2010</t>
  </si>
  <si>
    <t>Stefani Priskos 334-242-5143, &lt;a href="https://www.facebook.com/events/618328097537769/"&gt;2025 event&lt;/a&gt;</t>
  </si>
  <si>
    <t>&lt;a href="https://sacredharp.uk/"&gt;sacredharp.uk&lt;/a&gt;, &lt;a href="https://www.facebook.com/events/1456277298378805/"&gt;2025 Facebook event&lt;/a&gt;</t>
  </si>
  <si>
    <t>&lt;a href="https://sacredharp.uk/"&gt;https://sacredharp.uk/&lt;/a&gt;, &lt;a href="https://www.facebook.com/events/512101688538409/"&gt;2025 Facebook event&lt;/a&gt;</t>
  </si>
  <si>
    <t>&lt;a href="https://www.facebook.com/events/644048804745954/"&gt;2025 Facebook Event&lt;/a&gt;&lt;/br&gt;If you are a Sacred Harp singer and you wish to sing with us, please contact Claudia Holloway for your free ticket at (863) 797-7933 or mscdm1967 [at] gmail.com</t>
  </si>
  <si>
    <t xml:space="preserve">Singing is held inside the historic wooden church at the Cracker Country exhibit on the Florida State Fairgrounds. No dinner-on-the-grounds. Tickets to sing are free. Your free singer's ticket gets you full admission to the Florida State Fair. </t>
  </si>
  <si>
    <t>https://www.google.com/maps/place/7755+Bethlehem+Rd,+Mulberry,+FL+33860/@27.7318679,-82.1200694,10.19z/data=!4m6!3m5!1s0x88dd286a1153421d:0x39077385bae0c268!8m2!3d27.725265!4d-82.0615075!16s%2Fg%2F11c2f4qv13?entry=ttu&amp;g_ep=EgoyMDI1MDEwNy4wIKXMDSoASAFQAw%3D%3D||Bethlehem Primitive Baptist Church, 17385 Bethlehem Rd, Mulberry, FL 33547</t>
  </si>
  <si>
    <t>&lt;iframe src="https://www.google.com/maps/embed?pb=!1m18!1m12!1m3!1d552778.7036056761!2d-82.4809475827998!3d27.8374457078244!2m3!1f0!2f0!3f0!3m2!1i1024!2i768!4f13.1!3m3!1m2!1s0x88dd286a0865c721%3A0x7c34fa90b838c380!2s17385%20Bethlehem%20Rd%2C%20Mulberry%2C%20FL%2033860!5e0!3m2!1sen!2sus!4v1736491746078!5m2!1sen!2sus" width="600" height="450" style="border:0;" allowfullscreen="" loading="lazy" referrerpolicy="no-referrer-when-downgrade"&gt;&lt;/iframe&gt;</t>
  </si>
  <si>
    <t>Old Chicora</t>
  </si>
  <si>
    <t>&lt;a href="https://www.facebook.com/groups/288062357886428/posts/29119933594272587/"&gt;2025 Cancellation&lt;/a&gt;</t>
  </si>
  <si>
    <t>Minutes Link</t>
  </si>
  <si>
    <t>&lt;a href="https://fasola.org/minutes/search/?q=%22cincinnati+new+year%22"&gt;fasola.org&lt;/a&gt;</t>
  </si>
  <si>
    <t>&lt;a href="https://fasola.org/minutes/search/?q=%22New+Year%22+%22Day+Singing%22+%22united+kingdom%22"&gt;fasola.org&lt;/a&gt;</t>
  </si>
  <si>
    <t>&lt;a href="https://fasola.org/minutes/search/?q=%22Shady+Grove+Annual+Singing%22"&gt;fasola.org&lt;/a&gt;</t>
  </si>
  <si>
    <t>&lt;a href="https://fasola.org/minutes/search/?q=%22Lillian+Calvert%22"&gt;fasola.org&lt;/a&gt;</t>
  </si>
  <si>
    <t>&lt;a href="https://fasola.org/minutes/search/?q=%22central+florida+sacred%22"&gt;fasola.org&lt;/a&gt;</t>
  </si>
  <si>
    <t>&lt;a href="https://fasola.org/minutes/search/?q=chicago+%22anniversary+singing%22"&gt;fasola.org&lt;/a&gt;</t>
  </si>
  <si>
    <t>&lt;a href="https://fasola.org/minutes/search/?q=%22henry+kerr+memorial%22"&gt;fasola.org&lt;/a&gt;</t>
  </si>
  <si>
    <t>&lt;a href="https://fasola.org/minutes/search/?q=%22roving+shenandoah%22"&gt;fasola.org&lt;/a&gt;</t>
  </si>
  <si>
    <t>&lt;a href="https://fasola.org/minutes/search/?q=%22creel+memorial%22"&gt;fasola.org&lt;/a&gt;, &lt;a href="https://christianharmony.org/singings/old-county-line.html"&gt;christianharmony.org&lt;/a&gt;</t>
  </si>
  <si>
    <t>&lt;a href="https://fasola.org/minutes/search/?q=%22australian+sacred%22"&gt;fasola.org&lt;/a&gt;</t>
  </si>
  <si>
    <t>&lt;a href="https://fasola.org/minutes/search/?q=keystone"&gt;fasola.org&lt;/a&gt;</t>
  </si>
  <si>
    <t>&lt;a href="https://fasola.org/minutes/search/?q=%22baldwin+county+sacred%22"&gt;fasola.org&lt;/a&gt;</t>
  </si>
  <si>
    <t>&lt;a href="https://fasola.org/minutes/search/?q=%22reynolds+sacred%22"&gt;fasola.org&lt;/a&gt;</t>
  </si>
  <si>
    <t>&lt;a href="https://christianharmony.org/singings/michiana-new-year.html"&gt;christianharmony.org&lt;/a&gt;</t>
  </si>
  <si>
    <t>&lt;a href="https://fasola.org/minutes/search/?q=%22william+walker%22+spartanburg"&gt;fasola.org&lt;/a&gt;, &lt;a href="https://christianharmony.org/singings/wm-walker-mem.html"&gt;christianharmony.org&lt;/a&gt;</t>
  </si>
  <si>
    <t>&lt;a href="https://fasola.org/minutes/search/?q=dahlonega+shenandoah"&gt;fasola.org&lt;/a&gt;</t>
  </si>
  <si>
    <t>&lt;a href="https://fasola.org/minutes/search/?q=%22dahlonega+singing%22"&gt;fasola.org&lt;/a&gt;</t>
  </si>
  <si>
    <t xml:space="preserve">&lt;a href="https://fasola.org/minutes/search/?q=%22rotunda+singing%22"&gt;fasola.org&lt;/a&gt;, </t>
  </si>
  <si>
    <t>&lt;a href="https://fasola.org/minutes/search/?q=burnham+memorial+jacksonville"&gt;fasola.org&lt;/a&gt;</t>
  </si>
  <si>
    <t>&lt;a href="https://fasola.org/minutes/search/?q=%22sanders+memorial%22+february"&gt;fasola.org&lt;/a&gt;</t>
  </si>
  <si>
    <t>&lt;a href="https://fasola.org/minutes/search/?q=emory+university+february"&gt;fasola.org&lt;/a&gt;</t>
  </si>
  <si>
    <t>&lt;a href="https://fasola.org/minutes/search/?q=lincoln+birthday+february"&gt;fasola.org&lt;/a&gt;</t>
  </si>
  <si>
    <t>&lt;a href="https://fasola.org/minutes/search/?q=baylor"&gt;fasola.org&lt;/a&gt;</t>
  </si>
  <si>
    <t>&lt;a href="https://fasola.org/minutes/search/?q=minnesota+midwinter+february"&gt;fasola.org&lt;/a&gt;</t>
  </si>
  <si>
    <t>&lt;a href="https://fasola.org/minutes/search/?q=%22avery+memorial%22"&gt;fasola.org&lt;/a&gt;</t>
  </si>
  <si>
    <t>&lt;a href="https://fasola.org/minutes/search/?q=Pacific+Northwest+Convention+february"&gt;fasola.org&lt;/a&gt;</t>
  </si>
  <si>
    <t>&lt;a href="https://fasola.org/minutes/search/?q=%22south+yorkshire%22+february"&gt;fasola.org&lt;/a&gt;</t>
  </si>
  <si>
    <t>&lt;a href="https://fasola.org/minutes/search/?q=february+%22J.L.+White%22"&gt;fasola.org&lt;/a&gt;</t>
  </si>
  <si>
    <t>&lt;a href="https://fasola.org/minutes/search/?q=%22social+harp%22+february%22+georgia"&gt;fasola.org&lt;/a&gt;</t>
  </si>
  <si>
    <t>&lt;a href="https://christianharmony.org/singings/grapevine.html"&gt;christianharmony.org&lt;/a&gt;</t>
  </si>
  <si>
    <t>&lt;a href="https://fasola.org/minutes/search/?q=%22gerald+hand+memorial%22"&gt;fasola.org&lt;/a&gt;</t>
  </si>
  <si>
    <t>&lt;a href="https://fasola.org/minutes/search/?q=cork+ireland+march"&gt;fasola.org&lt;/a&gt;</t>
  </si>
  <si>
    <t>&lt;a href="https://fasola.org/minutes/search/?q=%22ohio+state%22+convention"&gt;fasola.org&lt;/a&gt;</t>
  </si>
  <si>
    <t>&lt;a href="https://fasola.org/minutes/search/?q=%22rogers+memorial%22+march"&gt;fasola.org&lt;/a&gt;</t>
  </si>
  <si>
    <t>North Carolina Sacred Harp Singing</t>
  </si>
  <si>
    <t>&lt;a href="https://fasola.org/minutes/search/?q=%22north+carolina%22+march"&gt;fasola.org&lt;/a&gt;</t>
  </si>
  <si>
    <t>&lt;a href="https://fasola.org/minutes/search/?q=%22western+mass%22"&gt;fasola.org&lt;/a&gt;</t>
  </si>
  <si>
    <t>&lt;a href="https://fasola.org/minutes/search/?q=%22missouri+state+convention%22"&gt;fasola.org&lt;/a&gt;</t>
  </si>
  <si>
    <t>&lt;a href="https://fasola.org/minutes/search/?q=olympia+march"&gt;fasola.org&lt;/a&gt;</t>
  </si>
  <si>
    <t>&lt;a href="https://fasola.org/minutes/search/?q=sussex+march"&gt;fasola.org&lt;/a&gt;</t>
  </si>
  <si>
    <t>&lt;a href="https://fasola.org/minutes/search/?q=oxford+singing+%22united+kingdom%22"&gt;fasola.org&lt;/a&gt;</t>
  </si>
  <si>
    <t>&lt;a href="https://fasola.org/minutes/search/?q=%22hocutt+memorial%22"&gt;fasola.org&lt;/a&gt;</t>
  </si>
  <si>
    <t>&lt;a href="https://fasola.org/minutes/search/?q=hoboken+march"&gt;fasola.org&lt;/a&gt;</t>
  </si>
  <si>
    <t>&lt;a href="https://fasola.org/minutes/search/?q=%22godsey+sisters%22"&gt;fasola.org&lt;/a&gt;</t>
  </si>
  <si>
    <t>&lt;a href="https://fasola.org/minutes/search/?q=%22higher+ground%22+indiana"&gt;fasola.org&lt;/a&gt;</t>
  </si>
  <si>
    <t>&lt;a href="https://fasola.org/minutes/search/?q=%22georgia+state%22+convention+march"&gt;fasola.org&lt;/a&gt;</t>
  </si>
  <si>
    <t>&lt;a href="https://fasola.org/minutes/search/?q=%22Vermont+Sacred+Harp+Singing%22"&gt;fasola.org&lt;/a&gt;, &lt;a href="https://fasola.org/minutes/search/?q=vermont+singing"&gt;including older&lt;/a&gt;</t>
  </si>
  <si>
    <t>&lt;a href="https://christianharmony.org/singings/jubilee-festival.html"&gt;christianharmony.org&lt;/a&gt;</t>
  </si>
  <si>
    <t>&lt;a href="https://christianharmony.org/singings/georgian-harmony-5th.html"&gt;christianharmony.org&lt;/a&gt;, &lt;a href="https://fasola.org/minutes/search/?q=%22georgian+harmony%22+%22fifth%22"&gt;fasola.org&lt;/a&gt;</t>
  </si>
  <si>
    <t>&lt;a href="https://fasola.org/minutes/search/?q=%22putman+memorial%22"&gt;fasola.org&lt;/a&gt;</t>
  </si>
  <si>
    <t>&lt;a href="https://fasola.org/minutes/search/?q=%22southwest+texas%22+spring"&gt;fasola.org&lt;/a&gt;</t>
  </si>
  <si>
    <t>&lt;a href="https://fasola.org/minutes/search/?q=%22ivey+memorial%22"&gt;fasola.org&lt;/a&gt;</t>
  </si>
  <si>
    <t>&lt;a href="https://christianharmony.org/singings/boogertown.html"&gt;christianharmony.org&lt;/a&gt;</t>
  </si>
  <si>
    <t>Eoline</t>
  </si>
  <si>
    <t>&lt;a href="https://christianharmony.org/singings/deason-mem.html"&gt;christianharmony.org&lt;/a&gt;</t>
  </si>
  <si>
    <t>Deason Memorial Christian Harmony Singing</t>
  </si>
  <si>
    <t>&lt;a href="https://christianharmony.org/schedule.html"&gt;https://christianharmony.org/schedule.html&lt;/a&gt;</t>
  </si>
  <si>
    <t>Singing added per &lt;a href="https://christianharmony.org/singings/deason-mem.html"&gt;christianharmony.org&lt;/a&gt;</t>
  </si>
  <si>
    <t>https://www.google.com/maps/place/Little+Hope+Primitive+Baptist+Church/@32.9747407,-87.356229,10.87z/data=!4m6!3m5!1s0x888f4b74fab3e0b9:0xee69739d5b62c371!8m2!3d33.0079003!4d-87.2836103!16s%2Fg%2F1tf71q95?entry=ttu&amp;g_ep=EgoyMDI1MDEwOC4wIKXMDSoASAFQAw%3D%3D||Little Hope Primitive Baptist Church, Little Hope Rd, Brent AL 35034</t>
  </si>
  <si>
    <t>&lt;iframe src="https://www.google.com/maps/embed?pb=!1m18!1m12!1m3!1d201932.88099987045!2d-87.40369783354527!3d33.08754319490575!2m3!1f0!2f0!3f0!3m2!1i1024!2i768!4f13.1!3m3!1m2!1s0x888f4b74fab3e0b9%3A0xee69739d5b62c371!2sLittle%20Hope%20Primitive%20Baptist%20Church!5e0!3m2!1sen!2sus!4v1736538415611!5m2!1sen!2sus" width="600" height="450" style="border:0;" allowfullscreen="" loading="lazy" referrerpolicy="no-referrer-when-downgrade"&gt;&lt;/iframe&gt;</t>
  </si>
  <si>
    <t>33.007781, -87.283665</t>
  </si>
  <si>
    <t>&lt;a href="https://fasola.org/minutes/search/?q=%22rusk+county+convention%22"&gt;fasola.org&lt;/a&gt;, &lt;a href="https://christianharmony.org/singings/rusk-county.html"&gt;christianharmony.org&lt;/a&gt;</t>
  </si>
  <si>
    <t>&lt;a href="https://christianharmony.org/singings/tuckaleechee.html"&gt;christianharmony.org&lt;/a&gt;</t>
  </si>
  <si>
    <t>&lt;a href="https://christianharmony.org/singings/etowah-spring.html"&gt;christianharmony.org&lt;/a&gt;</t>
  </si>
  <si>
    <t>&lt;a href="https://christianharmony.org/singings/middle-creek.html"&gt;christianharmony.org&lt;/a&gt;</t>
  </si>
  <si>
    <t>&lt;a href="https://fasola.org/minutes/search/?q=portland+may"&gt;fasola.org&lt;/a&gt;, &lt;a href="https://christianharmony.org/singings/portland.html"&gt;christianharmony.org&lt;/a&gt;</t>
  </si>
  <si>
    <t>&lt;a href="https://fasola.org/minutes/search/?q=pumpkintown"&gt;fasola.org&lt;/a&gt;, &lt;a href="https://fasola.org/minutes/search/?q=furman"&gt;fasola.org (old)&lt;/a&gt;, &lt;a href="https://christianharmony.org/singings/furman.html"&gt;christianharmony.org&lt;/a&gt;</t>
  </si>
  <si>
    <t>&lt;a href="https://christianharmony.org/singings/sheffield.html"&gt;christianharmony.org&lt;/a&gt;</t>
  </si>
  <si>
    <t>New York City Christian Harmony All-Day Singing</t>
  </si>
  <si>
    <t>&lt;a href="https://christianharmony.org/singings/nyc-ch.html"&gt;christianharmony.org&lt;/a&gt;</t>
  </si>
  <si>
    <t>Singing added per &lt;a href="https://christianharmony.org/schedule.html"&gt;https://christianharmony.org/schedule.html&lt;/a&gt;</t>
  </si>
  <si>
    <t>&lt;a href="https://christianharmony.org/singings/new-bethel.html"&gt;christianharmony.org&lt;/a&gt;</t>
  </si>
  <si>
    <t>&lt;a href="https://christianharmony.org/singings/fletcher.html"&gt;christianharmony.org&lt;/a&gt;</t>
  </si>
  <si>
    <t>&lt;a href="https://christianharmony.org/singings/tuscaloosa-conv.html"&gt;christianharmony.org&lt;/a&gt;</t>
  </si>
  <si>
    <t>&lt;a href="https://christianharmony.org/singings/raymond-hamrick-mem.html"&gt;christianharmony.org&lt;/a&gt;, &lt;a href="https://fasola.org/minutes/search/?q=%22hamrick+memorial%22"&gt;fasola.org&lt;/a&gt;</t>
  </si>
  <si>
    <t>&lt;a href="https://christianharmony.org/singings/blue-ridge-pbc.html"&gt;christianharmony.org&lt;/a&gt;</t>
  </si>
  <si>
    <t>&lt;a href="https://christianharmony.org/singings/newton-county.html"&gt;christianharmony.org&lt;/a&gt;</t>
  </si>
  <si>
    <t>&lt;a href="https://christianharmony.org/singings/caney-creek.html"&gt;christianharmony.org&lt;/a&gt;</t>
  </si>
  <si>
    <t>&lt;a href="https://christianharmony.org/singings/little-greenbrier.html"&gt;christianharmony.org&lt;/a&gt;</t>
  </si>
  <si>
    <t>&lt;a href="https://christianharmony.org/singings/brasstown.html"&gt;christianharmony.org&lt;/a&gt;</t>
  </si>
  <si>
    <t>&lt;a href="https://christianharmony.org/singings/poconos.html"&gt;christianharmony.org&lt;/a&gt;</t>
  </si>
  <si>
    <t>&lt;a href="https://fasola.org/minutes/search/?q=gwehelog+july"&gt;fasola.org&lt;/a&gt;, &lt;a href="https://christianharmony.org/singings/gwehelog.html"&gt;christianharmony.org&lt;/a&gt;</t>
  </si>
  <si>
    <t>&lt;a href="https://fasola.org/minutes/search/?q=%22capit%22+%22city%22+%22loeb%22"&gt;fasola.org&lt;/a&gt;, &lt;a href="https://christianharmony.org/singings/capitol-city-al.html"&gt;christianharmony.org&lt;/a&gt;</t>
  </si>
  <si>
    <t>Bibb County Christian Harmony Singing Convention</t>
  </si>
  <si>
    <t>https://www.google.com/maps/place/Pleasant+Hill+Presbyterian+Church/@32.9994062,-87.3000964,10.68z/data=!4m6!3m5!1s0x888f35bd3afc2b0d:0xc0778bfb9caadc7c!8m2!3d32.990491!4d-87.2003664!16s%2Fg%2F1tdn08ps?entry=ttu&amp;g_ep=EgoyMDI1MDEwOC4wIKXMDSoASAFQAw%3D%3D||Old Pleasant Hill Cumberland Presbyterian Church, Pleasant Hill Rd, Centreville, AL 35042
Centreville, Bibb County, Alabama</t>
  </si>
  <si>
    <t>&lt;iframe src="https://www.google.com/maps/embed?pb=!1m18!1m12!1m3!1d261935.14722104944!2d-87.34633357730539!3d33.06717829898187!2m3!1f0!2f0!3f0!3m2!1i1024!2i768!4f13.1!3m3!1m2!1s0x888f35bd3afc2b0d%3A0xc0778bfb9caadc7c!2sPleasant%20Hill%20Presbyterian%20Church!5e0!3m2!1sen!2sus!4v1736542045292!5m2!1sen!2sus" width="600" height="450" style="border:0;" allowfullscreen="" loading="lazy" referrerpolicy="no-referrer-when-downgrade"&gt;&lt;/iframe&gt;</t>
  </si>
  <si>
    <t>32.990555, -87.199775</t>
  </si>
  <si>
    <t>&lt;a href="https://christianharmony.org/singings/bibb-county-ch-conv.html"&gt;christianharmony.org&lt;/a&gt;</t>
  </si>
  <si>
    <t>&lt;a href="https://christianharmony.org/singings/swann-gathering.html"&gt;christianharmony.org&lt;/a&gt;, &lt;a href="https://fasola.org/minutes/search/?q=swannanoa+wilson"&gt;fasola.org&lt;/a&gt;</t>
  </si>
  <si>
    <t>&lt;a href="https://christianharmony.org/singings/cades-cove-pbc.html"&gt;christianharmony.org&lt;/a&gt;</t>
  </si>
  <si>
    <t>&lt;a href="https://christianharmony.org/singings/doremi-usa.html"&gt;christianharmony.org&lt;/a&gt;</t>
  </si>
  <si>
    <t>&lt;a href="https://christianharmony.org/singings/tickanetley.html"&gt;christianharmony.org&lt;/a&gt;</t>
  </si>
  <si>
    <t>&lt;a href="https://christianharmony.org/singings/etowah-fall.html"&gt;christianharmony.org&lt;/a&gt;</t>
  </si>
  <si>
    <t>&lt;a href="https://fasola.org/minutes/search/?q=%22pioneer+day%22"&gt;fasola.org&lt;/a&gt;, &lt;a href="https://christianharmony.org/singings/pioneer-day.html"&gt;christianharmony.org&lt;/a&gt;</t>
  </si>
  <si>
    <t>&lt;a href="https://christianharmony.org/singings/hale-county.html"&gt;christianharmony.org&lt;/a&gt;</t>
  </si>
  <si>
    <t>&lt;a href="https://christianharmony.org/singings/morning-star.html"&gt;christianharmony.org&lt;/a&gt;</t>
  </si>
  <si>
    <t>&lt;a href="https://christianharmony.org/singings/lee-rogers-mem.html"&gt;christianharmony.org&lt;/a&gt;, &lt;a href="https://fasola.org/minutes/search/?q=%22lee+rogers+memorial%22"&gt;fasola.org&lt;/a&gt;</t>
  </si>
  <si>
    <t>&lt;a href="https://christianharmony.org/singings/wears-valley.html"&gt;christianharmony.org&lt;/a&gt;</t>
  </si>
  <si>
    <t>&lt;a href="https://christianharmony.org/singings/mtn-heritage-day.html"&gt;christianharmony.org&lt;/a&gt;</t>
  </si>
  <si>
    <t xml:space="preserve">&lt;a href="https://christianharmony.org/singings/al-ch-conv.html"&gt;christianharmony.org&lt;/a&gt;, </t>
  </si>
  <si>
    <t>&lt;a href="https://christianharmony.org/singings/maryville-college.html"&gt;christianharmony.org&lt;/a&gt;</t>
  </si>
  <si>
    <t>&lt;a href="https://fasola.org/minutes/search/?q=London+singing+october"&gt;fasola.org&lt;/a&gt;, &lt;a href="https://christianharmony.org/minutes/2024minutes/london-ch-2024.html"&gt;christianharmony.org&lt;/a&gt;</t>
  </si>
  <si>
    <t>&lt;a href="https://christianharmony.org/singings/shiloh-al-fall.html"&gt;christianharmony.org&lt;/a&gt;</t>
  </si>
  <si>
    <t>&lt;a href="https://christianharmony.org/singings/swann-valley.html"&gt;christianharmony.org&lt;/a&gt;</t>
  </si>
  <si>
    <t>&lt;a href="https://christianharmony.org/singings/georgian-harmony-nov.html"&gt;christianharmony.org&lt;/a&gt;</t>
  </si>
  <si>
    <t>&lt;a href="https://christianharmony.org/singings/shook-smathers-xmas.html"&gt;christianharmony.org&lt;/a&gt;</t>
  </si>
  <si>
    <t>&lt;a href="https://christianharmony.org/singings/ga-ch-conv.html"&gt;christianharmony.org&lt;/a&gt;</t>
  </si>
  <si>
    <t>&lt;a href="https://christianharmony.org/singings/marshall.html"&gt;christianharmony.org&lt;/a&gt;</t>
  </si>
  <si>
    <t>Kentucky Christmas Shapenote Sing</t>
  </si>
  <si>
    <t>&lt;a href="https://christianharmony.org/singings/kentucky-xmas.html"&gt;christianharmony.org&lt;/a&gt;</t>
  </si>
  <si>
    <t>&lt;a href="https://christianharmony.org/singings/olszewski-mem.html"&gt;christianharmony.org&lt;/a&gt;</t>
  </si>
  <si>
    <t>&lt;a href="https://christianharmony.org/singings/calvary-xmas.html"&gt;christianharmony.org&lt;/a&gt;</t>
  </si>
  <si>
    <t>&lt;a href="https://christianharmony.org/singings/old-harp-new-year.html"&gt;christianharmony.org&lt;/a&gt;</t>
  </si>
  <si>
    <t>&lt;a href="https://fasola.org/minutes/search/?q=%22B.F.+White%22+september"&gt;fasola.org&lt;/a&gt;</t>
  </si>
  <si>
    <t>B.F. White Memorial Sacred Harp Singing</t>
  </si>
  <si>
    <t>&lt;iframe src="https://www.google.com/maps/embed?pb=!1m14!1m8!1m3!1d188814.8692998731!2d-72.6861051!3d42.3162431!3m2!1i1024!2i768!4f13.1!3m3!1m2!1s0x89e6d746b3447279%3A0xa28e643a2249bf59!2sNorthampton%20Friends%20Meeting!5e0!3m2!1sen!2sus!4v1736550738383!5m2!1sen!2sus" width="600" height="450" style="border:0;" allowfullscreen="" loading="lazy" referrerpolicy="no-referrer-when-downgrade"&gt;&lt;/iframe&gt;</t>
  </si>
  <si>
    <t>&lt;a href="https://fasola.org/minutes/search/?q=greenwood+county"&gt;fasola.org&lt;/a&gt;</t>
  </si>
  <si>
    <t>https://www.google.com/maps/place/Good+Shepherd+Episcopal+Church/@37.8509548,-122.3643735,12.14z/data=!4m6!3m5!1s0x80857ec3cde1097f:0x8c5630e1b0c75df2!8m2!3d37.8702372!4d-122.2946969!16s%2Fm%2F0h3nbbk?entry=ttu&amp;g_ep=EgoyMDI1MDEwOC4wIKXMDSoASAFQAw%3D%3D||Good Shepherd Episcopal Church, 1823 Ninth St, Berkeley, CA 94710</t>
  </si>
  <si>
    <t>&lt;iframe src="https://www.google.com/maps/embed?pb=!1m18!1m12!1m3!1d91560.00129371679!2d-122.36437347547981!3d37.8509547626136!2m3!1f0!2f0!3f0!3m2!1i1024!2i768!4f13.1!3m3!1m2!1s0x80857ec3cde1097f%3A0x8c5630e1b0c75df2!2sGood%20Shepherd%20Episcopal%20Church!5e0!3m2!1sen!2sus!4v1736662006149!5m2!1sen!2sus" width="600" height="450" style="border:0;" allowfullscreen="" loading="lazy" referrerpolicy="no-referrer-when-downgrade"&gt;&lt;/iframe&gt;</t>
  </si>
  <si>
    <t>Sat 10:30am at Good Shepherd Episcopal, Half-day Sunday singing TBA</t>
  </si>
  <si>
    <t>37.870227, -122.294723</t>
  </si>
  <si>
    <t>&lt;a href="https://fasola.org/minutes/search/?q=%22brittain+memorial%22"&gt;fasola.org&lt;/a&gt;</t>
  </si>
  <si>
    <t>&lt;a href="https://fasola.org/minutes/search/?q=%22jones+memorial%22"&gt;fasola.org&lt;/a&gt;</t>
  </si>
  <si>
    <t>&lt;a href="https://fasola.org/minutes/search/?q=Potomac+River+Convention"&gt;fasola.org&lt;/a&gt;</t>
  </si>
  <si>
    <t>&lt;a href="https://fasola.org/minutes/search/?q=harpeth+priestley"&gt;fasola.org&lt;/a&gt;</t>
  </si>
  <si>
    <t>&lt;a href="https://fasola.org/minutes/search/?q=%22iowa+all-day%22"&gt;fasola.org&lt;/a&gt;</t>
  </si>
  <si>
    <t>Location updated per user submission, restarting singing last held in 2019</t>
  </si>
  <si>
    <t>&lt;a href="https://fasola.org/minutes/search/?q=Micanopy"&gt;fasola.org&lt;/a&gt;</t>
  </si>
  <si>
    <t>&lt;a href="https://fasola.org/minutes/search/?q=brighton+april"&gt;fasola.org&lt;/a&gt;</t>
  </si>
  <si>
    <t>&lt;a href="https://fasola.org/minutes/search/?q=%22amsterdam+singing%22"&gt;fasola.org&lt;/a&gt;</t>
  </si>
  <si>
    <t>&lt;a href="https://fasola.org/minutes/search/?q=%22mcguire+memorial%22+april+mississippi"&gt;fasola.org&lt;/a&gt;</t>
  </si>
  <si>
    <t>&lt;a href="https://fasola.org/minutes/search/?q=edwardsville+april"&gt;fasola.org&lt;/a&gt;</t>
  </si>
  <si>
    <t>&lt;a href="https://fasola.org/minutes/search/?q=%22ann+arbor%22"&gt;fasola.org&lt;/a&gt;</t>
  </si>
  <si>
    <t>&lt;a href="https://fasola.org/minutes/search/?q=%22state+line%22+april"&gt;fasola.org&lt;/a&gt;</t>
  </si>
  <si>
    <t>&lt;a href="https://fasola.org/minutes/search/?q=bainbridge+island"&gt;fasola.org&lt;/a&gt;</t>
  </si>
  <si>
    <t>&lt;a href="https://fasola.org/minutes/search/?q=county+line+corner+april"&gt;fasola.org&lt;/a&gt;</t>
  </si>
  <si>
    <t>&lt;a href="https://fasola.org/minutes/search/?q=antioch+ider+april"&gt;fasola.org&lt;/a&gt;</t>
  </si>
  <si>
    <t>&lt;a href="https://fasola.org/minutes/search/?q=%22middle+georgia%22+april"&gt;fasola.org&lt;/a&gt;</t>
  </si>
  <si>
    <t>&lt;a href="https://fasola.org/minutes/search/?q=rhode+island+april"&gt;fasola.org&lt;/a&gt;</t>
  </si>
  <si>
    <t>&lt;a href="https://fasola.org/minutes/search/?q=%22new+haven%22+april"&gt;fasola.org&lt;/a&gt;</t>
  </si>
  <si>
    <t>&lt;a href="https://fasola.org/minutes/search/?q=%22old+harmony%22"&gt;fasola.org&lt;/a&gt;</t>
  </si>
  <si>
    <t>&lt;a href="https://fasola.org/minutes/search/?q=%22pine+grove%22+april+collinsville"&gt;fasola.org&lt;/a&gt;</t>
  </si>
  <si>
    <t>&lt;a href="https://fasola.org/minutes/search/?q=%22new+york+state%22+october"&gt;fasola.org&lt;/a&gt;</t>
  </si>
  <si>
    <t>&lt;a href="https://fasola.org/minutes/search/?q=%22east+midlands%22"&gt;fasola.org&lt;/a&gt;</t>
  </si>
  <si>
    <t>&lt;a href="https://fasola.org/minutes/search/?q=%22atlanta+sacred+harp%22"&gt;fasola.org&lt;/a&gt;</t>
  </si>
  <si>
    <t>&lt;a href="https://fasola.org/minutes/search/?q=%22stokes+memorial%22"&gt;fasola.org&lt;/a&gt;</t>
  </si>
  <si>
    <t>&lt;a href="https://fasola.org/minutes/search/?q=%22university+of+oklahoma%22"&gt;fasola.org&lt;/a&gt;</t>
  </si>
  <si>
    <t>&lt;a href="https://fasola.org/minutes/search/?q=%22e.t.+white%22"&gt;fasola.org&lt;/a&gt;</t>
  </si>
  <si>
    <t>&lt;a href="https://fasola.org/minutes/search/?q=alewin"&gt;fasola.org&lt;/a&gt;</t>
  </si>
  <si>
    <t>&lt;a href="https://fasola.org/minutes/search/?q=Friendship+church+haleyville"&gt;fasola.org&lt;/a&gt;</t>
  </si>
  <si>
    <t>&lt;a href="https://fasola.org/minutes/search/?q=%22golden+gate%22+april"&gt;fasola.org&lt;/a&gt;</t>
  </si>
  <si>
    <t>&lt;a href="https://fasola.org/minutes/search/?q=%22huntsville+sacred%22"&gt;fasola.org&lt;/a&gt;</t>
  </si>
  <si>
    <t>&lt;a href="https://fasola.org/minutes/search/?q=%22northwest+arkansas%22"&gt;fasola.org&lt;/a&gt;</t>
  </si>
  <si>
    <t>&lt;a href="https://fasola.org/minutes/search/?q=%22keeton+cemetery%22+may"&gt;fasola.org&lt;/a&gt;</t>
  </si>
  <si>
    <t>&lt;a href="https://fasola.org/minutes/search/?q=eugene+%22forbes+memorial%22"&gt;fasola.org&lt;/a&gt;</t>
  </si>
  <si>
    <t>&lt;a href="https://www.facebook.com/groups/288062357886428/posts/26143650621900914/"&gt;2024 Facebook post&lt;/a&gt;</t>
  </si>
  <si>
    <t>&lt;a href="https://fasola.org/minutes/search/?q=%22shady+grove%22+dutton+may"&gt;fasola.org&lt;/a&gt;</t>
  </si>
  <si>
    <t>&lt;a href="https://fasola.org/minutes/search/?q=boston+may"&gt;fasola.org&lt;/a&gt;</t>
  </si>
  <si>
    <t>Kathy Holland Williams, Tom George, &lt;a href="https://www.facebook.com/events/627625219923984/"&gt;2025 Facebook event&lt;/a&gt;</t>
  </si>
  <si>
    <t>&lt;a href="https://fasola.org/minutes/search/?q=%22bristol+singing%22"&gt;fasola.org&lt;/a&gt;</t>
  </si>
  <si>
    <t>Caitlin Graff: scgraffrdms [at] gmail.com, Jeff James - 205 916 8406, &lt;a href="https://christianharmony.org/schedule.html"&gt;https://christianharmony.org/schedule.html&lt;/a&gt;</t>
  </si>
  <si>
    <t>&lt;a href="https://fasola.org/minutes/search/?q=memphis"&gt;fasola.org&lt;/a&gt;</t>
  </si>
  <si>
    <t>&lt;a href="https://fasola.org/minutes/search/?q=%22mid-michigan%22"&gt;fasola.org&lt;/a&gt;</t>
  </si>
  <si>
    <t>&lt;a href="https://fasola.org/minutes/search/?q=providence+may"&gt;fasola.org&lt;/a&gt;</t>
  </si>
  <si>
    <t>&lt;a href="https://fasola.org/minutes/search/?q=%22kentucky+state%22"&gt;fasola.org&lt;/a&gt;</t>
  </si>
  <si>
    <t>&lt;a href="https://fasola.org/minutes/search/?q=%22cane+creek%22+may"&gt;fasola.org&lt;/a&gt;</t>
  </si>
  <si>
    <t>&lt;a href="https://fasola.org/minutes/search/?q=%22rocky+mount%22+may"&gt;fasola.org&lt;/a&gt;</t>
  </si>
  <si>
    <t>&lt;a href="https://fasola.org/minutes/search/?q=midwest+convention"&gt;fasola.org&lt;/a&gt;</t>
  </si>
  <si>
    <t>&lt;a href="https://fasola.org/minutes/search/?q=%22big+singing%22"&gt;fasola.org&lt;/a&gt;</t>
  </si>
  <si>
    <t>&lt;a href="https://fasola.org/minutes/search/?q=%22germany+sacred+harp+convention%22"&gt;fasola.org&lt;/a&gt;</t>
  </si>
  <si>
    <t>&lt;a href="https://fasola.org/minutes/search/?q=charleston+south+carolina"&gt;fasola.org&lt;/a&gt;</t>
  </si>
  <si>
    <t>Northeast Missouri Memorial Day Singing</t>
  </si>
  <si>
    <t>&lt;a href="https://fasola.org/minutes/search/?q=missouri+%22memorial+day%22"&gt;fasola.org&lt;/a&gt;</t>
  </si>
  <si>
    <t>&lt;a href="https://fasola.org/minutes/search/?q=newcastle+singing"&gt;fasola.org&lt;/a&gt;</t>
  </si>
  <si>
    <t>&lt;a href="https://fasola.org/minutes/search/?q=lamar+pickens"&gt;fasola.org&lt;/a&gt;</t>
  </si>
  <si>
    <t>&lt;a href="https://fasola.org/minutes/search/?q=%22holly+springs%22+june"&gt;fasola.org&lt;/a&gt;</t>
  </si>
  <si>
    <t>&lt;a href="https://fasola.org/minutes/search/?q=shaker+bliss"&gt;fasola.org&lt;/a&gt;</t>
  </si>
  <si>
    <t>&lt;a href="https://fasola.org/minutes/search/?q=%22winchester+singing%22"&gt;fasola.org&lt;/a&gt;</t>
  </si>
  <si>
    <t>&lt;a href="https://fasola.org/minutes/search/?q=%22liberty+decoration%22"&gt;fasola.org&lt;/a&gt;</t>
  </si>
  <si>
    <t>&lt;a href="https://fasola.org/minutes/search/?q=oslo"&gt;fasola.org&lt;/a&gt;</t>
  </si>
  <si>
    <t>&lt;a href="https://fasola.org/minutes/search/?q=%22hopewell+homecoming%22"&gt;fasola.org&lt;/a&gt;</t>
  </si>
  <si>
    <t>santafesacredharp [at] gmail.com, &lt;a href="https://www.facebook.com/events/1159527745811662/"&gt;2025 Facebook event&lt;/a&gt;</t>
  </si>
  <si>
    <t>&lt;a href="https://fasola.org/minutes/search/?q=albany+june"&gt;fasola.org&lt;/a&gt;</t>
  </si>
  <si>
    <t>&lt;a href="https://fasola.org/minutes/search/?q=alpharetta+june"&gt;fasola.org&lt;/a&gt;</t>
  </si>
  <si>
    <t>Tucson</t>
  </si>
  <si>
    <t>AZ</t>
  </si>
  <si>
    <t>Arizona</t>
  </si>
  <si>
    <t>Location updated per &lt;a href="https://www.facebook.com/events/1159527745811662/"&gt;2025 Facebook event&lt;/a&gt;</t>
  </si>
  <si>
    <t>https://www.google.com/maps/place/Sonora+Cohousing+Community/@32.2747953,-111.0444586,12.35z/data=!4m6!3m5!1s0x86d673c5623b4e3d:0x3a00d89cbea2ee45!8m2!3d32.2794855!4d-110.9637678!16s%2Fg%2F11bccd3s9c?entry=ttu&amp;g_ep=EgoyMDI1MDEwOC4wIKXMDSoASAFQAw%3D%3D||Sonora Cohousing Community, 501 E Roger Rd, Tucson, AZ 85705</t>
  </si>
  <si>
    <t>&lt;iframe src="https://www.google.com/maps/embed?pb=!1m18!1m12!1m3!1d84857.60236622432!2d-111.04445856288042!3d32.27479531937683!2m3!1f0!2f0!3f0!3m2!1i1024!2i768!4f13.1!3m3!1m2!1s0x86d673c5623b4e3d%3A0x3a00d89cbea2ee45!2sSonora%20Cohousing%20Community!5e0!3m2!1sen!2sus!4v1736815023133!5m2!1sen!2sus" width="600" height="450" style="border:0;" allowfullscreen="" loading="lazy" referrerpolicy="no-referrer-when-downgrade"&gt;&lt;/iframe&gt;</t>
  </si>
  <si>
    <t>Saturday 9:00am-3:00pm, Sunday 9:30am-2:30pm</t>
  </si>
  <si>
    <t>32.279534, -110.963716</t>
  </si>
  <si>
    <t>&lt;a href="https://www.facebook.com/groups/288062357886428/posts/28015467844719173"&gt;2025 Facebook post&lt;/a&gt;, &lt;a href="https://www.facebook.com/events/3723308804481114/"&gt;2025 Facebook event, RSVP requested&lt;/a&gt;</t>
  </si>
  <si>
    <t>33.905277, -83.217308</t>
  </si>
  <si>
    <t>2025 location updated per Jane Cannon</t>
  </si>
  <si>
    <t>&lt;a href="http://singings.texasfasola.org/annualsingings.html"&gt;singings.texasfasola.org&lt;/a&gt;, &lt;a href="https://groups.google.com/g/fasola-singings/c/S5mCgDNn0xU"&gt;2025 Listserv post&lt;/a&gt;</t>
  </si>
  <si>
    <t>New Orleans</t>
  </si>
  <si>
    <t>Feb, 1st Sat</t>
  </si>
  <si>
    <t>New Orleans All Day</t>
  </si>
  <si>
    <t>https://www.google.com/maps/place/St.+Luke+Assembly+of+God/@29.9381223,-90.0798715,11.17z/data=!4m6!3m5!1s0x8620a92da9ff43af:0x406a30e6ea4fcc05!8m2!3d29.9803994!4d-90.0482245!16s%2Fg%2F11j8hz4_zm?entry=ttu&amp;g_ep=EgoyMDI1MDExNC4wIKXMDSoASAFQAw%3D%3D||St. Luke Assembly of God, 2201 Franklin Ave, New Orleans, LA 70117</t>
  </si>
  <si>
    <t>&lt;iframe src="https://www.google.com/maps/embed?pb=!1m14!1m8!1m3!1d221275.93265406755!2d-90.0798715!3d29.9381223!3m2!1i1024!2i768!4f13.1!3m3!1m2!1s0x8620a92da9ff43af%3A0x406a30e6ea4fcc05!2sSt.%20Luke%20Assembly%20of%20God!5e0!3m2!1sen!2sus!4v1737094715938!5m2!1sen!2sus" width="600" height="450" style="border:0;" allowfullscreen="" loading="lazy" referrerpolicy="no-referrer-when-downgrade"&gt;&lt;/iframe&gt;</t>
  </si>
  <si>
    <t>29.980446, -90.048153</t>
  </si>
  <si>
    <t>&lt;a href="https://www.facebook.com/nolasacredharp/"&gt;New Orleans Shape Note Singing FB Group&lt;/a&gt;, &lt;a href="https://www.facebook.com/events/1076816854119826/"&gt;2025 Event&lt;/a&gt;</t>
  </si>
  <si>
    <t>Singing added per  &lt;a href="https://www.facebook.com/events/1076816854119826/"&gt;2025 Event&lt;/a&gt;, first all-day since Katrina</t>
  </si>
  <si>
    <t>Jan, Sat before 4th Sun</t>
  </si>
  <si>
    <t>Jacksonville All-Day Singing</t>
  </si>
  <si>
    <t>&lt;a href="https://www.facebook.com/events/1659727521236648/"&gt;2025 Facebook Event&lt;/a&gt;</t>
  </si>
  <si>
    <t>Singing added per &lt;a href="https://www.facebook.com/events/1659727521236648/"&gt;2025 Facebook Event&lt;/a&gt;</t>
  </si>
  <si>
    <t>https://www.google.com/maps/place/St.+John's+Lutheran+Church/@30.3399492,-81.7264443,11.65z/data=!4m6!3m5!1s0x88e5b72de6ee4c27:0x945d62cc873f3fa7!8m2!3d30.3484644!4d-81.657072!16s%2Fg%2F11c54dw7cf?entry=ttu&amp;g_ep=EgoyMDI1MDExNS4wIKXMDSoASAFQAw%3D%3D||St. John's Lutheran Church, 1950 Silver St, Jacksonville, FL 32206</t>
  </si>
  <si>
    <t>&lt;iframe src="https://www.google.com/maps/embed?pb=!1m18!1m12!1m3!1d140171.6216207344!2d-81.72644425212285!3d30.33994917181664!2m3!1f0!2f0!3f0!3m2!1i1024!2i768!4f13.1!3m3!1m2!1s0x88e5b72de6ee4c27%3A0x945d62cc873f3fa7!2sSt.%20John&amp;#39;s%20Lutheran%20Church!5e0!3m2!1sen!2sus!4v1737397277666!5m2!1sen!2sus" width="600" height="450" style="border:0;" allowfullscreen="" loading="lazy" referrerpolicy="no-referrer-when-downgrade"&gt;&lt;/iframe&gt;</t>
  </si>
  <si>
    <t>30.348480, -81.657070</t>
  </si>
  <si>
    <t>&lt;a href="https://fasola.org/minutes/search/?q=exeter+june"&gt;fasola.org&lt;/a&gt;</t>
  </si>
  <si>
    <t>&lt;a href="https://fasola.org/minutes/search/?q=%22calvert+memorial%22"&gt;fasola.org&lt;/a&gt;</t>
  </si>
  <si>
    <t>&lt;a href="https://fasola.org/minutes/search/?q=macedonia+june"&gt;fasola.org&lt;/a&gt;</t>
  </si>
  <si>
    <t>&lt;a href="https://fasola.org/minutes/search/?q=hopewell+june+roopville"&gt;fasola.org&lt;/a&gt;</t>
  </si>
  <si>
    <t>&lt;a href="https://fasola.org/minutes/search/?q=%22wakefield+memorial%22+june"&gt;fasola.org&lt;/a&gt;</t>
  </si>
  <si>
    <t>&lt;a href="https://fasola.org/minutes/search/?q=oxford+june"&gt;fasola.org&lt;/a&gt;</t>
  </si>
  <si>
    <t>&lt;a href="https://fasola.org/minutes/search/?q=%22double+springs%22+%22june%22+shady"&gt;fasola.org&lt;/a&gt;</t>
  </si>
  <si>
    <t>&lt;a href="https://fasola.org/minutes/search/?q=lebanon+fayette+june"&gt;fasola.org&lt;/a&gt;</t>
  </si>
  <si>
    <t>&lt;a href="https://fasola.org/minutes/search/?q=%22new+hope+church%22+alabama+june"&gt;fasola.org&lt;/a&gt;</t>
  </si>
  <si>
    <t>&lt;a href="https://fasola.org/minutes/search/?q=quilcene"&gt;fasola.org&lt;/a&gt;</t>
  </si>
  <si>
    <t>&lt;a href="https://fasola.org/minutes/search/?q=%22union+musical%22"&gt;fasola.org&lt;/a&gt;</t>
  </si>
  <si>
    <t>&lt;a href="https://fasola.org/minutes/search/?q=wellington+independence"&gt;fasola.org&lt;/a&gt;</t>
  </si>
  <si>
    <t>&lt;a href="https://fasola.org/minutes/search/?q=%22lewes+sacred%22"&gt;fasola.org&lt;/a&gt;</t>
  </si>
  <si>
    <t>&lt;a href="https://forms.gle/Uxyg1LRqNnLgANJMA"&gt;2025 Google Form&lt;/a&gt;, ainsleyross [at] ou.edu,  &lt;a href="https://www.facebook.com/groups/288062357886428/posts/29250554771210468/"&gt;2025 Facebook post&lt;/a&gt;</t>
  </si>
  <si>
    <t>&lt;a href="https://fasola.org/minutes/search/?q=%22dublin%2C+ireland%22"&gt;fasola.org&lt;/a&gt;</t>
  </si>
  <si>
    <t>&lt;a href="https://fasola.org/minutes/search/?q=pioneer+valley"&gt;fasola.org&lt;/a&gt;</t>
  </si>
  <si>
    <t>&lt;a href="https://fasola.org/minutes/search/?q=henagar+%22union+convention%22"&gt;fasola.org&lt;/a&gt;</t>
  </si>
  <si>
    <t>&lt;a href="https://fasola.org/minutes/search/?q=victoria+australia"&gt;fasola.org&lt;/a&gt;</t>
  </si>
  <si>
    <t>&lt;a href="https://fasola.org/minutes/search/?q=%22cullman+county%22+july"&gt;fasola.org&lt;/a&gt;</t>
  </si>
  <si>
    <t>Ozias Sacred Harp Singing</t>
  </si>
  <si>
    <t>&lt;a href="https://fasola.org/minutes/search/?q=%22flat+shoals%22"&gt;'07-'22 fasola.org&lt;/a&gt;, &lt;a href="https://fasola.org/minutes/search/?q=ozias"&gt;'23+ fasola.org&lt;/a&gt;</t>
  </si>
  <si>
    <t>&lt;a href="https://fasola.org/minutes/search/?q=scotland+singing+july"&gt;fasola.org&lt;/a&gt;</t>
  </si>
  <si>
    <t>&lt;a href="https://fasola.org/minutes/search/?q=montreal"&gt;fasola.org&lt;/a&gt;</t>
  </si>
  <si>
    <t>&lt;a href="https://fasola.org/minutes/search/?q=eastern+townships"&gt;fasola.org&lt;?a&gt;</t>
  </si>
  <si>
    <t>&lt;a href="https://fasola.org/minutes/search/?q=michiana"&gt;fasola.org&lt;/a&gt;</t>
  </si>
  <si>
    <t>&lt;a href="https://fasola.org/minutes/search/?q=rocky+mountain+colorado"&gt;fasola.org&lt;/a&gt;</t>
  </si>
  <si>
    <t>&lt;a href="https://fasola.org/minutes/search/?q=%22walker+county%22+july"&gt;fasola.org&lt;/a&gt;</t>
  </si>
  <si>
    <t>&lt;a href="https://fasola.org/minutes/search/?q=jeremiah+ingalls+vermont"&gt;fasola.org&lt;/a&gt;</t>
  </si>
  <si>
    <t>&lt;a href="https://fasola.org/minutes/search/?q=kalamazoo"&gt;fasola.org&lt;/a&gt;</t>
  </si>
  <si>
    <t>&lt;a href="https://fasola.org/minutes/search/?q=harbinson+hollis"&gt;fasola.org&lt;/a&gt;</t>
  </si>
  <si>
    <t>&lt;a href="http://sacredharpbook.com/calendar-of-singings"&gt;sacredharpbook.com/calendar-of-singings&lt;/a&gt;, &lt;a href="https://www.facebook.com/groups/288062357886428/posts/29312270428372235"&gt;2025 post&lt;/a&gt;</t>
  </si>
  <si>
    <t>Sarah Gershon - sahra.lynne [at] gmail.com, &lt;a href="https://www.indysacredharp.com/"&gt;indysacredharp.com&lt;/a&gt;, &lt;a href="https://www.facebook.com/groups/indysacredharp"&gt;Indy Sacred Harp Facebook Group&lt;/a&gt;, &lt;a href="https://www.facebook.com/events/1155596999609782/"&gt;2025 Facebook event&lt;/a&gt;</t>
  </si>
  <si>
    <t>&lt;a href="http://sacredharpbook.com/calendar-of-singings"&gt;sacredharpbook.com/calendar-of-singings&lt;/a&gt;, &lt;a href="https://www.facebook.com/groups/288062357886428/posts/29303776749221603/"&gt;2025 Facebook post&lt;/a&gt;</t>
  </si>
  <si>
    <t>One-off date change in 2025 to 1st Sun &amp; Sat before per &lt;a href="https://www.sacredharp.uk/"&gt;sacredharp.uk&lt;/a&gt;. Typically 2nd weekend.</t>
  </si>
  <si>
    <t>&lt;a href="https://www.facebook.com/groups/288062357886428/posts/29370025799263364/"&gt;2025 Facebook post&lt;/a&gt;</t>
  </si>
  <si>
    <t>&lt;a href="https://atlantasacredharp.org"&gt;atlantasacredharp.org&lt;/a&gt;, &lt;a href="https://www.facebook.com/events/1177015410644198/"&gt;2025 Facebook event&lt;/a&gt;</t>
  </si>
  <si>
    <t>Karen Rollins, &lt;a href="https://www.facebook.com/groups/288062357886428/posts/29359017843697493/"&gt;2025 post&lt;/a&gt;</t>
  </si>
  <si>
    <t>&lt;a href="https://www.facebook.com/events/459081647253661/"&gt;2025 Facebook event&lt;/a&gt;, andy [at] andyditzler.com</t>
  </si>
  <si>
    <t>https://www.google.com/maps/place/Rita+Anne+Rollins+Bldg/@33.7299987,-84.5815499,11.17z/data=!4m6!3m5!1s0x88f506f1a9b73c0d:0xf015044254e9b324!8m2!3d33.7917767!4d-84.3259581!16s%2Fg%2F11b7795pgs?entry=ttu&amp;g_ep=EgoyMDI1MDIwMy4wIKXMDSoASAFQAw%3D%3D||Wesley Teaching Chapel, Rita Anne Rollins Bldg, 1531 Dickey Dr, Atlanta, GA 30322</t>
  </si>
  <si>
    <t>&lt;iframe src="https://www.google.com/maps/embed?pb=!1m18!1m12!1m3!1d188998.06461752288!2d-84.5815498797166!3d33.729998663695255!2m3!1f0!2f0!3f0!3m2!1i1024!2i768!4f13.1!3m3!1m2!1s0x88f506f1a9b73c0d%3A0xf015044254e9b324!2sRita%20Anne%20Rollins%20Bldg!5e0!3m2!1sen!2sus!4v1738733715005!5m2!1sen!2sus" width="600" height="450" style="border:0;" allowfullscreen="" loading="lazy" referrerpolicy="no-referrer-when-downgrade"&gt;&lt;/iframe&gt;</t>
  </si>
  <si>
    <t>location updated per &lt;a href="http://atlantasacredharp.org/monthly.html"&gt;http://atlantasacredharp.org/monthly.html&lt;/a&gt;</t>
  </si>
  <si>
    <t>33.791722, -84.325942</t>
  </si>
  <si>
    <t>wmshc.chair [at] gmail.com, &lt;a href="https://wmshc.org/convention"&gt;2025 Webpage&lt;/a&gt;</t>
  </si>
  <si>
    <t>&lt;a href="http://stlfasola.org/"&gt;stlfasola.org&lt;/a&gt; and &lt;a href="https://www.facebook.com/groups/306868649480789/"&gt;St Louis Shape Note Singers Facebook group&lt;/a&gt;, &lt;a href="https://www.facebook.com/groups/306868649480789/posts/2942514065916221/"&gt;2025 Facebook post&lt;/a&gt;</t>
  </si>
  <si>
    <t>chair [at] pacificnwsacredharpsingers.org, &lt;a href="https://www.facebook.com/events/1599074000721943"&gt;2025 Facebook event&lt;/a&gt;</t>
  </si>
  <si>
    <t>&lt;h4&gt;Cancelled for 2025, we encourage folks to come to the Dan Brittain Memorial Singing in April.&lt;/h4&gt;</t>
  </si>
  <si>
    <t>Cancelled in 2025 per user submission</t>
  </si>
  <si>
    <t>&lt;a href="https://fasola.org/minutes/search/?q=%22maine+all-day%22+%22july%22"&gt;fasola.org&lt;/a&gt;</t>
  </si>
  <si>
    <t>&lt;a href="https://fasola.org/minutes/search/?q=cotaco"&gt;fasola.org&lt;/a&gt;</t>
  </si>
  <si>
    <t>&lt;a href="https://fasola.org/minutes/search/?q=%22mt.+zion%22+july"&gt;fasola.org&lt;/a&gt;</t>
  </si>
  <si>
    <t>&lt;a href="https://fasola.org/minutes/search/?q=mobile+august"&gt;fasola.org&lt;/a&gt;</t>
  </si>
  <si>
    <t>&lt;a href="https://fasola.org/minutes/search/?q=chattahoochee+august"&gt;fasola.org&lt;/a&gt;</t>
  </si>
  <si>
    <t>&lt;a href="https://fasola.org/minutes/search/?q=%22jolly+memorial%22"&gt;fasola.org&lt;/a&gt;</t>
  </si>
  <si>
    <t>&lt;a href="https://fasola.org/minutes/search/?q=%22sleeva+memorial%22"&gt;fasola.org&lt;/a&gt;</t>
  </si>
  <si>
    <t>&lt;a href="https://fasola.org/minutes/search/?q=%22calhoun+county+convention%22+mississippi"&gt;fasola.org&lt;/a&gt;</t>
  </si>
  <si>
    <t>&lt;a href="https://fasola.org/minutes/search/?q=%22east+texas%22"&gt;fasola.org&lt;/a&gt;</t>
  </si>
  <si>
    <t>&lt;a href="https://fasola.org/minutes/search/?q=%22b.m.+smith%22+memorial+august+georgia"&gt;fasola.org&lt;/a&gt;</t>
  </si>
  <si>
    <t>Warren Steel, &lt;a href="http://home.olemiss.edu/~mudws/oxford.html"&gt;http://home.olemiss.edu/~mudws/oxford.html&lt;/a&gt;, &lt;a href="https://www.facebook.com/groups/288062357886428/"&gt;2025 Facebook post&lt;/a&gt;</t>
  </si>
  <si>
    <t>&lt;a href="https://ynhrs.yale.edu/event/46th-new-england-convention"&gt;https://ynhrs.yale.edu/event/46th-new-england-convention&lt;/a&gt;, &lt;a href="https://www.facebook.com/events/991126942948515"&gt;2025 Facebook event&lt;/a&gt;</t>
  </si>
  <si>
    <t>Burlington</t>
  </si>
  <si>
    <t>Location updated per &lt;a href="https://www.facebook.com/events/991126942948515"&gt;2025 Facebook event&lt;/a&gt;</t>
  </si>
  <si>
    <t>&lt;a href="http://singings.texasfasola.org/annualsingings.html"&gt;singings.texasfasola.org&lt;/a&gt;, &lt;a href="https://www.facebook.com/events/491888307087288/"&gt;2025 Facebook event&lt;/a&gt;</t>
  </si>
  <si>
    <t>&lt;a href="http://sacredharpbook.com/calendar-of-singings"&gt;sacredharpbook.com/calendar-of-singings&lt;/a&gt;, &lt;a href="https://www.facebook.com/groups/288062357886428/posts/29584010947864847/"&gt;2025 Facebook post&lt;/a&gt;</t>
  </si>
  <si>
    <t>&lt;a href="http://ohiosacredharp.ej345.com/"&gt;http://ohiosacredharp.ej345.com/&lt;/a&gt;, &lt;a href="http://columbussacredharp.org/convention/"&gt;http://columbussacredharp.org/convention/&lt;/a&gt;, &lt;a href="https://www.facebook.com/events/579866644531371"&gt;2025 Facebook group&lt;/a&gt;</t>
  </si>
  <si>
    <t>Winston-Salem Convention</t>
  </si>
  <si>
    <t>&lt;iframe src="https://www.google.com/maps/embed?pb=!1m28!1m12!1m3!1d1029765.4844870534!2d-80.98077575524941!3d36.104162915046054!2m3!1f0!2f0!3f0!3m2!1i1024!2i768!4f13.1!4m13!3e6!4m5!1s0x8853ae2363ccefe9%3A0xc08e05cad82c42b2!2sFries%20Memorial%20Moravian%20Church%2C%20251%20N%20Hawthorne%20Rd%2C%20Winston-Salem%2C%20NC%2027104!3m2!1d36.099820199999996!2d-80.2673988!4m5!1s0x8853ae51b45e6157%3A0x8d792ae4ec13079c!2sMoravian%20Music%20Foundation%20Inc%2C%20457%20S%20Church%20St%2C%20Winston-Salem%2C%20NC%2027101!3m2!1d36.089431499999996!2d-80.2408461!5e0!3m2!1sen!2sus!4v1740376063507!5m2!1sen!2sus" width="600" height="450" style="border:0;" allowfullscreen="" loading="lazy" referrerpolicy="no-referrer-when-downgrade"&gt;&lt;/iframe&gt;</t>
  </si>
  <si>
    <t>&lt;a href="https://www.ncshapenote.org/join-us.html"&gt;https://www.ncshapenote.org/join-us.html&lt;/a&gt;, &lt;a href="https://www.ncshapenote.org/uploads/1/3/7/9/137916601/w-s_first_annual_all-day_flyer.pdf"&gt;2024 Flyer&lt;/a&gt;, c.e.serfass [at] gmail.com</t>
  </si>
  <si>
    <t>Converted to 2 day convention per user submission and &lt;a href="https://www.ncshapenote.org/join-us.html"&gt;https://www.ncshapenote.org/join-us.html&lt;/a&gt;</t>
  </si>
  <si>
    <t>Saturday singing all-day from the Sacred Harp, 1991 Denson Revision at Fries Memorial Moravian Church, 251 N Hawthorne Road, Winston-Salem, NC, 27104.&lt;/br&gt;
&lt;/br&gt;Sunday singing half-day from the Shenandoah Harmony and half-day from a packet of historical songs at the Moravian Music Foundation Archives, 457 S Church St, Winston-Salem, NC 27101. Songs in the packet are selections from the Irving Lowens collection at the Moravian Music Foundation Archives, which consists of hundreds of early American songbooks. A short talk from one of the archivists will happen around lunchtime.</t>
  </si>
  <si>
    <t>https://www.google.com/maps/dir/Fries+Memorial+Moravian+Church,+251+N+Hawthorne+Rd,+Winston-Salem,+NC+27104/Moravian+Music+Foundation+Inc,+457+S+Church+St,+Winston-Salem,+NC+27101/@36.0885101,-80.3577397,11.11z/data=!4m13!4m12!1m5!1m1!1s0x8853ae2363ccefe9:0xc08e05cad82c42b2!2m2!1d-80.2673988!2d36.0998202!1m5!1m1!1s0x8853ae51b45e6157:0x8d792ae4ec13079c!2m2!1d-80.2408461!2d36.0894315?entry=ttu&amp;g_ep=EgoyMDI1MDIxOS4xIKXMDSoASAFQAw%3D%3D||Saturday - Fries Memorial Moravian Church, 251 N Hawthorne Rd. Winston-Salem, NC 27104, Sunday - Moravian Music Foundation Archives, 457 S Church St, Winston-Salem, NC 27101</t>
  </si>
  <si>
    <t>https://www.google.com/maps/place/Burlington+City+Hall/@44.752986,-73.602576,8.76z/data=!3m1!5s0x4cca7af787ace2fb:0x2e7fc970eab61994!4m6!3m5!1s0x4cca7af786fd465b:0x2b918baa513316f7!8m2!3d44.476063!4d-73.2128369!16s%2Fg%2F1x5f9zxt?entry=ttu&amp;g_ep=EgoyMDI1MDIxOS4xIKXMDSoASAFQAw%3D%3D||Contois Auditorium in Burlington's City Hall, 149 Church St, Burlington, VT 05401, United States</t>
  </si>
  <si>
    <t>&lt;iframe src="https://www.google.com/maps/embed?pb=!1m18!1m12!1m3!1d854316.6315890525!2d-73.60257596687892!3d44.75298601630692!2m3!1f0!2f0!3f0!3m2!1i1024!2i768!4f13.1!3m3!1m2!1s0x4cca7af786fd465b%3A0x2b918baa513316f7!2sBurlington%20City%20Hall!5e0!3m2!1sen!2sus!4v1740447251883!5m2!1sen!2sus" width="600" height="450" style="border:0;" allowfullscreen="" loading="lazy" referrerpolicy="no-referrer-when-downgrade"&gt;&lt;/iframe&gt;</t>
  </si>
  <si>
    <t>44.476130, -73.212826</t>
  </si>
  <si>
    <t>NM</t>
  </si>
  <si>
    <t>New Mexico</t>
  </si>
  <si>
    <t>Santa Fe</t>
  </si>
  <si>
    <t>New Mexico Sacred Harp Convention</t>
  </si>
  <si>
    <t>https://www.google.com/maps/place/MONTEZUMA+LODGE/@35.5470303,-106.2471455,9.71z/data=!4m6!3m5!1s0x87185039b46413af:0x43a6cb83ba0501bf!8m2!3d35.6927203!4d-105.9367637!16s%2Fg%2F11mvkp3xsx?entry=ttu&amp;g_ep=EgoyMDI1MDIxOS4xIKXMDSoASAFQAw%3D%3D||Montezume Lodge, 431 Paseo de Peralta Santa Fe, New Mexico 87501</t>
  </si>
  <si>
    <t>&lt;iframe src="https://www.google.com/maps/embed?pb=!1m18!1m12!1m3!1d508621.8466024087!2d-106.24714546501842!3d35.54703033138544!2m3!1f0!2f0!3f0!3m2!1i1024!2i768!4f13.1!3m3!1m2!1s0x87185039b46413af%3A0x43a6cb83ba0501bf!2sMONTEZUMA%20LODGE!5e0!3m2!1sen!2sus!4v1740447400170!5m2!1sen!2sus" width="600" height="450" style="border:0;" allowfullscreen="" loading="lazy" referrerpolicy="no-referrer-when-downgrade"&gt;&lt;/iframe&gt;</t>
  </si>
  <si>
    <t>35.692713, -105.936781</t>
  </si>
  <si>
    <t>&lt;a href="http://sacredharpbook.com/calendar-of-singings"&gt;sacredharpbook.com/calendar-of-singings&lt;/a&gt;, &lt;a href="https://www.facebook.com/groups/288062357886428/posts/29659950263604248/"&gt;2025 Facebook post&lt;/a&gt;</t>
  </si>
  <si>
    <t>&lt;a href="http://dcshapenote.squarespace.com/big-singings"&gt;dcshapenote.squarespace.com&lt;/a&gt;, &lt;a href="https://www.facebook.com/events/4147554815477535"&gt;2025 Facebook event&lt;/a&gt;</t>
  </si>
  <si>
    <t>Northern Shenandoah Valley Double All-Day</t>
  </si>
  <si>
    <t>Jun, 2nd Sun &amp; Sat Before</t>
  </si>
  <si>
    <t>&lt;a href="https://www.facebook.com/events/610715118103120"&gt;2025 Facebook event&lt;/a&gt;</t>
  </si>
  <si>
    <t>Singing added per &lt;a href="https://www.facebook.com/events/610715118103120"&gt;2025 Facebook event&lt;/a&gt;</t>
  </si>
  <si>
    <t>&lt;a href="https://sacredharp.uk/"&gt;sacredharp.uk&lt;/a&gt; and &lt;a href="https://www.facebook.com/events/628123669846573/"&gt;2025 Facebook event&lt;/a&gt;</t>
  </si>
  <si>
    <t>MD</t>
  </si>
  <si>
    <t>Maryland</t>
  </si>
  <si>
    <t>Baltimore-Washington Shenandoah Harmony All-Day Singing</t>
  </si>
  <si>
    <t>Singing added per &lt;a href="https://www.facebook.com/events/9649459868469311/"&gt;2025 Facebook event&lt;/a&gt;</t>
  </si>
  <si>
    <t>Annapolis</t>
  </si>
  <si>
    <t>https://www.google.com/maps/place/Annapolis+Friends+Meeting/@38.9622038,-76.5241147,11.17z/data=!4m6!3m5!1s0x89b7f717f8f742b9:0x7811da38312ad68f!8m2!3d39.0016719!4d-76.5253585!16s%2Fg%2F1v3_3l5q?entry=ttu&amp;g_ep=EgoyMDI1MDMwNC4wIKXMDSoASAFQAw%3D%3D||Annapolis Friends Meetinghouse, located at 351 Dubois Rd., Annapolis, MD 21401</t>
  </si>
  <si>
    <t>&lt;iframe src="https://www.google.com/maps/embed?pb=!1m18!1m12!1m3!1d176886.96800692318!2d-76.52411466485908!3d38.96220376189478!2m3!1f0!2f0!3f0!3m2!1i1024!2i768!4f13.1!3m3!1m2!1s0x89b7f717f8f742b9%3A0x7811da38312ad68f!2sAnnapolis%20Friends%20Meeting!5e0!3m2!1sen!2sus!4v1741546515316!5m2!1sen!2sus" width="600" height="450" style="border:0;" allowfullscreen="" loading="lazy" referrerpolicy="no-referrer-when-downgrade"&gt;&lt;/iframe&gt;</t>
  </si>
  <si>
    <t>39.001708, -76.525307</t>
  </si>
  <si>
    <t>&lt;a href="https://www.marylandshapenote.org/all-day/"&gt;marylandshapenote.org/all-day/&lt;/a&gt;, &lt;a href="https://www.facebook.com/events/9649459868469311/"&gt;2025 Facebook event&lt;/a&gt;</t>
  </si>
  <si>
    <t>Dave Farmer at davefarmer-at-charter-dot-net or Frances Carnell, 864-862-4373, email: carnelllh-at-att-dot-net, &lt;a href="https://www.facebook.com/groups/45458433401/posts/10161515632198402"&gt;2025 Facebook mention&lt;/a&gt;&lt;/br&gt; &lt;img src="https://shapenotesingings.com/wp-content/uploads/2025/03/walker25.jpg" style="max-width:700px;"&gt;</t>
  </si>
  <si>
    <t>https://www.google.com/maps/place/Cumnor+Village+Hall/@51.689244,-1.4353087,11.38z/data=!4m6!3m5!1s0x4876c621bd2aefc7:0xe7d7cbe5d3a7517f!8m2!3d51.737126!4d-1.3381252!16s%2Fg%2F11c5zrccnw?entry=ttu&amp;g_ep=EgoyMDI1MDMwNC4wIKXMDSoASAFQAw%3D%3D||Cumnor Village Hall, Leys Road, Cumnor, Oxfordshire, OX2 9QF, United Kingdom</t>
  </si>
  <si>
    <t>&lt;iframe src="https://www.google.com/maps/embed?pb=!1m18!1m12!1m3!1d122063.8097003233!2d-1.4353086994158424!3d51.689244038231216!2m3!1f0!2f0!3f0!3m2!1i1024!2i768!4f13.1!3m3!1m2!1s0x4876c621bd2aefc7%3A0xe7d7cbe5d3a7517f!2sCumnor%20Village%20Hall!5e0!3m2!1sen!2sus!4v1741547681923!5m2!1sen!2sus" width="600" height="450" style="border:0;" allowfullscreen="" loading="lazy" referrerpolicy="no-referrer-when-downgrade"&gt;&lt;/iframe&gt;</t>
  </si>
  <si>
    <t>51.737154, -1.338125</t>
  </si>
  <si>
    <t>Nov, 1st Sun &amp; Sat before</t>
  </si>
  <si>
    <t>One-off date change in 2025 to 1st Sun &amp; Sat of Nov per &lt;a href="https://www.sacredharp.uk/"&gt;sacredharp.uk&lt;/a&gt;. Typically Last Sat of Oct &amp; Sun after</t>
  </si>
  <si>
    <t>Tulsa</t>
  </si>
  <si>
    <t>Tulsa All Day Singing</t>
  </si>
  <si>
    <t>Singing added per &lt;a href="https://www.facebook.com/events/663108509543323"&gt;2025 Facebook event&lt;/a&gt;</t>
  </si>
  <si>
    <t>&lt;iframe src="https://www.google.com/maps/embed?pb=!1m18!1m12!1m3!1d66830.1940014375!2d-96.05577063424322!3d36.17092474625996!2m3!1f0!2f0!3f0!3m2!1i1024!2i768!4f13.1!3m3!1m2!1s0x87b6eb00309f75d5%3A0x7c3344765856b3bd!2sSaint%20Cecilia&amp;#39;s%20Listening%20Room!5e0!3m2!1sen!2sus!4v1741563338381!5m2!1sen!2sus" width="600" height="450" style="border:0;" allowfullscreen="" loading="lazy" referrerpolicy="no-referrer-when-downgrade"&gt;&lt;/iframe&gt;</t>
  </si>
  <si>
    <t>36.168181, -95.998460</t>
  </si>
  <si>
    <t>https://www.google.com/maps/place/Saint+Cecilia's+Listening+Room/@36.1709247,-96.0557706,12.63z/data=!4m6!3m5!1s0x87b6eb00309f75d5:0x7c3344765856b3bd!8m2!3d36.1682717!4d-95.9983728!16s%2Fg%2F11lv7y4vx0?entry=ttu&amp;g_ep=EgoyMDI1MDMwNC4wIKXMDSoASAFQAw%3D%3D||Saint Cecilia's Listening Room, 205 W King St, Tulsa, OK 74106</t>
  </si>
  <si>
    <t>&lt;a href="https://fasola.org/minutes/search/?q=rainier"&gt;fasola.org&lt;/a&gt;</t>
  </si>
  <si>
    <t>&lt;a href="https://fasola.org/minutes/search/?q=berlin"&gt;fasola.org&lt;/a&gt;</t>
  </si>
  <si>
    <t>&lt;a href="https://fasola.org/minutes/search/?q=ramah"&gt;fasola.org&lt;/a&gt;</t>
  </si>
  <si>
    <t>Emma Beasley, Belton Beasley, and Phillip Lee III Memorial</t>
  </si>
  <si>
    <t>&lt;a href="https://fasola.org/minutes/search/?q=%22emma+beasley%22"&gt;fasola.org&lt;/a&gt;</t>
  </si>
  <si>
    <t>&lt;a href="https://fasola.org/minutes/search/?q=%22sylvester%2C+georgia%22"&gt;fasola.org&lt;/a&gt;</t>
  </si>
  <si>
    <t>&lt;a href="https://fasola.org/minutes/search/?q=%22central+ontario%22"&gt;fasola.org&lt;/a&gt;</t>
  </si>
  <si>
    <t>&lt;a href="https://fasola.org/minutes/search/?q=%22cocoa+beach%22"&gt;fasola.org&lt;?a&gt;</t>
  </si>
  <si>
    <t>&lt;a href="https://fasola.org/minutes/search/?q=lookout+august"&gt;fasola.org&lt;/a&gt;</t>
  </si>
  <si>
    <t>&lt;a href="https://fasola.org/minutes/search/?q=%22mississippi+state%22+august"&gt;fasola.org&lt;/a&gt;</t>
  </si>
  <si>
    <t>&lt;a href="https://fasola.org/minutes/search/?q=%22palo+alto%22"&gt;fasola.org&lt;/a&gt;</t>
  </si>
  <si>
    <t>&lt;a href="https://fasola.org/minutes/search/?q=%22floyd+county%22"&gt;fasola.org&lt;/a&gt;</t>
  </si>
  <si>
    <t>&lt;a href="https://fasola.org/minutes/search/?q=cork+august"&gt;fasola.org&lt;/a&gt;</t>
  </si>
  <si>
    <t>&lt;a href="https://fasola.org/minutes/search/?q=maidencreek"&gt;fasola.org&lt;/a&gt;</t>
  </si>
  <si>
    <t>&lt;a href="https://fasola.org/minutes/search/?q=%22young+people%27s%22"&gt;fasola.org&lt;/a&gt;</t>
  </si>
  <si>
    <t>&lt;a href="https://fasola.org/minutes/search/?q=%22southwest+texas%22"&gt;fasola.org&lt;/a&gt;</t>
  </si>
  <si>
    <t>&lt;a href="https://fasola.org/minutes/search/?q=%22fox+valley%22"&gt;fasola.org&lt;/a&gt;</t>
  </si>
  <si>
    <t>&lt;a href="https://fasola.org/minutes/search/?q=%22lacy+memorial%22"&gt;fasola.org&lt;/a&gt;</t>
  </si>
  <si>
    <t>&lt;a href="https://fasola.org/minutes/search/?q=%22shoal+creek%22+labor"&gt;fasola.org&lt;/a&gt;</t>
  </si>
  <si>
    <t>&lt;a href="https://fasola.org/minutes/search/?q=mulberry+river"&gt;fasola.org&lt;/a&gt;</t>
  </si>
  <si>
    <t>&lt;a href="https://fasola.org/minutes/search/?q=%22georgian+harmony%22+september"&gt;fasola.org&lt;/a&gt;, &lt;a href="https://christianharmony.org/singings/georgian-harmony-sep.html"&gt;christianharmony.org&lt;/a&gt;</t>
  </si>
  <si>
    <t>&lt;a href="https://fasola.org/minutes/search/?q=cape+meares"&gt;fasola.org&lt;/a&gt;</t>
  </si>
  <si>
    <t>&lt;a href="https://fasola.org/minutes/search/?q=%22meek+memorial%22"&gt;fasola.org&lt;/a&gt;</t>
  </si>
  <si>
    <t>&lt;a href="https://fasola.org/minutes/search/?q=united+association+september"&gt;fasola.org&lt;/a&gt;</t>
  </si>
  <si>
    <t>&lt;a href="https://fasola.org/minutes/search/?q=%22floyd+memorial%22"&gt;fasola.org&lt;/a&gt;</t>
  </si>
  <si>
    <t>&lt;a href="https://fasola.org/minutes/search/?q=uppsala"&gt;fasola.org&lt;/a&gt;</t>
  </si>
  <si>
    <t>&lt;a href="https://fasola.org/minutes/search/?q=%22united+kingdom%22+convention+september"&gt;fasola.org&lt;/a&gt;</t>
  </si>
  <si>
    <t>&lt;a href="https://fasola.org/minutes/search/?q=%22new+york+city%22+september"&gt;fasola.org&lt;/a&gt;</t>
  </si>
  <si>
    <t>&lt;a href="https://fasola.org/minutes/search/?q=%22illinois+state%22"&gt;fasola.org&lt;/a&gt;</t>
  </si>
  <si>
    <t>&lt;a href="https://www.facebook.com/groups/288062357886428/posts/27167483539517612"&gt;fasola.org&lt;/a&gt;</t>
  </si>
  <si>
    <t>&lt;a href="https://fasola.org/minutes/search/?q=%22minnesota+state%22"&gt;fasola.org&lt;/a&gt;</t>
  </si>
  <si>
    <t>&lt;a href="https://fasola.org/minutes/search/?q=nuremberg"&gt;fasola.org&lt;/a&gt;</t>
  </si>
  <si>
    <t>&lt;a href="https://fasola.org/minutes/search/?q=norumbega"&gt;fasola.org&lt;/a&gt;</t>
  </si>
  <si>
    <t>&lt;a href="https://fasola.org/minutes/search/?q=%22poplar+springs%22"&gt;fasola.org&lt;/a&gt;</t>
  </si>
  <si>
    <t>&lt;a href="https://fasola.org/minutes/search/?q=%22winston+county+convention%22"&gt;fasola.org&lt;/a&gt;</t>
  </si>
  <si>
    <t>https://www.google.com/maps/place/33%C2%B051'14.2%22N+87%C2%B011'08.0%22W/@33.9033005,-87.2485247,11.65z/data=!4m4!3m3!8m2!3d33.8539444!4d-87.1855556?entry=ttu&amp;g_ep=EgoyMDI1MDMxMC4wIKXMDSoASAFQAw%3D%3D||Pleasant Grove Primitive Baptist Church. Boldo Cemetery Road, Walker County Alabama</t>
  </si>
  <si>
    <t>&lt;iframe src="https://www.google.com/maps/embed?pb=!1m17!1m12!1m3!1d134801.6130539698!2d-87.2485247152609!3d33.90330050256013!2m3!1f0!2f0!3f0!3m2!1i1024!2i768!4f13.1!3m2!1m1!2zMzPCsDUxJzE0LjIiTiA4N8KwMTEnMDguMCJX!5e0!3m2!1sen!2sus!4v1741876309998!5m2!1sen!2sus" width="600" height="450" style="border:0;" allowfullscreen="" loading="lazy" referrerpolicy="no-referrer-when-downgrade"&gt;&lt;/iframe&gt;</t>
  </si>
  <si>
    <t>2025 returning to Pleasant Grove PBC per user submission</t>
  </si>
  <si>
    <t>33.853971, -87.185465</t>
  </si>
  <si>
    <t>Saturday - Denson/Cooper; Sunday - Christian Harmony 2010</t>
  </si>
  <si>
    <t>https://www.google.com/maps/place/Old+Band+Room+Dungworth/@53.4162734,-1.6960789,11.17z/data=!4m6!3m5!1s0x48797f0a6cb7fd71:0x1d241c8b419b3b17!8m2!3d53.4057872!4d-1.5800303!16s%2Fg%2F11bwh5gk4j?hl=en&amp;entry=ttu&amp;g_ep=EgoyMDI1MDMxMS4wIKXMDSoASAFQAw%3D%3D||Old Band Room, Main Road, Dungworth, Sheffield, S6 6HF, United Kingdom</t>
  </si>
  <si>
    <t>&lt;iframe src="https://www.google.com/maps/embed?pb=!1m18!1m12!1m3!1d135583.03604375714!2d-1.6960788942444929!3d53.41627343238566!2m3!1f0!2f0!3f0!3m2!1i1024!2i768!4f13.1!3m3!1m2!1s0x48797f0a6cb7fd71%3A0x1d241c8b419b3b17!2sOld%20Band%20Room%20Dungworth!5e0!3m2!1sen!2sus!4v1741957354520!5m2!1sen!2sus" width="600" height="450" style="border:0;" allowfullscreen="" loading="lazy" referrerpolicy="no-referrer-when-downgrade"&gt;&lt;/iframe&gt;</t>
  </si>
  <si>
    <t>53.405765, -1.579993</t>
  </si>
  <si>
    <t>&lt;h4&gt;Postponed due to storm risk per &lt;a href="https://www.facebook.com/groups/288062357886428/posts/29797542123178394/"&gt;Facebook post&lt;/a&gt;</t>
  </si>
  <si>
    <t>Date change and made a 2 day singing per user submission</t>
  </si>
  <si>
    <t>https://www.google.com/maps/place/Assembly+Mennonite+Church/@41.745768,-86.0661757,9.6z/data=!4m6!3m5!1s0x8816ec5c6d560a21:0xb0486bf45ed899a7!8m2!3d41.5715792!4d-85.8237259!16s%2Fm%2F0j64_dg?entry=ttu&amp;g_ep=EgoyMDI1MDMxMi4wIKXMDSoASAFQAw%3D%3D||Assembly Mennonite Church, 727 New York St, Goshen, IN 46526</t>
  </si>
  <si>
    <t>&lt;iframe src="https://www.google.com/maps/embed?pb=!1m18!1m12!1m3!1d503746.596327428!2d-86.06617566039182!3d41.74576804370856!2m3!1f0!2f0!3f0!3m2!1i1024!2i768!4f13.1!3m3!1m2!1s0x8816ec5c6d560a21%3A0xb0486bf45ed899a7!2sAssembly%20Mennonite%20Church!5e0!3m2!1sen!2sus!4v1742097827759!5m2!1sen!2sus" width="600" height="450" style="border:0;" allowfullscreen="" loading="lazy" referrerpolicy="no-referrer-when-downgrade"&gt;&lt;/iframe&gt;</t>
  </si>
  <si>
    <t>41.571568, -85.823803</t>
  </si>
  <si>
    <t>Aug, Sat before 5th Sun</t>
  </si>
  <si>
    <t>Typically Sat before 2nd Sun in Sept, moved back 2 weeks in 2025 to avoid conflict with United Convention book debut</t>
  </si>
  <si>
    <t>Moved back to Aug 30th 2025 to avoid conflict with United Convention</t>
  </si>
  <si>
    <t>Michael Spencer, &lt;a href="https://www.atlantasacredharp.org/"&gt;https://www.atlantasacredharp.org/&lt;/a&gt;, &lt;a href="https://www.facebook.com/groups/45458433401/"&gt;Sacred Harp Atlanta FB Group&lt;/a&gt;, &lt;a href="https://www.facebook.com/events/511399541771262/"&gt;2025 Facebook event&lt;/a&gt;</t>
  </si>
  <si>
    <t>&lt;a href="https://www.facebook.com/events/663108509543323"&gt;2025 Facebook event&lt;/a&gt;&lt;/br&gt;If you have any questions or need more information, please contact Ellen Ray via email: ellen.k.ray [at] gmail.com</t>
  </si>
  <si>
    <t>https://www.google.com/maps/place/The+Foundry+at+Puritan+Mill/@33.7776885,-84.4594651,12.63z/data=!4m6!3m5!1s0x88f504bfd7b816fb:0x8f1b0d82bb46cd4e!8m2!3d33.7801821!4d-84.4178023!16s%2Fg%2F1tdpbf_t?entry=ttu&amp;g_ep=EgoyMDI1MDMxOS4yIKXMDSoASAFQAw%3D%3D||The Foundry at Puritan Mill, 916 Joseph E. Lowery Blvd NW, Atlanta, GA 30318</t>
  </si>
  <si>
    <t>&lt;iframe src="https://www.google.com/maps/embed?pb=!1m18!1m12!1m3!1d68812.19439062581!2d-84.45946510346417!3d33.77768848989756!2m3!1f0!2f0!3f0!3m2!1i1024!2i768!4f13.1!3m3!1m2!1s0x88f504bfd7b816fb%3A0x8f1b0d82bb46cd4e!2sThe%20Foundry%20at%20Puritan%20Mill!5e0!3m2!1sen!2sus!4v1742745176497!5m2!1sen!2sus" width="600" height="450" style="border:0;" allowfullscreen="" loading="lazy" referrerpolicy="no-referrer-when-downgrade"&gt;&lt;/iframe&gt;</t>
  </si>
  <si>
    <t>2025 Convention will feature release of new revision to The Sacred Harp per &lt;a href="https://www.facebook.com/groups/288062357886428/posts/28015467844719173"&gt;Facebook post&lt;/a&gt;. Location updated 3/23 per &lt;a href="https://www.facebook.com/groups/288062357886428"&gt;Faceboook post&lt;/a&gt;</t>
  </si>
  <si>
    <t>33.780184, -84.417820</t>
  </si>
  <si>
    <t>&lt;a href="https://www.facebook.com/groups/sacredharpgermany"&gt;Facebook Group&lt;/a&gt;, &lt;a href="https://www.sacredharp.de/convention.html"&gt;https://www.sacredharp.de/convention.html&lt;/a&gt;, &lt;a href="https://www.facebook.com/events/868381592094478/"&gt;2025 Facebook event&lt;/a&gt;</t>
  </si>
  <si>
    <t>Tom Woodham, Ezzie Hartzog, &amp; Faircloth Memorial</t>
  </si>
  <si>
    <t>Moved to Saturday and merged with Faircloth memorial per user sbmission.</t>
  </si>
  <si>
    <t>&lt;a href="https://www.oldharp.org/"&gt;oldharp.org&lt;/a&gt;, &lt;a href="https://www.facebook.com/groups/oldharp"&gt;Old Harp Singing in East TN on Facebook&lt;/a&gt;, &lt;a href="https://www.facebook.com/events/1343543556897486/"&gt;2025 Facebook event&lt;/a&gt;</t>
  </si>
  <si>
    <t>Mar, Last Sun</t>
  </si>
  <si>
    <t>Updated date per &lt;a href="https://www.facebook.com/events/1343543556897486/"&gt;2025 Facebook event&lt;/a&gt;</t>
  </si>
  <si>
    <t>&lt;a href="https://amsterdam.sacredharp.nl"&gt;https://amsterdam.sacredharp.nl&lt;/a&gt;, &lt;a href="https://sacredharp.uk/"&gt;https://sacredharp.uk/&lt;/a&gt;, &lt;a href="https://www.facebook.com/events/1117934873258577/"&gt;2025 Facebook event&lt;/a&gt;</t>
  </si>
  <si>
    <t>Parker, Hollis, Putnam Memorial</t>
  </si>
  <si>
    <t>Danny Creel, &lt;a href="https://www.facebook.com/groups/288062357886428/posts/29910359648563307/"&gt;2025 Facebook post&lt;/a&gt;</t>
  </si>
  <si>
    <t>https://www.google.com/maps/place/Abroms-Engel+Institute+for+the+Visual+Arts/@33.4477642,-86.9810085,10.68z/data=!4m6!3m5!1s0x88891be5c4c21dd9:0x6a2ba181a29a2ca1!8m2!3d33.4968001!4d-86.8070702!16s%2Fg%2F1ptz22p3d?entry=ttu&amp;g_ep=EgoyMDI1MDMyNC4wIKXMDSoASAFQAw%3D%3D||AEIVA , 1221 10th Ave S, Birmingham, AL 35294</t>
  </si>
  <si>
    <t>&lt;iframe src="https://www.google.com/maps/embed?pb=!1m18!1m12!1m3!1d189749.6200587854!2d-86.92935662697275!3d33.477482788540776!2m3!1f0!2f0!3f0!3m2!1i1024!2i768!4f13.1!3m3!1m2!1s0x88891be5c4c21dd9%3A0x6a2ba181a29a2ca1!2sAbroms-Engel%20Institute%20for%20the%20Visual%20Arts!5e0!3m2!1sen!2sus!4v1743047386295!5m2!1sen!2sus" width="600" height="450" style="border:0;" allowfullscreen="" loading="lazy" referrerpolicy="no-referrer-when-downgrade"&gt;&lt;/iframe&gt;</t>
  </si>
  <si>
    <t>Plenty of parking immediately behind the building</t>
  </si>
  <si>
    <t>33.496668, -86.807011</t>
  </si>
  <si>
    <t>&lt;a href="www.NMsacredharp.com"&gt;www.NMsacredharp.com&lt;/a&gt;</t>
  </si>
  <si>
    <t>&lt;a href="https://www.facebook.com/events/2017129362131445"&gt;2025 Facebook event&lt;/a&gt;</t>
  </si>
  <si>
    <t>Location updated per &lt;a href="https://www.facebook.com/events/2017129362131445"&gt;2025 Facebook event&lt;/a&gt;</t>
  </si>
  <si>
    <t>https://www.google.com/maps/place/Dahlonega+Funeral+Home/@34.5448528,-84.1078139,10.68z/data=!4m6!3m5!1s0x885f6965facaa5f9:0x6ad0bb385ed6c0ed!8m2!3d34.4792583!4d-83.9800849!16s%2Fg%2F1tr7k3bk?entry=ttu&amp;g_ep=EgoyMDI1MDMzMC4wIKXMDSoASAFQAw%3D%3D||Dahlonega Funeral Home, 20 Gibson Rd, Dahlonega, GA 30533</t>
  </si>
  <si>
    <t>&lt;iframe src="https://www.google.com/maps/embed?pb=!1m18!1m12!1m3!1d262455.26309379906!2d-84.10781391675823!3d34.54485284559773!2m3!1f0!2f0!3f0!3m2!1i1024!2i768!4f13.1!3m3!1m2!1s0x885f6965facaa5f9%3A0x6ad0bb385ed6c0ed!2sDahlonega%20Funeral%20Home!5e0!3m2!1sen!2sus!4v1743559526609!5m2!1sen!2sus" width="600" height="450" style="border:0;" allowfullscreen="" loading="lazy" referrerpolicy="no-referrer-when-downgrade"&gt;&lt;/iframe&gt;</t>
  </si>
  <si>
    <t>34.479218, -83.980031</t>
  </si>
  <si>
    <t>10:30am-5pm</t>
  </si>
  <si>
    <t>&lt;iframe src="https://www.google.com/maps/embed?pb=!1m18!1m12!1m3!1d204589.57554686224!2d6.945276766244187!3d50.9621210325911!2m3!1f0!2f0!3f0!3m2!1i1024!2i768!4f13.1!3m3!1m2!1s0x47bf25aff4fa954b%3A0x62f1cb1c1ffbd26b!2sDomforum!5e0!3m2!1sen!2sus!4v1743915581537!5m2!1sen!2sus" width="600" height="450" style="border:0;" allowfullscreen="" loading="lazy" referrerpolicy="no-referrer-when-downgrade"&gt;&lt;/iframe&gt;</t>
  </si>
  <si>
    <t>https://www.google.com/maps/place/Domforum/@50.962121,6.9452768,10.65z/data=!3m1!5s0x47bf25a55f7dcfcf:0x2d1d768d0f5d7e53!4m10!1m2!2m1!1sDomforum+Roncalliplatz+2+K%C3%B6ln+50667+Germany!3m6!1s0x47bf25aff4fa954b:0x62f1cb1c1ffbd26b!8m2!3d50.9410082!4d6.9564019!15sCixEb21mb3J1bSBSb25jYWxsaXBsYXR6IDIgS8O2bG4gNTA2NjcgR2VybWFueZIBC2V2ZW50X3ZlbnVl4AEA!16s%2Fg%2F1234yx49?hl=en&amp;entry=ttu&amp;g_ep=EgoyMDI1MDQwMi4xIKXMDSoASAFQAw%3D%3D||Domforum, Domkloster 3, 50667 Köln, Germany</t>
  </si>
  <si>
    <t>50.941000, 6.956440</t>
  </si>
  <si>
    <t>Christian Harmony with the Cherokee Language Repertory Choir</t>
  </si>
  <si>
    <t>https://www.google.com/maps/place/Cullowhee+Baptist+Church/@35.4281117,-83.2505295,10.19z/data=!4m6!3m5!1s0x8859146c5f433a37:0xf204aca1ed8b195f!8m2!3d35.3132512!4d-83.1789262!16s%2Fg%2F1vn1979s?entry=ttu&amp;g_ep=EgoyMDI1MDQwMi4xIKXMDSoASAFQAw%3D%3D||Cullowhee Baptist Church, 148 Central Dr, Cullowhee, NC 28723</t>
  </si>
  <si>
    <t>&lt;iframe src="https://www.google.com/maps/embed?pb=!1m18!1m12!1m3!1d363666.7918301948!2d-83.25052946409353!3d35.42811173318273!2m3!1f0!2f0!3f0!3m2!1i1024!2i768!4f13.1!3m3!1m2!1s0x8859146c5f433a37%3A0xf204aca1ed8b195f!2sCullowhee%20Baptist%20Church!5e0!3m2!1sen!2sus!4v1744087363931!5m2!1sen!2sus" width="600" height="450" style="border:0;" allowfullscreen="" loading="lazy" referrerpolicy="no-referrer-when-downgrade"&gt;&lt;/iframe&gt;</t>
  </si>
  <si>
    <t>35.313257, -83.178901</t>
  </si>
  <si>
    <t>A unique singing event with the Cherokee Language Repertory Choir. For the first half, we will be singing Christian Harmony tunes from a list of tunes from Cherokee traditionalist Will West Long recorded in his Cherokee language journals in 1892. (Bilingual versions will be available.). We will start with a singing school for shapes and then a workshop on Cherokee pronunciation. Please RSVP at &lt;a href="http://bit.ly/3CW56Ka"&gt;http://bit.ly/3CW56Ka&lt;/a&gt;</t>
  </si>
  <si>
    <t xml:space="preserve">&lt;a href="http://christianharmony.org/schedule.html"&gt;christianharmony.org/schedule.html&lt;/a&gt;, Sara Hopkins, slsnyder at wcu dot edu </t>
  </si>
  <si>
    <t>&lt;a href="http://www.sacredharpbook.com/calendar-of-singings/"&gt;sacredharpbook.com/calendar-of-singings/&lt;/a&gt;, &lt;a href="https://www.facebook.com/groups/288062357886428/posts/30078230045109599/"&gt;2025 Facebook post&lt;/a&gt;</t>
  </si>
  <si>
    <t>Lauren Bock or Shawn Taylor, &lt;a href="https://atlantasacredharp.org/"&gt;https://atlantasacredharp.org/&lt;/a&gt;, &lt;a href="https://www.facebook.com/events/946937480647327"&gt;2025 Facebook event&lt;/a&gt;</t>
  </si>
  <si>
    <t>Moved to May 17th per &lt;a href="https://www.facebook.com/events/458059117395352/"&gt;2025 Facebook event&lt;/a&gt;</t>
  </si>
  <si>
    <t>Colored Sacred Harp</t>
  </si>
  <si>
    <t>&lt;a href="https://www.facebook.com/coloredsacredharp"&gt;The Colored Sacred Harp by Judge Jackson Facebook page&lt;/a&gt;, &lt;a href="https://www.facebook.com/events/458059117395352/"&gt;2025 Facebook event&lt;/a&gt;</t>
  </si>
  <si>
    <t>https://www.google.com/maps/place/St.+Philip's+Church/@32.790122,-79.9394536,14.08z/data=!4m6!3m5!1s0x88fe7a0e0cf865fb:0xe631b944f65ab1bb!8m2!3d32.7789491!4d-79.9293566!16s%2Fm%2F03y96ym?entry=ttu&amp;g_ep=EgoyMDI1MDQwOC4wIKXMDSoASAFQAw%3D%3D||St. Philip's Church, 142 Church St, Charleston, SC 29401</t>
  </si>
  <si>
    <t>&lt;iframe src="https://www.google.com/maps/embed?pb=!1m18!1m12!1m3!1d25326.64350436213!2d-79.93945356461774!3d32.79012196562334!2m3!1f0!2f0!3f0!3m2!1i1024!2i768!4f13.1!3m3!1m2!1s0x88fe7a0e0cf865fb%3A0xe631b944f65ab1bb!2sSt.%20Philip&amp;#39;s%20Church!5e0!3m2!1sen!2sus!4v1744390816223!5m2!1sen!2sus" width="600" height="450" style="border:0;" allowfullscreen="" loading="lazy" referrerpolicy="no-referrer-when-downgrade"&gt;&lt;/iframe&gt;</t>
  </si>
  <si>
    <t>Location added per &lt;a href="https://www.facebook.com/groups/1131342130242092/posts/9712321915477361/"&gt;2025 Facebook post&lt;/a&gt;</t>
  </si>
  <si>
    <t>&lt;a href="https://www.facebook.com/groups/1131342130242092"&gt;Charleston Shapenote Sings Facebook group&lt;/a&gt;, &lt;a href="https://www.facebook.com/groups/1131342130242092/posts/9712321915477361/"&gt;2025 Facebook post&lt;/a&gt;</t>
  </si>
  <si>
    <t>Date and formula updated (Sat before 5th Sun in May/June/July) per user submission.</t>
  </si>
  <si>
    <t>Dinner on the Grounds at 12:30.  Evening meal and singing at the Tkacs cottage: 123 Primrose Drive, Cresco, PA 18326</t>
  </si>
  <si>
    <t>&lt;a href="https://fasola.org/minutes/search/?q=new+york+regional+april"&gt;fasola.org&lt;/a&gt;</t>
  </si>
  <si>
    <t>Singing added per &lt;a href="https://www.facebook.com/events/1304611167274223/"&gt;2025 Facebook event&lt;/a&gt;</t>
  </si>
  <si>
    <t>&lt;a href="https://www.facebook.com/groups/2383417238405033/"&gt;Ithaca Shape Note FB Group&lt;/a&gt;, &lt;a href="https://www.facebook.com/events/1304611167274223/"&gt;2025 Facebook event&lt;/a&gt;</t>
  </si>
  <si>
    <t>&lt;span style="font-size:1.5em; font-weight:bold;"&gt;PLEASE NOTE: &lt;/span&gt;The Oolenoy Community House (OCH) is located on SC Hwy 135, one-half mile from its northern terminus at SC Hwy 8. The bridge on Hwy 135 between Hwy 8 and the OCH is out. If you are driving on Hwy 135 from the south (from Easley), just ignore any “bridge out” or “road closed” signs, and proceed as usual to the OCH. If you are driving on Hwy 8, instead of turning onto Hwy 135 do the following: At the intersection of Hwy 8 and Hwy 288 in Pumpkintown, turn so that you pass in front of the Dollar General store. At 1.1 miles from the intersection, turn right on Miracle Hill Road. Follow that 1.1 miles to the OCH.</t>
  </si>
  <si>
    <t>Special directions added due to bridge being out per &lt;a href="https://groups.google.com/g/fasola-singings/c/i3SgnbD9f3E"&gt;2025 Listserv post&lt;/a&gt;</t>
  </si>
  <si>
    <t>&lt;h4&gt;Cancelled in 2025&lt;/h4&gt;</t>
  </si>
  <si>
    <t xml:space="preserve">Date updated per &lt;a href="https://sacredharpaustralia.com/2023/04/23/upcoming-singings/"&gt;sacredharpaustralia.com&lt;/a&gt;. </t>
  </si>
  <si>
    <t>Nov, Sat before 5th Sun</t>
  </si>
  <si>
    <t>Date and location updated per &lt;a href="https://sacredharpaustralia.com/kyneton/"&gt;sacredharpaustralia.com/kyneton&lt;/a&gt;</t>
  </si>
  <si>
    <t>https://www.google.com/maps/place/Red+Brick+Hall/@-37.3854072,144.49623,10.19z/data=!4m6!3m5!1s0x6ad7188a206d748d:0xf318d57df82164d4!8m2!3d-37.2457277!4d144.449873!16s%2Fg%2F11cn6b5z6s?entry=ttu&amp;g_ep=EgoyMDI1MDQyMy4wIKXMDSoASAFQAw%3D%3D||Red Brick Hall, 23 Yaldwyn St W, Kyneton VIC 3444, Australia</t>
  </si>
  <si>
    <t>&lt;iframe src="https://www.google.com/maps/embed?pb=!1m18!1m12!1m3!1d354618.367715543!2d144.4962299905837!3d-37.38540722714179!2m3!1f0!2f0!3f0!3m2!1i1024!2i768!4f13.1!3m3!1m2!1s0x6ad7188a206d748d%3A0xf318d57df82164d4!2sRed%20Brick%20Hall!5e0!3m2!1sen!2sus!4v1745642366402!5m2!1sen!2sus" width="600" height="450" style="border:0;" allowfullscreen="" loading="lazy" referrerpolicy="no-referrer-when-downgrade"&gt;&lt;/iframe&gt;</t>
  </si>
  <si>
    <t>Alternates between Melbourne and Sydney</t>
  </si>
  <si>
    <t>&lt;a href="https://sacredharpaustralia.com/"&gt;sacredharpaustralia.com/&lt;/a&gt;, &lt;a href="https://www.facebook.com/groups/surryhillsshapenotesingers"&gt;Sydney Shape Note Singers FB Group&lt;/a&gt;, &lt;a href="https://www.facebook.com/groups/SacredHarpMelbourne/"&gt;Sacred Harp Melbourne FB Group&lt;/a&gt;, &lt;a href="https://www.facebook.com/events/947651917147393/"&gt;2025 Facebook event&lt;/a&gt;</t>
  </si>
  <si>
    <t>Set to Victoria for 2026 per &lt;a href="https://sacredharpaustralia.com/2025/04/17/australian-convention-2/"&gt;sacredharpaustralia.com&lt;/a&gt;</t>
  </si>
  <si>
    <t>https://www.google.com/maps/place/First+Presbyterian+Church+of+Brooklyn/@40.7004908,-74.0097366,14.14z/data=!4m6!3m5!1s0x89c25a481972d843:0xfd6d519d08036b6f!8m2!3d40.6970431!4d-73.9936371!16s%2Fg%2F11cn3bggds?entry=ttu&amp;g_ep=EgoyMDI1MDQyMy4wIKXMDSoASAFQAw%3D%3D||First Presbyterian Church of Brookly, 124 Henry St, Brooklyn, NY 11201</t>
  </si>
  <si>
    <t>&lt;iframe src="https://www.google.com/maps/embed?pb=!1m18!1m12!1m3!1d21977.400974758788!2d-74.00973658174124!3d40.70049084066349!2m3!1f0!2f0!3f0!3m2!1i1024!2i768!4f13.1!3m3!1m2!1s0x89c25a481972d843%3A0xfd6d519d08036b6f!2sFirst%20Presbyterian%20Church%20of%20Brooklyn!5e0!3m2!1sen!2sus!4v1745642954811!5m2!1sen!2sus" width="600" height="450" style="border:0;" allowfullscreen="" loading="lazy" referrerpolicy="no-referrer-when-downgrade"&gt;&lt;/iframe&gt;</t>
  </si>
  <si>
    <t>40.697057, -73.993709</t>
  </si>
  <si>
    <t>-37.245689, 144.449917</t>
  </si>
  <si>
    <t>Butch White, &lt;a href="https://www.facebook.com/groups/288062357886428/posts/30300595842873017/"&gt;2025 Facebook post&lt;/a&gt;</t>
  </si>
  <si>
    <t>&lt;a href="https://groups.google.com/g/fasola-singings/c/HZWTWr7rDNU"&gt;2025 Listserv post&lt;/a&gt;, &lt;a href="https://www.facebook.com/groups/288062357886428/posts/30301172446148690/"&gt;2025 Facebook post&lt;/a&gt;</t>
  </si>
  <si>
    <t>&lt;a href="https://christianharmony.org/schedule.html"&gt;https://christianharmony.org/schedule.html&lt;/a&gt;, &lt;a href="https://www.facebook.com/events/s/christian-harmony-all-day-sing/757548013265835/"&gt;2025 Facebook Event&lt;/a&gt;</t>
  </si>
  <si>
    <t>Location updated per &lt;a href="https://www.facebook.com/events/s/christian-harmony-all-day-sing/757548013265835/"&gt;2025 Facebook Event&lt;/a&gt;</t>
  </si>
  <si>
    <t>Glenn Keeton, &lt;a href="https://www.facebook.com/groups/288062357886428/posts/30341000722165862"&gt;2025 Facebook group&lt;/a&gt;</t>
  </si>
  <si>
    <t>&lt;h4&gt;Cancelled in 2025 per &lt;a href="https://groups.google.com/g/fasola-singings/c/zngK3QSuUug"&gt;listserv post&lt;/a&gt;&lt;/h4&gt;</t>
  </si>
  <si>
    <t>Minnesota Double All-Day Singing</t>
  </si>
  <si>
    <t>Sat 9am, Sun 9:30am</t>
  </si>
  <si>
    <t>https://www.google.com/maps/dir/Unity+Church-Unitarian,+733+Portland+Ave,+St+Paul,+MN+55104/Audubon+Recreation+Center,+1320+29th+Ave+NE,+Minneapolis,+MN+55418/@45.0027936,-93.2939154,11.06z/data=!4m13!4m12!1m5!1m1!1s0x87f62a8c256c09b3:0x45a4d7a0ba61fc47!2m2!1d-93.1308831!2d44.9425978!1m5!1m1!1s0x52b32ddb4f4c3333:0x9ed62e244cfb0063!2m2!1d-93.239648!2d45.0201572?entry=ttu&amp;g_ep=EgoyMDI1MDQzMC4xIKXMDSoASAFQAw%3D%3D||Sat: Unity Unitarian Church, 733 Portland Ave, St. Paul, MN 55104; Sun: Audubon Recreation Center, 1320 29th Ave. NE, Minneapolis, MN 55418</t>
  </si>
  <si>
    <t>&lt;iframe src="https://www.google.com/maps/embed?pb=!1m28!1m12!1m3!1d173729.2816235449!2d-93.29391540972716!3d45.002793563356995!2m3!1f0!2f0!3f0!3m2!1i1024!2i768!4f13.1!4m13!3e6!4m5!1s0x87f62a8c256c09b3%3A0x45a4d7a0ba61fc47!2sUnity%20Church-Unitarian%2C%20733%20Portland%20Ave%2C%20St%20Paul%2C%20MN%2055104!3m2!1d44.9425978!2d-93.13088309999999!4m5!1s0x52b32ddb4f4c3333%3A0x9ed62e244cfb0063!2sAudubon%20Recreation%20Center%2C%201320%2029th%20Ave%20NE%2C%20Minneapolis%2C%20MN%2055418!3m2!1d45.0201572!2d-93.239648!5e0!3m2!1sen!2sus!4v1746332387772!5m2!1sen!2sus" width="600" height="450" style="border:0;" allowfullscreen="" loading="lazy" referrerpolicy="no-referrer-when-downgrade"&gt;&lt;/iframe&gt;</t>
  </si>
  <si>
    <t>Changed to two day singing and updated locations per &lt;a href="https://www.facebook.com/events/1194782975550775/"&gt;2025 Facebook event&lt;/a&gt;</t>
  </si>
  <si>
    <t>44.942770, -93.130963</t>
  </si>
  <si>
    <t>&lt;a href="https://mnfasola.org/?page_id=837"&gt;https://mnfasola.org/&lt;/a&gt;, &lt;a href="https://www.facebook.com/events/1194782975550775/"&gt;2025 Facebook event&lt;/a&gt;</t>
  </si>
  <si>
    <t>https://www.google.com/maps/place/St.+Paul+%26+the+Redeemer/@41.8372549,-87.6577115,11.65z/data=!4m6!3m5!1s0x880e296f7710bdad:0x60d8adc3bf6c2155!8m2!3d41.8043998!4d-87.5916449!16s%2Fg%2F1tz76kjk?entry=ttu&amp;g_ep=EgoyMDI1MDQzMC4xIKXMDSoASAFQAw%3D%3D||St. Paul and the Redeemer, 4945 S Dorchester Ave, Chicago, IL 60615</t>
  </si>
  <si>
    <t>&lt;iframe src="https://www.google.com/maps/embed?pb=!1m18!1m12!1m3!1d121006.41608302695!2d-87.65771153796712!3d41.83725485673818!2m3!1f0!2f0!3f0!3m2!1i1024!2i768!4f13.1!3m3!1m2!1s0x880e296f7710bdad%3A0x60d8adc3bf6c2155!2sSt.%20Paul%20%26%20the%20Redeemer!5e0!3m2!1sen!2sus!4v1746332828837!5m2!1sen!2sus" width="600" height="450" style="border:0;" allowfullscreen="" loading="lazy" referrerpolicy="no-referrer-when-downgrade"&gt;&lt;/iframe&gt;</t>
  </si>
  <si>
    <t>41.804397, -87.591666</t>
  </si>
  <si>
    <t>&lt;a href="https://fasola.org/minutes/search/?q=%22south+georgia%22"&gt;fasola.org&lt;/a&gt;</t>
  </si>
  <si>
    <t>&lt;a href="https://fasola.org/minutes/search/?q=%22new+england%22"&gt;fasola.org&lt;/a&gt;</t>
  </si>
  <si>
    <t>&lt;a href="https://fasola.org/minutes/search/?q=munich"&gt;fasola.org&lt;/a&gt;</t>
  </si>
  <si>
    <t>&lt;a href="https://fasola.org/minutes/search/?q=sadsbury"&gt;fasola.org&lt;/a&gt;</t>
  </si>
  <si>
    <t>&lt;a href="https://fasola.org/minutes/search/?q=hamburg+germany"&gt;fasola.org&lt;/a&gt;</t>
  </si>
  <si>
    <t>&lt;a href="https://fasola.org/minutes/search/?q=%22santa+cruz%22"&gt;fasola.org&lt;/a&gt;</t>
  </si>
  <si>
    <t>&lt;a href="https://fasola.org/minutes/search/?q=hullett+october"&gt;fasola.org&lt;/a&gt;</t>
  </si>
  <si>
    <t>&lt;a href="https://fasola.org/minutes/search/?q=winston-salem"&gt;fasola.org&lt;/a&gt;</t>
  </si>
  <si>
    <t>&lt;a href="https://fasola.org/minutes/search/?q=%22taylor+united%22"&gt;fasola.org&lt;/a&gt;</t>
  </si>
  <si>
    <t>&lt;a href="https://fasola.org/minutes/search/?q=%22manchester+sacred%22"&gt;fasola.org&lt;/a&gt;</t>
  </si>
  <si>
    <t>&lt;a href="https://fasola.org/minutes/search/?q=%22cates%2C+brown%22"&gt;fasola.org&lt;/a&gt;</t>
  </si>
  <si>
    <t>&lt;a href="https://fasola.org/minutes/search/?q=%22tennessee+state%22"&gt;fasola.org&lt;/a&gt;</t>
  </si>
  <si>
    <t>&lt;a href="https://fasola.org/minutes/search/?q=%22paris+all-day%22"&gt;fasola.org&lt;/a&gt;</t>
  </si>
  <si>
    <t>&lt;a href="https://fasola.org/minutes/search/?q=%22pacific+northwest%22+october"&gt;fasola.org&lt;/a&gt;</t>
  </si>
  <si>
    <t>&lt;a href="https://fasola.org/minutes/search/?q=%22tri-state%22"&gt;fasola.org&lt;/a&gt;</t>
  </si>
  <si>
    <t>&lt;a href="https://fasola.org/minutes/search/?q=andrew+chapel+october"&gt;fasola.org&lt;/a&gt;</t>
  </si>
  <si>
    <t>&lt;a href="https://fasola.org/minutes/search/?q=%22reid+memorial%22"&gt;fasola.org&lt;/a&gt;</t>
  </si>
  <si>
    <t>&lt;a href="https://fasola.org/minutes/search/?q=%22nebraska+singing%22"&gt;fasola.org&lt;/&gt;</t>
  </si>
  <si>
    <t>&lt;a href="https://fasola.org/minutes/search/?q=putnam+october"&gt;fasola.org&lt;/a&gt;</t>
  </si>
  <si>
    <t>&lt;a href="https://fasola.org/minutes/search/?q=seed+feed"&gt;fasola.org&lt;/a&gt;</t>
  </si>
  <si>
    <t>&lt;a href="https://fasola.org/minutes/search/?q=%22rust+memorial%22"&gt;fasola.org&lt;/a&gt;</t>
  </si>
  <si>
    <t>&lt;a href="https://fasola.org/minutes/search/?q=%22Fayette+County+Convention%22"&gt;fasola.org&lt;/a&gt;</t>
  </si>
  <si>
    <t>&lt;a href="https://doremi1.my.canva.site/camp-doremi"&gt;https://doremi1.my.canva.site/camp-doremi&lt;/a&gt;, Jane Cannon, crvjanecannon [at] gmail.com, or Jonathon Smith, jonathonmurraysmith [at] gmail.com</t>
  </si>
  <si>
    <t>2025 date added per Jane Cannon</t>
  </si>
  <si>
    <t>&lt;a href="https://fasola.org/minutes/search/?q=%22Denney+memorial%22"&gt;fasola.org&lt;/a&gt;</t>
  </si>
  <si>
    <t>&lt;a href="https://fasola.org/minutes/search/?q=chafin+memorial+Liberty+Primitive+Baptist+Church+november"&gt;fasola.org&lt;/a&gt;</t>
  </si>
  <si>
    <t>&lt;a href="https://fasola.org/minutes/search/?q=dallas+singing"&gt;fasola.org&lt;/a&gt;</t>
  </si>
  <si>
    <t>&lt;a href="https://fasola.org/minutes/search/?q=%22hyde+park%22"&gt;fasola.org&lt;/a&gt;</t>
  </si>
  <si>
    <t>&lt;a href="https://fasola.org/minutes/search/?q=%22james+river%22"&gt;fasola.org&lt;/a&gt;</t>
  </si>
  <si>
    <t>&lt;a href="https://fasola.org/minutes/search/?q=%22holly+springs%22+november"&gt;fasola.org&lt;/a&gt;</t>
  </si>
  <si>
    <t>&lt;a href="https://fasola.org/minutes/search/?q=%22berkshire+foothills%22"&gt;fasola.org&lt;/a&gt;</t>
  </si>
  <si>
    <t>&lt;a href="https://fasola.org/minutes/search/?q=%22coghlan+memorial%22"&gt;fasola.org&lt;/a&gt;</t>
  </si>
  <si>
    <t>&lt;a href="https://fasola.org/minutes/search/?q=Immanuel+Baptist+Church+Singing"&gt;fasola.org&lt;/a&gt;</t>
  </si>
  <si>
    <t>&lt;a href="https://fasola.org/minutes/search/?q=wisconsin+november"&gt;fasola.org&lt;/a&gt;</t>
  </si>
  <si>
    <t>&lt;a href="https://fasola.org/minutes/search/?q=stapleford"&gt;fasola.org&lt;/a&gt;</t>
  </si>
  <si>
    <t>&lt;a href="https://fasola.org/minutes/search/?q=Kyneton"&gt;fasola.org&lt;/a&gt;</t>
  </si>
  <si>
    <t>&lt;a href="https://fasola.org/minutes/search/?q=%22west+yorkshire%22"&gt;fasola.org&lt;/a&gt;</t>
  </si>
  <si>
    <t>&lt;a href="https://fasola.org/minutes/search/?q=%22wakefield+memorial%22"&gt;fasola.org&lt;/a&gt;</t>
  </si>
  <si>
    <t>&lt;a href="https://fasola.org/minutes/search/?q=thanksgiving+united+kingdom"&gt;fasola.org&lt;/a&gt;</t>
  </si>
  <si>
    <t>&lt;a href="https://fasola.org/minutes/search/?q=%22alabama+sacred+harp%22+november"&gt;fasola.org&lt;/a&gt;</t>
  </si>
  <si>
    <t>&lt;a href="https://fasola.org/minutes/search/?q=%22bayer+memorial%22"&gt;fasola.org&lt;/a&gt;</t>
  </si>
  <si>
    <t>&lt;a href="https://christianharmony.org/singings/bibb-county-xmas.html"&gt;fasola.org&lt;/a&gt;</t>
  </si>
  <si>
    <t>&lt;a href="https://fasola.org/minutes/search/?q=%22florida+state%22+cooper"&gt;fasola.org&lt;/a&gt;</t>
  </si>
  <si>
    <t>&lt;a href="https://fasola.org/minutes/search/?q=philadelphia+shenandoah"&gt;fasola.org&lt;/a&gt;</t>
  </si>
  <si>
    <t>&lt;a href="https://fasola.org/minutes/search/?q=%22beasley+memorial%22+december"&gt;fasola.org&lt;/a&gt;</t>
  </si>
  <si>
    <t>&lt;a href="https://fasola.org/minutes/search/?q=eldridge+schoolhouse"&gt;fasola.org&lt;/a&gt;</t>
  </si>
  <si>
    <t>&lt;a href="https://fasola.org/minutes/search/?q=barrett+christmas"&gt;fasola.org&lt;/a&gt;</t>
  </si>
  <si>
    <t>&lt;a href="https://fasola.org/minutes/search/?q=olympia+christmas"&gt;fasola.org&lt;/a&gt;</t>
  </si>
  <si>
    <t>&lt;a href="https://fasola.org/minutes/search/?q=%22wootten+family+new%22"&gt;fasola.org&lt;/a&gt;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</si>
</sst>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numFmt numFmtId="165" formatCode="mm/dd/yy;@"/>
    <numFmt numFmtId="166" formatCode="m/d/yy"/>
    <numFmt numFmtId="167" formatCode="yyyy\-mm\-dd"/>
    <numFmt numFmtId="168" formatCode="[$-409]h:mm\ AM/PM;@"/>
  </numFmts>
  <fonts count="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sz val="11"/>
      <name val="Calibri"/>
      <family val="2"/>
      <scheme val="minor"/>
    </font>
    <font>
      <b/>
      <sz val="11"/>
      <color theme="2" tint="-0.249977111117893"/>
      <name val="Calibri"/>
      <family val="2"/>
      <scheme val="minor"/>
    </font>
    <font>
      <sz val="11"/>
      <color theme="2" tint="-0.249977111117893"/>
      <name val="Calibri"/>
      <family val="2"/>
      <scheme val="minor"/>
    </font>
    <font>
      <b/>
      <sz val="11"/>
      <name val="Calibri"/>
      <family val="2"/>
      <scheme val="minor"/>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rgb="FFEF9B9B"/>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A679FF"/>
        <bgColor indexed="64"/>
      </patternFill>
    </fill>
    <fill>
      <patternFill patternType="solid">
        <fgColor rgb="FFFFFF00"/>
        <bgColor indexed="64"/>
      </patternFill>
    </fill>
    <fill>
      <patternFill patternType="solid">
        <fgColor rgb="FFCCFFFF"/>
        <bgColor indexed="64"/>
      </patternFill>
    </fill>
    <fill>
      <patternFill patternType="solid">
        <fgColor theme="7" tint="0.39997558519241921"/>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0" fontId="1" fillId="0" borderId="0" xfId="0" applyFont="1" applyAlignment="1">
      <alignment horizontal="center"/>
    </xf>
    <xf numFmtId="0" fontId="1" fillId="0" borderId="0" xfId="0" applyFont="1"/>
    <xf numFmtId="14" fontId="1" fillId="0" borderId="0" xfId="0" applyNumberFormat="1" applyFont="1"/>
    <xf numFmtId="164" fontId="0" fillId="0" borderId="0" xfId="0" applyNumberFormat="1"/>
    <xf numFmtId="14" fontId="0" fillId="0" borderId="0" xfId="0" applyNumberFormat="1"/>
    <xf numFmtId="0" fontId="0" fillId="2" borderId="0" xfId="0" applyFill="1"/>
    <xf numFmtId="165" fontId="0" fillId="0" borderId="0" xfId="0" applyNumberFormat="1"/>
    <xf numFmtId="0" fontId="4" fillId="0" borderId="0" xfId="0" applyFont="1"/>
    <xf numFmtId="0" fontId="0" fillId="0" borderId="0" xfId="0" quotePrefix="1"/>
    <xf numFmtId="0" fontId="7" fillId="0" borderId="0" xfId="0" applyFont="1" applyAlignment="1">
      <alignment horizontal="center"/>
    </xf>
    <xf numFmtId="166" fontId="0" fillId="0" borderId="0" xfId="0" applyNumberFormat="1"/>
    <xf numFmtId="167" fontId="0" fillId="0" borderId="0" xfId="0" applyNumberFormat="1"/>
    <xf numFmtId="167" fontId="5" fillId="0" borderId="0" xfId="0" applyNumberFormat="1" applyFont="1" applyAlignment="1">
      <alignment horizontal="center"/>
    </xf>
    <xf numFmtId="167" fontId="6" fillId="0" borderId="0" xfId="0" applyNumberFormat="1" applyFont="1"/>
    <xf numFmtId="0" fontId="1" fillId="3" borderId="0" xfId="0" applyFont="1" applyFill="1"/>
    <xf numFmtId="0" fontId="0" fillId="3" borderId="0" xfId="0" applyFill="1"/>
    <xf numFmtId="0" fontId="1" fillId="4" borderId="0" xfId="0" applyFont="1" applyFill="1" applyAlignment="1">
      <alignment horizontal="center"/>
    </xf>
    <xf numFmtId="0" fontId="0" fillId="4" borderId="0" xfId="0" applyFill="1"/>
    <xf numFmtId="0" fontId="1" fillId="4" borderId="0" xfId="0" applyFont="1" applyFill="1" applyAlignment="1">
      <alignment horizontal="left"/>
    </xf>
    <xf numFmtId="0" fontId="0" fillId="4" borderId="0" xfId="0" applyFill="1" applyAlignment="1">
      <alignment horizontal="right"/>
    </xf>
    <xf numFmtId="0" fontId="1" fillId="5" borderId="0" xfId="0" applyFont="1" applyFill="1" applyAlignment="1">
      <alignment horizontal="fill"/>
    </xf>
    <xf numFmtId="168" fontId="1" fillId="5" borderId="0" xfId="0" applyNumberFormat="1" applyFont="1" applyFill="1"/>
    <xf numFmtId="0" fontId="0" fillId="5" borderId="0" xfId="0" applyFill="1" applyAlignment="1">
      <alignment horizontal="fill"/>
    </xf>
    <xf numFmtId="168" fontId="0" fillId="5" borderId="0" xfId="0" applyNumberFormat="1" applyFill="1"/>
    <xf numFmtId="0" fontId="0" fillId="5" borderId="0" xfId="0" applyFill="1"/>
    <xf numFmtId="0" fontId="3" fillId="5" borderId="0" xfId="1" applyFill="1" applyAlignment="1">
      <alignment horizontal="center"/>
    </xf>
    <xf numFmtId="18" fontId="0" fillId="0" borderId="0" xfId="0" applyNumberFormat="1"/>
    <xf numFmtId="20" fontId="0" fillId="0" borderId="0" xfId="0" applyNumberFormat="1"/>
    <xf numFmtId="14" fontId="0" fillId="6" borderId="0" xfId="0" applyNumberFormat="1" applyFill="1"/>
    <xf numFmtId="0" fontId="0" fillId="7" borderId="0" xfId="0" applyFill="1"/>
    <xf numFmtId="164" fontId="8" fillId="0" borderId="0" xfId="0" applyNumberFormat="1" applyFont="1"/>
    <xf numFmtId="165" fontId="0" fillId="7" borderId="0" xfId="0" applyNumberFormat="1" applyFill="1"/>
    <xf numFmtId="164" fontId="0" fillId="8" borderId="0" xfId="0" applyNumberFormat="1" applyFill="1"/>
    <xf numFmtId="0" fontId="4" fillId="7" borderId="0" xfId="0" applyFont="1" applyFill="1"/>
    <xf numFmtId="0" fontId="1" fillId="0" borderId="0" xfId="0" applyFont="1" applyAlignment="1">
      <alignment horizontal="fill"/>
    </xf>
    <xf numFmtId="0" fontId="0" fillId="0" borderId="0" xfId="0" applyAlignment="1">
      <alignment horizontal="fill"/>
    </xf>
    <xf numFmtId="18" fontId="0" fillId="0" borderId="0" xfId="0" applyNumberFormat="1" applyAlignment="1">
      <alignment horizontal="fill"/>
    </xf>
    <xf numFmtId="20" fontId="0" fillId="0" borderId="0" xfId="0" applyNumberFormat="1" applyAlignment="1">
      <alignment horizontal="fill"/>
    </xf>
    <xf numFmtId="0" fontId="0" fillId="0" borderId="0" xfId="0" applyAlignment="1">
      <alignment wrapText="1"/>
    </xf>
    <xf numFmtId="164" fontId="0" fillId="7" borderId="0" xfId="0" applyNumberFormat="1" applyFill="1"/>
    <xf numFmtId="0" fontId="0" fillId="9" borderId="0" xfId="0" applyFill="1"/>
  </cellXfs>
  <cellStyles count="2">
    <cellStyle name="Hyperlink" xfId="1" builtinId="8"/>
    <cellStyle name="Normal" xfId="0" builtinId="0"/>
  </cellStyles>
  <dxfs count="196">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CCFFFF"/>
        </patternFill>
      </fill>
    </dxf>
    <dxf>
      <fill>
        <patternFill>
          <bgColor rgb="FFCCFFFF"/>
        </patternFill>
      </fill>
    </dxf>
    <dxf>
      <fill>
        <patternFill>
          <bgColor rgb="FFCCFFFF"/>
        </patternFill>
      </fill>
    </dxf>
    <dxf>
      <fill>
        <patternFill>
          <bgColor rgb="FFFFC000"/>
        </patternFill>
      </fill>
    </dxf>
    <dxf>
      <fill>
        <patternFill>
          <bgColor rgb="FFFFC000"/>
        </patternFill>
      </fill>
    </dxf>
    <dxf>
      <fill>
        <patternFill>
          <bgColor rgb="FFCCFFFF"/>
        </patternFill>
      </fill>
    </dxf>
    <dxf>
      <fill>
        <patternFill>
          <bgColor rgb="FFCCFFFF"/>
        </patternFill>
      </fill>
    </dxf>
    <dxf>
      <fill>
        <patternFill>
          <bgColor rgb="FFFFC000"/>
        </patternFill>
      </fill>
    </dxf>
    <dxf>
      <font>
        <color rgb="FF9C0006"/>
      </font>
      <fill>
        <patternFill>
          <bgColor rgb="FFFFC7CE"/>
        </patternFill>
      </fill>
    </dxf>
    <dxf>
      <fill>
        <patternFill>
          <bgColor rgb="FFCCFFFF"/>
        </patternFill>
      </fill>
    </dxf>
    <dxf>
      <fill>
        <patternFill>
          <bgColor rgb="FFCCFFFF"/>
        </patternFill>
      </fill>
    </dxf>
    <dxf>
      <fill>
        <patternFill>
          <bgColor rgb="FFCCFFFF"/>
        </patternFill>
      </fill>
    </dxf>
  </dxfs>
  <tableStyles count="0" defaultTableStyle="TableStyleMedium2" defaultPivotStyle="PivotStyleLight16"/>
  <colors>
    <mruColors>
      <color rgb="FFCCFFFF"/>
      <color rgb="FFA679FF"/>
      <color rgb="FFEF9B9B"/>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753035</xdr:colOff>
      <xdr:row>0</xdr:row>
      <xdr:rowOff>18570</xdr:rowOff>
    </xdr:from>
    <xdr:to>
      <xdr:col>5</xdr:col>
      <xdr:colOff>1656549</xdr:colOff>
      <xdr:row>0</xdr:row>
      <xdr:rowOff>145932</xdr:rowOff>
    </xdr:to>
    <xdr:sp macro="[0]!_xludf.Paste" textlink="">
      <xdr:nvSpPr>
        <xdr:cNvPr id="2" name="Rectangle 1">
          <a:extLst>
            <a:ext uri="{FF2B5EF4-FFF2-40B4-BE49-F238E27FC236}">
              <a16:creationId xmlns:a16="http://schemas.microsoft.com/office/drawing/2014/main" id="{9391DBF9-8BD8-42AE-93B0-2303756349B7}"/>
            </a:ext>
          </a:extLst>
        </xdr:cNvPr>
        <xdr:cNvSpPr/>
      </xdr:nvSpPr>
      <xdr:spPr>
        <a:xfrm>
          <a:off x="4545106" y="18570"/>
          <a:ext cx="903514" cy="1273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Copy</a:t>
          </a:r>
        </a:p>
      </xdr:txBody>
    </xdr:sp>
    <xdr:clientData/>
  </xdr:twoCellAnchor>
  <xdr:twoCellAnchor>
    <xdr:from>
      <xdr:col>7</xdr:col>
      <xdr:colOff>546847</xdr:colOff>
      <xdr:row>0</xdr:row>
      <xdr:rowOff>27535</xdr:rowOff>
    </xdr:from>
    <xdr:to>
      <xdr:col>7</xdr:col>
      <xdr:colOff>1450361</xdr:colOff>
      <xdr:row>0</xdr:row>
      <xdr:rowOff>154897</xdr:rowOff>
    </xdr:to>
    <xdr:sp macro="[0]!MapCopy" textlink="">
      <xdr:nvSpPr>
        <xdr:cNvPr id="3" name="Rectangle 2">
          <a:extLst>
            <a:ext uri="{FF2B5EF4-FFF2-40B4-BE49-F238E27FC236}">
              <a16:creationId xmlns:a16="http://schemas.microsoft.com/office/drawing/2014/main" id="{B4B9EE13-FFD2-40B4-AA6B-89CCC933F809}"/>
            </a:ext>
          </a:extLst>
        </xdr:cNvPr>
        <xdr:cNvSpPr/>
      </xdr:nvSpPr>
      <xdr:spPr>
        <a:xfrm>
          <a:off x="6831106" y="27535"/>
          <a:ext cx="903514" cy="1273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Copy</a:t>
          </a:r>
          <a:r>
            <a:rPr lang="en-US" sz="1100" baseline="0"/>
            <a:t> Maps</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n.wikipedia.org/wiki/List_of_tz_database_time_zon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FB86-D74A-481A-8B13-C853796ADB22}">
  <sheetPr codeName="Sheet4"/>
  <dimension ref="A1:AO346"/>
  <sheetViews>
    <sheetView tabSelected="1" zoomScale="85" zoomScaleNormal="85" workbookViewId="0">
      <pane xSplit="9" ySplit="1" topLeftCell="V2" activePane="bottomRight" state="frozen"/>
      <selection pane="topRight" activeCell="J1" sqref="J1"/>
      <selection pane="bottomLeft" activeCell="A2" sqref="A2"/>
      <selection pane="bottomRight" activeCell="H14" sqref="H14"/>
    </sheetView>
  </sheetViews>
  <sheetFormatPr defaultRowHeight="14.4" x14ac:dyDescent="0.3"/>
  <cols>
    <col min="1" max="1" width="8.109375" bestFit="1" customWidth="1"/>
    <col min="2" max="2" width="5.33203125" bestFit="1" customWidth="1"/>
    <col min="3" max="3" width="5.33203125" customWidth="1"/>
    <col min="4" max="4" width="11.109375" customWidth="1"/>
    <col min="5" max="5" width="25.33203125" customWidth="1"/>
    <col min="6" max="6" width="26.33203125" bestFit="1" customWidth="1"/>
    <col min="7" max="7" width="10" bestFit="1" customWidth="1"/>
    <col min="8" max="8" width="43.44140625" style="5" customWidth="1"/>
    <col min="9" max="9" width="13.109375" customWidth="1"/>
    <col min="10" max="10" width="17.77734375" style="36" customWidth="1"/>
    <col min="11" max="11" width="41.77734375" customWidth="1"/>
    <col min="12" max="12" width="66.5546875" customWidth="1"/>
    <col min="13" max="13" width="66" style="16" customWidth="1"/>
    <col min="14" max="14" width="14.33203125" style="16" customWidth="1"/>
    <col min="15" max="15" width="10.5546875" customWidth="1"/>
    <col min="16" max="16" width="32" customWidth="1"/>
    <col min="17" max="19" width="5.88671875" style="18" customWidth="1"/>
    <col min="20" max="21" width="12.5546875" customWidth="1"/>
    <col min="22" max="22" width="5.6640625" style="18" customWidth="1"/>
    <col min="23" max="23" width="6.109375" style="18" customWidth="1"/>
    <col min="24" max="24" width="12.5546875" customWidth="1"/>
    <col min="25" max="25" width="10.6640625" bestFit="1" customWidth="1"/>
    <col min="26" max="26" width="27.33203125" bestFit="1" customWidth="1"/>
    <col min="27" max="27" width="15.44140625" style="8" customWidth="1"/>
    <col min="28" max="28" width="10.77734375" style="14" bestFit="1" customWidth="1"/>
    <col min="29" max="29" width="20.33203125" bestFit="1" customWidth="1"/>
    <col min="30" max="30" width="48.109375" style="23" customWidth="1"/>
    <col min="31" max="31" width="10.21875" style="24" bestFit="1" customWidth="1"/>
    <col min="32" max="32" width="10.44140625" style="24" bestFit="1" customWidth="1"/>
    <col min="33" max="33" width="20.33203125" style="25" customWidth="1"/>
    <col min="34" max="35" width="12" bestFit="1" customWidth="1"/>
    <col min="36" max="37" width="10.77734375" bestFit="1" customWidth="1"/>
    <col min="41" max="41" width="10.5546875" bestFit="1" customWidth="1"/>
  </cols>
  <sheetData>
    <row r="1" spans="1:37" x14ac:dyDescent="0.3">
      <c r="A1" s="2" t="s">
        <v>1638</v>
      </c>
      <c r="B1" s="2" t="s">
        <v>0</v>
      </c>
      <c r="C1" s="2" t="s">
        <v>1132</v>
      </c>
      <c r="D1" s="2" t="s">
        <v>1</v>
      </c>
      <c r="E1" s="2" t="s">
        <v>4</v>
      </c>
      <c r="F1" s="2" t="s">
        <v>6</v>
      </c>
      <c r="G1" s="2" t="s">
        <v>67</v>
      </c>
      <c r="H1" s="3" t="s">
        <v>7</v>
      </c>
      <c r="I1" s="2" t="s">
        <v>1027</v>
      </c>
      <c r="J1" s="35" t="s">
        <v>2523</v>
      </c>
      <c r="K1" s="2" t="s">
        <v>984</v>
      </c>
      <c r="L1" s="2" t="s">
        <v>9</v>
      </c>
      <c r="M1" s="15" t="s">
        <v>5</v>
      </c>
      <c r="N1" s="15" t="s">
        <v>120</v>
      </c>
      <c r="O1" s="2" t="s">
        <v>853</v>
      </c>
      <c r="P1" s="2" t="s">
        <v>925</v>
      </c>
      <c r="Q1" s="17" t="s">
        <v>59</v>
      </c>
      <c r="R1" s="17" t="s">
        <v>56</v>
      </c>
      <c r="S1" s="17" t="s">
        <v>70</v>
      </c>
      <c r="T1" s="1" t="s">
        <v>851</v>
      </c>
      <c r="U1" s="1" t="s">
        <v>852</v>
      </c>
      <c r="V1" s="19" t="s">
        <v>72</v>
      </c>
      <c r="W1" s="17" t="s">
        <v>71</v>
      </c>
      <c r="X1" s="1" t="s">
        <v>57</v>
      </c>
      <c r="Y1" s="1" t="s">
        <v>68</v>
      </c>
      <c r="Z1" s="1" t="s">
        <v>58</v>
      </c>
      <c r="AA1" s="10" t="s">
        <v>924</v>
      </c>
      <c r="AB1" s="13" t="s">
        <v>893</v>
      </c>
      <c r="AC1" s="1" t="s">
        <v>1196</v>
      </c>
      <c r="AD1" s="21" t="s">
        <v>1524</v>
      </c>
      <c r="AE1" s="22" t="s">
        <v>1529</v>
      </c>
      <c r="AF1" s="22" t="s">
        <v>1530</v>
      </c>
      <c r="AG1" s="26" t="s">
        <v>1531</v>
      </c>
      <c r="AH1" s="1" t="s">
        <v>96</v>
      </c>
      <c r="AI1" s="1" t="s">
        <v>849</v>
      </c>
      <c r="AJ1" s="1" t="s">
        <v>850</v>
      </c>
    </row>
    <row r="2" spans="1:37" x14ac:dyDescent="0.3">
      <c r="A2" t="s">
        <v>8</v>
      </c>
      <c r="B2" t="s">
        <v>142</v>
      </c>
      <c r="C2" t="s">
        <v>1154</v>
      </c>
      <c r="D2" t="s">
        <v>143</v>
      </c>
      <c r="E2" t="s">
        <v>2176</v>
      </c>
      <c r="F2" t="s">
        <v>66</v>
      </c>
      <c r="G2" s="7">
        <f ca="1">X2</f>
        <v>46023</v>
      </c>
      <c r="H2" s="5" t="s">
        <v>1816</v>
      </c>
      <c r="I2" t="s">
        <v>1037</v>
      </c>
      <c r="J2" s="36" t="s">
        <v>2524</v>
      </c>
      <c r="L2" t="s">
        <v>2421</v>
      </c>
      <c r="M2" s="16" t="s">
        <v>1817</v>
      </c>
      <c r="N2" s="16" t="s">
        <v>1818</v>
      </c>
      <c r="O2" s="7">
        <v>45282</v>
      </c>
      <c r="P2" s="7" t="s">
        <v>1848</v>
      </c>
      <c r="Q2" s="18">
        <v>1</v>
      </c>
      <c r="T2" s="4">
        <f>DATE(AI$2,1,1)</f>
        <v>45658</v>
      </c>
      <c r="U2" s="4">
        <f>DATE(AJ$2,1,1)</f>
        <v>46023</v>
      </c>
      <c r="V2" s="20">
        <v>0</v>
      </c>
      <c r="W2" s="18">
        <v>1</v>
      </c>
      <c r="X2" s="4">
        <f ca="1">Y2-(W2-1)</f>
        <v>46023</v>
      </c>
      <c r="Y2" s="5">
        <f ca="1">IF(OR(T2+V2&lt;(TODAY()-1),ISNUMBER(SEARCH("&lt;h4&gt;",K2))),U2+V2,T2+V2)</f>
        <v>46023</v>
      </c>
      <c r="Z2" t="str">
        <f ca="1">CONCATENATE(IF(OR(Y2=X2,ISBLANK(Y2)),TEXT(X2,"mmmm d"),CONCATENATE(TEXT(X2,"mmmm d"),"-",TEXT(Y2,"d"))),", ",YEAR(Y2))</f>
        <v>January 1, 2026</v>
      </c>
      <c r="AA2" s="7">
        <f>O2</f>
        <v>45282</v>
      </c>
      <c r="AB2" s="14">
        <f>T2+V2-(W2-1)</f>
        <v>45658</v>
      </c>
      <c r="AC2" t="s">
        <v>1819</v>
      </c>
      <c r="AD2" s="23" t="str">
        <f ca="1">CONCATENATE("&lt;add-to-calendar-button  name=",CHAR(34),H2,CHAR(34),
IF(ISBLANK(M2),"",CONCATENATE("   location=",CHAR(34),RIGHT(M2,LEN(M2)-SEARCH("|",M2)-1),CHAR(34))),
"   description=",CHAR(34),IF(ISBLANK(I2),"",CONCATENATE(I2,"; ")),"shapenotesingings.com",CHAR(34),
"   options=",CHAR(34),"'Apple','Google','iCal','Outlook.com'",CHAR(34),"   styleLight=",CHAR(34),"--btn-background: #550000; --btn-text: #fff; --btn-shadow:#fff;",CHAR(34),
IF(W2=1,CONCATENATE(
"startDate=",CHAR(34),TEXT(G2,"yyyy-mm-dd"),CHAR(34),
"{endDate=",CHAR(34),TEXT(G2,"yyyy-mm-dd"),CHAR(34),
IF(OR(ISBLANK(AE2),ISBLANK(AF2)),"",(CONCATENATE(" startTime=",CHAR(34),TEXT(AE2,"hh:mm"),CHAR(34)," endTime=",CHAR(34),TEXT(AF2,"h:mm"),CHAR(34),
" timeZone=",CHAR(34),AG2,CHAR(34))))),
IF(W2=2,CONCATENATE(" dates='[{",
CHAR(34),"startDate",CHAR(34),":",CHAR(34),TEXT(G2,"yyyy-mm-dd"),CHAR(34),", ",
,CHAR(34),"endDate",CHAR(34),":",CHAR(34),TEXT(G2,"yyyy-mm-dd"),CHAR(34),
IF(OR(ISBLANK(AE2),ISBLANK(AF2)),"",(CONCATENATE(", ",CHAR(34),"startTime",CHAR(34),":",CHAR(34),TEXT(AE2,"hh:mm"),CHAR(34),", ",CHAR(34),"endTime",CHAR(34),":",CHAR(34),TEXT(AF2,"hh:mm"),CHAR(34),", ",CHAR(34),"timeZone",CHAR(34),":",CHAR(34),AG2,CHAR(34)))),"}, {",
,CHAR(34),"startDate",CHAR(34),":",CHAR(34),TEXT(G2+1,"yyyy-mm-dd"),CHAR(34),", ",
,CHAR(34),"endDate",CHAR(34),":",CHAR(34),TEXT(G2+W2-1,"yyyy-mm-dd"),CHAR(34),
IF(OR(ISBLANK(AE2),ISBLANK(AF2)),"",(CONCATENATE(", ",CHAR(34),"startTime",CHAR(34),":",CHAR(34),TEXT(AE2,"hh:mm"),CHAR(34),", ",CHAR(34),"endTime",CHAR(34),":",CHAR(34),TEXT(AF2,"hh:mm"),CHAR(34),", ",CHAR(34),"timeZone",CHAR(34),":",CHAR(34),AG2,CHAR(34)))),"}]'"),
CONCATENATE(
"{  startDate=",CHAR(34),TEXT(G2,"yyyy-mm-dd"),CHAR(34),
"  endDate=",CHAR(34),TEXT(G2+W2-1,"yyyy-mm-dd"),CHAR(34),"}"))),
" &gt;&lt;/add-to-calendar-button&gt;")</f>
        <v>&lt;add-to-calendar-button  name="Cincinnati New Year’s Day singing"   location="St. John's Unitarian Universalist Church, 320 Resor Ave, Cincinnati, OH 45220"   description="10am-3pm; shapenotesingings.com"   options="'Apple','Google','iCal','Outlook.com'"   styleLight="--btn-background: #550000; --btn-text: #fff; --btn-shadow:#fff;"startDate="2026-01-01"{endDate="2026-01-01" startTime="10:00" endTime="15:00" timeZone="America/New_York" &gt;&lt;/add-to-calendar-button&gt;</v>
      </c>
      <c r="AE2" s="24">
        <v>0.41666666666666669</v>
      </c>
      <c r="AF2" s="24">
        <v>0.625</v>
      </c>
      <c r="AG2" s="25" t="s">
        <v>1532</v>
      </c>
      <c r="AH2" t="s">
        <v>93</v>
      </c>
      <c r="AI2">
        <v>2025</v>
      </c>
      <c r="AJ2">
        <v>2026</v>
      </c>
    </row>
    <row r="3" spans="1:37" x14ac:dyDescent="0.3">
      <c r="A3" t="s">
        <v>8</v>
      </c>
      <c r="B3" t="s">
        <v>523</v>
      </c>
      <c r="C3" t="s">
        <v>1145</v>
      </c>
      <c r="D3" t="s">
        <v>2338</v>
      </c>
      <c r="E3" t="s">
        <v>2339</v>
      </c>
      <c r="F3" t="s">
        <v>66</v>
      </c>
      <c r="G3" s="7">
        <f ca="1">X3</f>
        <v>46023</v>
      </c>
      <c r="H3" s="5" t="s">
        <v>2340</v>
      </c>
      <c r="I3" t="s">
        <v>1719</v>
      </c>
      <c r="J3" s="36" t="s">
        <v>2537</v>
      </c>
      <c r="L3" t="s">
        <v>2344</v>
      </c>
      <c r="M3" s="16" t="s">
        <v>2341</v>
      </c>
      <c r="N3" s="16" t="s">
        <v>2342</v>
      </c>
      <c r="O3" s="7">
        <v>45580</v>
      </c>
      <c r="P3" s="7" t="s">
        <v>2343</v>
      </c>
      <c r="Q3" s="18">
        <v>1</v>
      </c>
      <c r="T3" s="4">
        <f>DATE(AI$2,1,1)</f>
        <v>45658</v>
      </c>
      <c r="U3" s="4">
        <f>DATE(AJ$2,1,1)</f>
        <v>46023</v>
      </c>
      <c r="V3" s="20">
        <v>0</v>
      </c>
      <c r="W3" s="18">
        <v>1</v>
      </c>
      <c r="X3" s="4">
        <f ca="1">Y3-(W3-1)</f>
        <v>46023</v>
      </c>
      <c r="Y3" s="5">
        <f ca="1">IF(OR(T3+V3&lt;(TODAY()-1),ISNUMBER(SEARCH("&lt;h4&gt;",K3))),U3+V3,T3+V3)</f>
        <v>46023</v>
      </c>
      <c r="Z3" t="str">
        <f ca="1">CONCATENATE(IF(OR(Y3=X3,ISBLANK(Y3)),TEXT(X3,"mmmm d"),CONCATENATE(TEXT(X3,"mmmm d"),"-",TEXT(Y3,"d"))),", ",YEAR(Y3))</f>
        <v>January 1, 2026</v>
      </c>
      <c r="AA3" s="7">
        <f>O3</f>
        <v>45580</v>
      </c>
      <c r="AB3" s="14">
        <f>T3+V3-(W3-1)</f>
        <v>45658</v>
      </c>
      <c r="AC3" t="s">
        <v>2345</v>
      </c>
      <c r="AD3" s="23" t="str">
        <f ca="1">CONCATENATE("&lt;add-to-calendar-button  name=",CHAR(34),H3,CHAR(34),
IF(ISBLANK(M3),"",CONCATENATE("   location=",CHAR(34),RIGHT(M3,LEN(M3)-SEARCH("|",M3)-1),CHAR(34))),
"   description=",CHAR(34),IF(ISBLANK(I3),"",CONCATENATE(I3,"; ")),"shapenotesingings.com",CHAR(34),
"   options=",CHAR(34),"'Apple','Google','iCal','Outlook.com'",CHAR(34),"   styleLight=",CHAR(34),"--btn-background: #550000; --btn-text: #fff; --btn-shadow:#fff;",CHAR(34),
IF(W3=1,CONCATENATE(
"startDate=",CHAR(34),TEXT(G3,"yyyy-mm-dd"),CHAR(34),
"{endDate=",CHAR(34),TEXT(G3,"yyyy-mm-dd"),CHAR(34),
IF(OR(ISBLANK(AE3),ISBLANK(AF3)),"",(CONCATENATE(" startTime=",CHAR(34),TEXT(AE3,"hh:mm"),CHAR(34)," endTime=",CHAR(34),TEXT(AF3,"h:mm"),CHAR(34),
" timeZone=",CHAR(34),AG3,CHAR(34))))),
IF(W3=2,CONCATENATE(" dates='[{",
CHAR(34),"startDate",CHAR(34),":",CHAR(34),TEXT(G3,"yyyy-mm-dd"),CHAR(34),", ",
,CHAR(34),"endDate",CHAR(34),":",CHAR(34),TEXT(G3,"yyyy-mm-dd"),CHAR(34),
IF(OR(ISBLANK(AE3),ISBLANK(AF3)),"",(CONCATENATE(", ",CHAR(34),"startTime",CHAR(34),":",CHAR(34),TEXT(AE3,"hh:mm"),CHAR(34),", ",CHAR(34),"endTime",CHAR(34),":",CHAR(34),TEXT(AF3,"hh:mm"),CHAR(34),", ",CHAR(34),"timeZone",CHAR(34),":",CHAR(34),AG3,CHAR(34)))),"}, {",
,CHAR(34),"startDate",CHAR(34),":",CHAR(34),TEXT(G3+1,"yyyy-mm-dd"),CHAR(34),", ",
,CHAR(34),"endDate",CHAR(34),":",CHAR(34),TEXT(G3+W3-1,"yyyy-mm-dd"),CHAR(34),
IF(OR(ISBLANK(AE3),ISBLANK(AF3)),"",(CONCATENATE(", ",CHAR(34),"startTime",CHAR(34),":",CHAR(34),TEXT(AE3,"hh:mm"),CHAR(34),", ",CHAR(34),"endTime",CHAR(34),":",CHAR(34),TEXT(AF3,"hh:mm"),CHAR(34),", ",CHAR(34),"timeZone",CHAR(34),":",CHAR(34),AG3,CHAR(34)))),"}]'"),
CONCATENATE(
"{  startDate=",CHAR(34),TEXT(G3,"yyyy-mm-dd"),CHAR(34),
"  endDate=",CHAR(34),TEXT(G3+W3-1,"yyyy-mm-dd"),CHAR(34),"}"))),
" &gt;&lt;/add-to-calendar-button&gt;")</f>
        <v>&lt;add-to-calendar-button  name="New Year's Day Harmonia Sacra Singing"   location="Anabaptist Mennonite Biblical Seminary, 3003 Benham Ave, Elkhart, IN 46517"   description="1pm-5pm; shapenotesingings.com"   options="'Apple','Google','iCal','Outlook.com'"   styleLight="--btn-background: #550000; --btn-text: #fff; --btn-shadow:#fff;"startDate="2026-01-01"{endDate="2026-01-01" startTime="10:00" endTime="15:00" timeZone="America/New_York" &gt;&lt;/add-to-calendar-button&gt;</v>
      </c>
      <c r="AE3" s="24">
        <v>0.41666666666666669</v>
      </c>
      <c r="AF3" s="24">
        <v>0.625</v>
      </c>
      <c r="AG3" s="25" t="s">
        <v>1532</v>
      </c>
      <c r="AK3" s="9" t="s">
        <v>923</v>
      </c>
    </row>
    <row r="4" spans="1:37" x14ac:dyDescent="0.3">
      <c r="A4" t="s">
        <v>144</v>
      </c>
      <c r="B4" t="s">
        <v>144</v>
      </c>
      <c r="C4" t="s">
        <v>1162</v>
      </c>
      <c r="D4" t="s">
        <v>2245</v>
      </c>
      <c r="E4" t="s">
        <v>2177</v>
      </c>
      <c r="F4" t="s">
        <v>66</v>
      </c>
      <c r="G4" s="7">
        <f ca="1">X4</f>
        <v>46023</v>
      </c>
      <c r="H4" s="5" t="s">
        <v>147</v>
      </c>
      <c r="I4" t="s">
        <v>1050</v>
      </c>
      <c r="J4" s="36" t="s">
        <v>2525</v>
      </c>
      <c r="L4" t="s">
        <v>2397</v>
      </c>
      <c r="M4" s="16" t="s">
        <v>145</v>
      </c>
      <c r="N4" s="16" t="s">
        <v>146</v>
      </c>
      <c r="O4" s="7">
        <v>44936</v>
      </c>
      <c r="P4" s="7" t="s">
        <v>926</v>
      </c>
      <c r="Q4" s="18">
        <v>1</v>
      </c>
      <c r="T4" s="4">
        <f>DATE(AI$2,1,1)</f>
        <v>45658</v>
      </c>
      <c r="U4" s="4">
        <f>DATE(AJ$2,1,1)</f>
        <v>46023</v>
      </c>
      <c r="V4" s="20">
        <v>0</v>
      </c>
      <c r="W4" s="20">
        <v>1</v>
      </c>
      <c r="X4" s="4">
        <f ca="1">Y4-(W4-1)</f>
        <v>46023</v>
      </c>
      <c r="Y4" s="5">
        <f ca="1">IF(OR(T4+V4&lt;(NOW()-0.5),ISNUMBER(SEARCH("&lt;h4&gt;",K4))),U4+V4,T4+V4)</f>
        <v>46023</v>
      </c>
      <c r="Z4" t="str">
        <f ca="1">CONCATENATE(IF(OR(Y4=X4,ISBLANK(Y4)),TEXT(X4,"mmmm d"),CONCATENATE(TEXT(X4,"mmmm d"),"-",TEXT(Y4,"d"))),", ",YEAR(Y4))</f>
        <v>January 1, 2026</v>
      </c>
      <c r="AA4" s="7">
        <f>O4</f>
        <v>44936</v>
      </c>
      <c r="AB4" s="14">
        <f>T4+V4-(W4-1)</f>
        <v>45658</v>
      </c>
      <c r="AC4" t="s">
        <v>1200</v>
      </c>
      <c r="AD4" s="23" t="str">
        <f ca="1">CONCATENATE("&lt;add-to-calendar-button  name=",CHAR(34),H4,CHAR(34),
IF(ISBLANK(M4),"",CONCATENATE("   location=",CHAR(34),RIGHT(M4,LEN(M4)-SEARCH("|",M4)-1),CHAR(34))),
"   description=",CHAR(34),IF(ISBLANK(I4),"",CONCATENATE(I4,"; ")),"shapenotesingings.com",CHAR(34),
"   options=",CHAR(34),"'Apple','Google','iCal','Outlook.com'",CHAR(34),"   styleLight=",CHAR(34),"--btn-background: #550000; --btn-text: #fff; --btn-shadow:#fff;",CHAR(34),
IF(W4=1,CONCATENATE(
"startDate=",CHAR(34),TEXT(G4,"yyyy-mm-dd"),CHAR(34),
"{endDate=",CHAR(34),TEXT(G4,"yyyy-mm-dd"),CHAR(34),
IF(OR(ISBLANK(AE4),ISBLANK(AF4)),"",(CONCATENATE(" startTime=",CHAR(34),TEXT(AE4,"hh:mm"),CHAR(34)," endTime=",CHAR(34),TEXT(AF4,"h:mm"),CHAR(34),
" timeZone=",CHAR(34),AG4,CHAR(34))))),
IF(W4=2,CONCATENATE(" dates='[{",
CHAR(34),"startDate",CHAR(34),":",CHAR(34),TEXT(G4,"yyyy-mm-dd"),CHAR(34),", ",
,CHAR(34),"endDate",CHAR(34),":",CHAR(34),TEXT(G4,"yyyy-mm-dd"),CHAR(34),
IF(OR(ISBLANK(AE4),ISBLANK(AF4)),"",(CONCATENATE(", ",CHAR(34),"startTime",CHAR(34),":",CHAR(34),TEXT(AE4,"hh:mm"),CHAR(34),", ",CHAR(34),"endTime",CHAR(34),":",CHAR(34),TEXT(AF4,"hh:mm"),CHAR(34),", ",CHAR(34),"timeZone",CHAR(34),":",CHAR(34),AG4,CHAR(34)))),"}, {",
,CHAR(34),"startDate",CHAR(34),":",CHAR(34),TEXT(G4+1,"yyyy-mm-dd"),CHAR(34),", ",
,CHAR(34),"endDate",CHAR(34),":",CHAR(34),TEXT(G4+W4-1,"yyyy-mm-dd"),CHAR(34),
IF(OR(ISBLANK(AE4),ISBLANK(AF4)),"",(CONCATENATE(", ",CHAR(34),"startTime",CHAR(34),":",CHAR(34),TEXT(AE4,"hh:mm"),CHAR(34),", ",CHAR(34),"endTime",CHAR(34),":",CHAR(34),TEXT(AF4,"hh:mm"),CHAR(34),", ",CHAR(34),"timeZone",CHAR(34),":",CHAR(34),AG4,CHAR(34)))),"}]'"),
CONCATENATE(
"{  startDate=",CHAR(34),TEXT(G4,"yyyy-mm-dd"),CHAR(34),
"  endDate=",CHAR(34),TEXT(G4+W4-1,"yyyy-mm-dd"),CHAR(34),"}"))),
" &gt;&lt;/add-to-calendar-button&gt;")</f>
        <v>&lt;add-to-calendar-button  name="UK New Year's Day Singing"   location="Holy Trinity Church, Mapperley - 28 Church Ln, Mapperley, Ilkeston DE7 6BS, United Kingdom"   description="11:30am-4pm; shapenotesingings.com"   options="'Apple','Google','iCal','Outlook.com'"   styleLight="--btn-background: #550000; --btn-text: #fff; --btn-shadow:#fff;"startDate="2026-01-01"{endDate="2026-01-01" &gt;&lt;/add-to-calendar-button&gt;</v>
      </c>
      <c r="AG4" s="25" t="s">
        <v>1535</v>
      </c>
      <c r="AK4" s="9" t="s">
        <v>923</v>
      </c>
    </row>
    <row r="5" spans="1:37" x14ac:dyDescent="0.3">
      <c r="A5" t="s">
        <v>8</v>
      </c>
      <c r="B5" t="s">
        <v>273</v>
      </c>
      <c r="C5" t="s">
        <v>1160</v>
      </c>
      <c r="D5" t="s">
        <v>638</v>
      </c>
      <c r="E5" t="s">
        <v>777</v>
      </c>
      <c r="F5" t="s">
        <v>66</v>
      </c>
      <c r="G5" s="7">
        <f ca="1">X5</f>
        <v>46025</v>
      </c>
      <c r="H5" t="s">
        <v>1445</v>
      </c>
      <c r="I5" t="s">
        <v>1037</v>
      </c>
      <c r="J5" s="36" t="s">
        <v>2636</v>
      </c>
      <c r="K5" t="s">
        <v>1449</v>
      </c>
      <c r="L5" t="s">
        <v>2405</v>
      </c>
      <c r="M5" s="16" t="s">
        <v>1446</v>
      </c>
      <c r="N5" s="16" t="s">
        <v>1447</v>
      </c>
      <c r="O5" s="7">
        <v>45628</v>
      </c>
      <c r="P5" s="7" t="s">
        <v>2404</v>
      </c>
      <c r="Q5" s="18">
        <v>1</v>
      </c>
      <c r="R5" s="18">
        <v>1</v>
      </c>
      <c r="S5" s="18">
        <v>7</v>
      </c>
      <c r="T5" s="4">
        <f>DATE(AI$2,$Q5,1+(($R5-($S5&gt;=WEEKDAY(DATE(AI$2,$Q5,1))))*7)+($S5-WEEKDAY(DATE(AI$2,$Q5,1))))</f>
        <v>45661</v>
      </c>
      <c r="U5" s="4">
        <f>DATE(AJ$2,$Q5,1+(($R5-($S5&gt;=WEEKDAY(DATE(AJ$2,$Q5,1))))*7)+($S5-WEEKDAY(DATE(AJ$2,$Q5,1))))</f>
        <v>46025</v>
      </c>
      <c r="V5" s="20">
        <v>0</v>
      </c>
      <c r="W5" s="20">
        <v>1</v>
      </c>
      <c r="X5" s="4">
        <f ca="1">Y5-(W5-1)</f>
        <v>46025</v>
      </c>
      <c r="Y5" s="5">
        <f ca="1">IF(OR(T5+V5&lt;(TODAY()-1),ISNUMBER(SEARCH("&lt;h4&gt;",K5))),U5+V5,T5+V5)</f>
        <v>46025</v>
      </c>
      <c r="Z5" t="str">
        <f ca="1">CONCATENATE(IF(OR(Y5=X5,ISBLANK(Y5)),TEXT(X5,"mmmm d"),CONCATENATE(TEXT(X5,"mmmm d"),"-",TEXT(Y5,"d"))),", ",YEAR(Y5))</f>
        <v>January 3, 2026</v>
      </c>
      <c r="AA5" s="7">
        <f>O5</f>
        <v>45628</v>
      </c>
      <c r="AB5" s="14">
        <f>T5+V5-(W5-1)</f>
        <v>45661</v>
      </c>
      <c r="AC5" t="s">
        <v>1450</v>
      </c>
      <c r="AD5" s="23" t="str">
        <f ca="1">CONCATENATE("&lt;add-to-calendar-button  name=",CHAR(34),H5,CHAR(34),
IF(ISBLANK(M5),"",CONCATENATE("   location=",CHAR(34),RIGHT(M5,LEN(M5)-SEARCH("|",M5)-1),CHAR(34))),
"   description=",CHAR(34),IF(ISBLANK(I5),"",CONCATENATE(I5,"; ")),"shapenotesingings.com",CHAR(34),
"   options=",CHAR(34),"'Apple','Google','iCal','Outlook.com'",CHAR(34),"   styleLight=",CHAR(34),"--btn-background: #550000; --btn-text: #fff; --btn-shadow:#fff;",CHAR(34),
IF(W5=1,CONCATENATE(
"startDate=",CHAR(34),TEXT(G5,"yyyy-mm-dd"),CHAR(34),
"{endDate=",CHAR(34),TEXT(G5,"yyyy-mm-dd"),CHAR(34),
IF(OR(ISBLANK(AE5),ISBLANK(AF5)),"",(CONCATENATE(" startTime=",CHAR(34),TEXT(AE5,"hh:mm"),CHAR(34)," endTime=",CHAR(34),TEXT(AF5,"h:mm"),CHAR(34),
" timeZone=",CHAR(34),AG5,CHAR(34))))),
IF(W5=2,CONCATENATE(" dates='[{",
CHAR(34),"startDate",CHAR(34),":",CHAR(34),TEXT(G5,"yyyy-mm-dd"),CHAR(34),", ",
,CHAR(34),"endDate",CHAR(34),":",CHAR(34),TEXT(G5,"yyyy-mm-dd"),CHAR(34),
IF(OR(ISBLANK(AE5),ISBLANK(AF5)),"",(CONCATENATE(", ",CHAR(34),"startTime",CHAR(34),":",CHAR(34),TEXT(AE5,"hh:mm"),CHAR(34),", ",CHAR(34),"endTime",CHAR(34),":",CHAR(34),TEXT(AF5,"hh:mm"),CHAR(34),", ",CHAR(34),"timeZone",CHAR(34),":",CHAR(34),AG5,CHAR(34)))),"}, {",
,CHAR(34),"startDate",CHAR(34),":",CHAR(34),TEXT(G5+1,"yyyy-mm-dd"),CHAR(34),", ",
,CHAR(34),"endDate",CHAR(34),":",CHAR(34),TEXT(G5+W5-1,"yyyy-mm-dd"),CHAR(34),
IF(OR(ISBLANK(AE5),ISBLANK(AF5)),"",(CONCATENATE(", ",CHAR(34),"startTime",CHAR(34),":",CHAR(34),TEXT(AE5,"hh:mm"),CHAR(34),", ",CHAR(34),"endTime",CHAR(34),":",CHAR(34),TEXT(AF5,"hh:mm"),CHAR(34),", ",CHAR(34),"timeZone",CHAR(34),":",CHAR(34),AG5,CHAR(34)))),"}]'"),
CONCATENATE(
"{  startDate=",CHAR(34),TEXT(G5,"yyyy-mm-dd"),CHAR(34),
"  endDate=",CHAR(34),TEXT(G5+W5-1,"yyyy-mm-dd"),CHAR(34),"}"))),
" &gt;&lt;/add-to-calendar-button&gt;")</f>
        <v>&lt;add-to-calendar-button  name="New Year's Old Harp Singing"   location="Claxton Community Center, 1071 Edgemoor Rd, Clinton, TN 37716"   description="10am-3pm; shapenotesingings.com"   options="'Apple','Google','iCal','Outlook.com'"   styleLight="--btn-background: #550000; --btn-text: #fff; --btn-shadow:#fff;"startDate="2026-01-03"{endDate="2026-01-03" startTime="10:00" endTime="15:00" timeZone="America/New_York" &gt;&lt;/add-to-calendar-button&gt;</v>
      </c>
      <c r="AE5" s="24">
        <v>0.41666666666666669</v>
      </c>
      <c r="AF5" s="24">
        <v>0.625</v>
      </c>
      <c r="AG5" s="25" t="s">
        <v>1532</v>
      </c>
      <c r="AH5" t="s">
        <v>307</v>
      </c>
      <c r="AI5" s="4">
        <f>FLOOR("5/"&amp;DAY(MINUTE(AI2/38)/2+56)&amp;"/"&amp;AI2,7)-34</f>
        <v>45767</v>
      </c>
      <c r="AJ5" s="4">
        <f>FLOOR("5/"&amp;DAY(MINUTE(AJ2/38)/2+56)&amp;"/"&amp;AJ2,7)-34</f>
        <v>46117</v>
      </c>
      <c r="AK5" s="9" t="s">
        <v>923</v>
      </c>
    </row>
    <row r="6" spans="1:37" x14ac:dyDescent="0.3">
      <c r="A6" t="s">
        <v>407</v>
      </c>
      <c r="B6" t="s">
        <v>408</v>
      </c>
      <c r="D6" t="s">
        <v>1686</v>
      </c>
      <c r="E6" t="s">
        <v>2183</v>
      </c>
      <c r="F6" t="s">
        <v>2354</v>
      </c>
      <c r="G6" s="7">
        <f ca="1">X6</f>
        <v>46025</v>
      </c>
      <c r="H6" s="5" t="s">
        <v>2353</v>
      </c>
      <c r="I6" t="s">
        <v>1081</v>
      </c>
      <c r="L6" t="s">
        <v>2384</v>
      </c>
      <c r="M6" s="16" t="s">
        <v>1687</v>
      </c>
      <c r="N6" s="16" t="s">
        <v>1688</v>
      </c>
      <c r="O6" s="7">
        <v>45589</v>
      </c>
      <c r="P6" s="7" t="s">
        <v>2359</v>
      </c>
      <c r="Q6" s="18">
        <v>1</v>
      </c>
      <c r="R6" s="18">
        <v>1</v>
      </c>
      <c r="S6" s="18">
        <v>1</v>
      </c>
      <c r="T6" s="4">
        <f>DATE(AI$2,$Q6,1+(($R6-($S6&gt;=WEEKDAY(DATE(AI$2,$Q6,1))))*7)+($S6-WEEKDAY(DATE(AI$2,$Q6,1))))</f>
        <v>45662</v>
      </c>
      <c r="U6" s="4">
        <f>DATE(AJ$2,$Q6,1+(($R6-($S6&gt;=WEEKDAY(DATE(AJ$2,$Q6,1))))*7)+($S6-WEEKDAY(DATE(AJ$2,$Q6,1))))</f>
        <v>46026</v>
      </c>
      <c r="V6" s="20">
        <v>-1</v>
      </c>
      <c r="W6" s="20">
        <v>1</v>
      </c>
      <c r="X6" s="4">
        <f ca="1">Y6-(W6-1)</f>
        <v>46025</v>
      </c>
      <c r="Y6" s="5">
        <f ca="1">IF(OR(T6+V6&lt;(NOW()-0.5),ISNUMBER(SEARCH("&lt;h4&gt;",K6))),U6+V6,T6+V6)</f>
        <v>46025</v>
      </c>
      <c r="Z6" t="str">
        <f ca="1">CONCATENATE(IF(OR(Y6=X6,ISBLANK(Y6)),TEXT(X6,"mmmm d"),CONCATENATE(TEXT(X6,"mmmm d"),"-",IF(TEXT(X6,"mmmm")=TEXT(Y6,"mmmm"),TEXT(Y6,"d"),TEXT(Y6,"mmmm d")))),", ",YEAR(Y6))</f>
        <v>January 3, 2026</v>
      </c>
      <c r="AA6" s="7">
        <f>O6</f>
        <v>45589</v>
      </c>
      <c r="AB6" s="14">
        <f>T6+V6-(W6-1)</f>
        <v>45661</v>
      </c>
      <c r="AC6" t="s">
        <v>1689</v>
      </c>
      <c r="AD6" s="23" t="str">
        <f ca="1">CONCATENATE("&lt;add-to-calendar-button  name=",CHAR(34),H6,CHAR(34),
IF(ISBLANK(M6),"",CONCATENATE("   location=",CHAR(34),RIGHT(M6,LEN(M6)-SEARCH("|",M6)-1),CHAR(34))),
"   description=",CHAR(34),IF(ISBLANK(I6),"",CONCATENATE(I6,"; ")),"shapenotesingings.com",CHAR(34),
"   options=",CHAR(34),"'Apple','Google','iCal','Outlook.com'",CHAR(34),"   styleLight=",CHAR(34),"--btn-background: #550000; --btn-text: #fff; --btn-shadow:#fff;",CHAR(34),
IF(W6=1,CONCATENATE(
"startDate=",CHAR(34),TEXT(G6,"yyyy-mm-dd"),CHAR(34),
"{endDate=",CHAR(34),TEXT(G6,"yyyy-mm-dd"),CHAR(34),
IF(OR(ISBLANK(AE6),ISBLANK(AF6)),"",(CONCATENATE(" startTime=",CHAR(34),TEXT(AE6,"hh:mm"),CHAR(34)," endTime=",CHAR(34),TEXT(AF6,"h:mm"),CHAR(34),
" timeZone=",CHAR(34),AG6,CHAR(34))))),
IF(W6=2,CONCATENATE(" dates='[{",
CHAR(34),"startDate",CHAR(34),":",CHAR(34),TEXT(G6,"yyyy-mm-dd"),CHAR(34),", ",
,CHAR(34),"endDate",CHAR(34),":",CHAR(34),TEXT(G6,"yyyy-mm-dd"),CHAR(34),
IF(OR(ISBLANK(AE6),ISBLANK(AF6)),"",(CONCATENATE(", ",CHAR(34),"startTime",CHAR(34),":",CHAR(34),TEXT(AE6,"hh:mm"),CHAR(34),", ",CHAR(34),"endTime",CHAR(34),":",CHAR(34),TEXT(AF6,"hh:mm"),CHAR(34),", ",CHAR(34),"timeZone",CHAR(34),":",CHAR(34),AG6,CHAR(34)))),"}, {",
,CHAR(34),"startDate",CHAR(34),":",CHAR(34),TEXT(G6+1,"yyyy-mm-dd"),CHAR(34),", ",
,CHAR(34),"endDate",CHAR(34),":",CHAR(34),TEXT(G6+W6-1,"yyyy-mm-dd"),CHAR(34),
IF(OR(ISBLANK(AE6),ISBLANK(AF6)),"",(CONCATENATE(", ",CHAR(34),"startTime",CHAR(34),":",CHAR(34),TEXT(AE6,"hh:mm"),CHAR(34),", ",CHAR(34),"endTime",CHAR(34),":",CHAR(34),TEXT(AF6,"hh:mm"),CHAR(34),", ",CHAR(34),"timeZone",CHAR(34),":",CHAR(34),AG6,CHAR(34)))),"}]'"),
CONCATENATE(
"{  startDate=",CHAR(34),TEXT(G6,"yyyy-mm-dd"),CHAR(34),
"  endDate=",CHAR(34),TEXT(G6+W6-1,"yyyy-mm-dd"),CHAR(34),"}"))),
" &gt;&lt;/add-to-calendar-button&gt;")</f>
        <v>&lt;add-to-calendar-button  name="Hamburg New Year's Singing"   location="Ecumenical Forum HafenCity, Shanghaiallee 12, 20457 Hamburg, Germany"   description="10:30am-4:30pm; shapenotesingings.com"   options="'Apple','Google','iCal','Outlook.com'"   styleLight="--btn-background: #550000; --btn-text: #fff; --btn-shadow:#fff;"startDate="2026-01-03"{endDate="2026-01-03" startTime="10:30" endTime="16:00" timeZone="Europe/Berlin" &gt;&lt;/add-to-calendar-button&gt;</v>
      </c>
      <c r="AE6" s="24">
        <v>0.4375</v>
      </c>
      <c r="AF6" s="24">
        <v>0.66666666666666663</v>
      </c>
      <c r="AG6" s="25" t="s">
        <v>1540</v>
      </c>
      <c r="AI6" s="4"/>
      <c r="AJ6" s="4"/>
      <c r="AK6" s="9"/>
    </row>
    <row r="7" spans="1:37" x14ac:dyDescent="0.3">
      <c r="A7" t="s">
        <v>8</v>
      </c>
      <c r="B7" t="s">
        <v>291</v>
      </c>
      <c r="C7" t="s">
        <v>1163</v>
      </c>
      <c r="D7" t="s">
        <v>2366</v>
      </c>
      <c r="E7" t="s">
        <v>2361</v>
      </c>
      <c r="F7" t="s">
        <v>2368</v>
      </c>
      <c r="G7" s="7">
        <f ca="1">X7</f>
        <v>46025</v>
      </c>
      <c r="H7" s="5" t="s">
        <v>2362</v>
      </c>
      <c r="I7" t="s">
        <v>1039</v>
      </c>
      <c r="L7" t="s">
        <v>2367</v>
      </c>
      <c r="M7" s="16" t="s">
        <v>2364</v>
      </c>
      <c r="N7" s="16" t="s">
        <v>2380</v>
      </c>
      <c r="O7" s="7">
        <v>45598</v>
      </c>
      <c r="P7" s="7" t="s">
        <v>2363</v>
      </c>
      <c r="Q7" s="18">
        <v>1</v>
      </c>
      <c r="R7" s="18">
        <v>1</v>
      </c>
      <c r="S7" s="18">
        <v>1</v>
      </c>
      <c r="T7" s="4">
        <f>DATE(AI$2,$Q7,1+(($R7-($S7&gt;=WEEKDAY(DATE(AI$2,$Q7,1))))*7)+($S7-WEEKDAY(DATE(AI$2,$Q7,1))))</f>
        <v>45662</v>
      </c>
      <c r="U7" s="4">
        <f>DATE(AJ$2,$Q7,1+(($R7-($S7&gt;=WEEKDAY(DATE(AJ$2,$Q7,1))))*7)+($S7-WEEKDAY(DATE(AJ$2,$Q7,1))))</f>
        <v>46026</v>
      </c>
      <c r="V7" s="20">
        <v>0</v>
      </c>
      <c r="W7" s="20">
        <v>2</v>
      </c>
      <c r="X7" s="4">
        <f ca="1">Y7-(W7-1)</f>
        <v>46025</v>
      </c>
      <c r="Y7" s="5">
        <f ca="1">IF(OR(T7+V7&lt;(NOW()-0.5),ISNUMBER(SEARCH("&lt;h4&gt;",K7))),U7+V7,T7+V7)</f>
        <v>46026</v>
      </c>
      <c r="Z7" t="str">
        <f ca="1">CONCATENATE(IF(OR(Y7=X7,ISBLANK(Y7)),TEXT(X7,"mmmm d"),CONCATENATE(TEXT(X7,"mmmm d"),"-",IF(TEXT(X7,"mmmm")=TEXT(Y7,"mmmm"),TEXT(Y7,"d"),TEXT(Y7,"mmmm d")))),", ",YEAR(Y7))</f>
        <v>January 3-4, 2026</v>
      </c>
      <c r="AA7" s="7">
        <f>O7</f>
        <v>45598</v>
      </c>
      <c r="AB7" s="14">
        <f>T7+V7-(W7-1)</f>
        <v>45661</v>
      </c>
      <c r="AC7" t="s">
        <v>2365</v>
      </c>
      <c r="AD7" s="23" t="str">
        <f ca="1">CONCATENATE("&lt;add-to-calendar-button  name=",CHAR(34),H7,CHAR(34),
IF(ISBLANK(M7),"",CONCATENATE("   location=",CHAR(34),RIGHT(M7,LEN(M7)-SEARCH("|",M7)-1),CHAR(34))),
"   description=",CHAR(34),IF(ISBLANK(I7),"",CONCATENATE(I7,"; ")),"shapenotesingings.com",CHAR(34),
"   options=",CHAR(34),"'Apple','Google','iCal','Outlook.com'",CHAR(34),"   styleLight=",CHAR(34),"--btn-background: #550000; --btn-text: #fff; --btn-shadow:#fff;",CHAR(34),
IF(W7=1,CONCATENATE(
"startDate=",CHAR(34),TEXT(G7,"yyyy-mm-dd"),CHAR(34),
"{endDate=",CHAR(34),TEXT(G7,"yyyy-mm-dd"),CHAR(34),
IF(OR(ISBLANK(AE7),ISBLANK(AF7)),"",(CONCATENATE(" startTime=",CHAR(34),TEXT(AE7,"hh:mm"),CHAR(34)," endTime=",CHAR(34),TEXT(AF7,"h:mm"),CHAR(34),
" timeZone=",CHAR(34),AG7,CHAR(34))))),
IF(W7=2,CONCATENATE(" dates='[{",
CHAR(34),"startDate",CHAR(34),":",CHAR(34),TEXT(G7,"yyyy-mm-dd"),CHAR(34),", ",
,CHAR(34),"endDate",CHAR(34),":",CHAR(34),TEXT(G7,"yyyy-mm-dd"),CHAR(34),
IF(OR(ISBLANK(AE7),ISBLANK(AF7)),"",(CONCATENATE(", ",CHAR(34),"startTime",CHAR(34),":",CHAR(34),TEXT(AE7,"hh:mm"),CHAR(34),", ",CHAR(34),"endTime",CHAR(34),":",CHAR(34),TEXT(AF7,"hh:mm"),CHAR(34),", ",CHAR(34),"timeZone",CHAR(34),":",CHAR(34),AG7,CHAR(34)))),"}, {",
,CHAR(34),"startDate",CHAR(34),":",CHAR(34),TEXT(G7+1,"yyyy-mm-dd"),CHAR(34),", ",
,CHAR(34),"endDate",CHAR(34),":",CHAR(34),TEXT(G7+W7-1,"yyyy-mm-dd"),CHAR(34),
IF(OR(ISBLANK(AE7),ISBLANK(AF7)),"",(CONCATENATE(", ",CHAR(34),"startTime",CHAR(34),":",CHAR(34),TEXT(AE7,"hh:mm"),CHAR(34),", ",CHAR(34),"endTime",CHAR(34),":",CHAR(34),TEXT(AF7,"hh:mm"),CHAR(34),", ",CHAR(34),"timeZone",CHAR(34),":",CHAR(34),AG7,CHAR(34)))),"}]'"),
CONCATENATE(
"{  startDate=",CHAR(34),TEXT(G7,"yyyy-mm-dd"),CHAR(34),
"  endDate=",CHAR(34),TEXT(G7+W7-1,"yyyy-mm-dd"),CHAR(34),"}"))),
" &gt;&lt;/add-to-calendar-button&gt;")</f>
        <v>&lt;add-to-calendar-button  name="Valley Pocket Harmonist Two-Day Singing"   location="Grace Episcopal Church Parish Hall (110 N. Church Street, Berryville VA) and Singing Hall (2336 Salem Church Rd, Boyce VA 22620) "   description="10am-3:30pm; shapenotesingings.com"   options="'Apple','Google','iCal','Outlook.com'"   styleLight="--btn-background: #550000; --btn-text: #fff; --btn-shadow:#fff;" dates='[{"startDate":"2026-01-03", "endDate":"2026-01-03", "startTime":"10:00", "endTime":"15:30", "timeZone":"America/New_York"}, {"startDate":"2026-01-04", "endDate":"2026-01-04", "startTime":"10:00", "endTime":"15:30", "timeZone":"America/New_York"}]' &gt;&lt;/add-to-calendar-button&gt;</v>
      </c>
      <c r="AE7" s="24">
        <v>0.41666666666666669</v>
      </c>
      <c r="AF7" s="24">
        <v>0.64583333333333337</v>
      </c>
      <c r="AG7" s="25" t="s">
        <v>1532</v>
      </c>
      <c r="AI7" s="4"/>
      <c r="AJ7" s="4"/>
      <c r="AK7" s="9"/>
    </row>
    <row r="8" spans="1:37" x14ac:dyDescent="0.3">
      <c r="A8" t="s">
        <v>8</v>
      </c>
      <c r="B8" t="s">
        <v>11</v>
      </c>
      <c r="C8" t="s">
        <v>1134</v>
      </c>
      <c r="D8" t="s">
        <v>255</v>
      </c>
      <c r="E8" t="s">
        <v>2178</v>
      </c>
      <c r="F8" t="s">
        <v>154</v>
      </c>
      <c r="G8" s="7">
        <f ca="1">X8</f>
        <v>46026</v>
      </c>
      <c r="H8" s="5" t="s">
        <v>153</v>
      </c>
      <c r="I8" t="s">
        <v>1028</v>
      </c>
      <c r="J8" s="36" t="s">
        <v>2526</v>
      </c>
      <c r="L8" t="s">
        <v>2464</v>
      </c>
      <c r="M8" s="16" t="s">
        <v>656</v>
      </c>
      <c r="N8" s="16" t="s">
        <v>657</v>
      </c>
      <c r="O8" s="7">
        <v>44936</v>
      </c>
      <c r="P8" s="7" t="s">
        <v>926</v>
      </c>
      <c r="Q8" s="18">
        <v>1</v>
      </c>
      <c r="R8" s="18">
        <v>1</v>
      </c>
      <c r="S8" s="18">
        <v>1</v>
      </c>
      <c r="T8" s="4">
        <f>DATE(AI$2,$Q8,1+(($R8-($S8&gt;=WEEKDAY(DATE(AI$2,$Q8,1))))*7)+($S8-WEEKDAY(DATE(AI$2,$Q8,1))))</f>
        <v>45662</v>
      </c>
      <c r="U8" s="4">
        <f>DATE(AJ$2,$Q8,1+(($R8-($S8&gt;=WEEKDAY(DATE(AJ$2,$Q8,1))))*7)+($S8-WEEKDAY(DATE(AJ$2,$Q8,1))))</f>
        <v>46026</v>
      </c>
      <c r="V8" s="20">
        <v>0</v>
      </c>
      <c r="W8" s="20">
        <v>1</v>
      </c>
      <c r="X8" s="4">
        <f ca="1">Y8-(W8-1)</f>
        <v>46026</v>
      </c>
      <c r="Y8" s="5">
        <f ca="1">IF(OR(T8+V8&lt;(NOW()-0.5),ISNUMBER(SEARCH("&lt;h4&gt;",K8))),U8+V8,T8+V8)</f>
        <v>46026</v>
      </c>
      <c r="Z8" t="str">
        <f ca="1">CONCATENATE(IF(OR(Y8=X8,ISBLANK(Y8)),TEXT(X8,"mmmm d"),CONCATENATE(TEXT(X8,"mmmm d"),"-",TEXT(Y8,"d"))),", ",YEAR(Y8))</f>
        <v>January 4, 2026</v>
      </c>
      <c r="AA8" s="7">
        <f>O8</f>
        <v>44936</v>
      </c>
      <c r="AB8" s="14">
        <f>T8+V8-(W8-1)</f>
        <v>45662</v>
      </c>
      <c r="AC8" t="s">
        <v>1197</v>
      </c>
      <c r="AD8" s="23" t="str">
        <f ca="1">CONCATENATE("&lt;add-to-calendar-button  name=",CHAR(34),H8,CHAR(34),
IF(ISBLANK(M8),"",CONCATENATE("   location=",CHAR(34),RIGHT(M8,LEN(M8)-SEARCH("|",M8)-1),CHAR(34))),
"   description=",CHAR(34),IF(ISBLANK(I8),"",CONCATENATE(I8,"; ")),"shapenotesingings.com",CHAR(34),
"   options=",CHAR(34),"'Apple','Google','iCal','Outlook.com'",CHAR(34),"   styleLight=",CHAR(34),"--btn-background: #550000; --btn-text: #fff; --btn-shadow:#fff;",CHAR(34),
IF(W8=1,CONCATENATE(
"startDate=",CHAR(34),TEXT(G8,"yyyy-mm-dd"),CHAR(34),
"{endDate=",CHAR(34),TEXT(G8,"yyyy-mm-dd"),CHAR(34),
IF(OR(ISBLANK(AE8),ISBLANK(AF8)),"",(CONCATENATE(" startTime=",CHAR(34),TEXT(AE8,"hh:mm"),CHAR(34)," endTime=",CHAR(34),TEXT(AF8,"h:mm"),CHAR(34),
" timeZone=",CHAR(34),AG8,CHAR(34))))),
IF(W8=2,CONCATENATE(" dates='[{",
CHAR(34),"startDate",CHAR(34),":",CHAR(34),TEXT(G8,"yyyy-mm-dd"),CHAR(34),", ",
,CHAR(34),"endDate",CHAR(34),":",CHAR(34),TEXT(G8,"yyyy-mm-dd"),CHAR(34),
IF(OR(ISBLANK(AE8),ISBLANK(AF8)),"",(CONCATENATE(", ",CHAR(34),"startTime",CHAR(34),":",CHAR(34),TEXT(AE8,"hh:mm"),CHAR(34),", ",CHAR(34),"endTime",CHAR(34),":",CHAR(34),TEXT(AF8,"hh:mm"),CHAR(34),", ",CHAR(34),"timeZone",CHAR(34),":",CHAR(34),AG8,CHAR(34)))),"}, {",
,CHAR(34),"startDate",CHAR(34),":",CHAR(34),TEXT(G8+1,"yyyy-mm-dd"),CHAR(34),", ",
,CHAR(34),"endDate",CHAR(34),":",CHAR(34),TEXT(G8+W8-1,"yyyy-mm-dd"),CHAR(34),
IF(OR(ISBLANK(AE8),ISBLANK(AF8)),"",(CONCATENATE(", ",CHAR(34),"startTime",CHAR(34),":",CHAR(34),TEXT(AE8,"hh:mm"),CHAR(34),", ",CHAR(34),"endTime",CHAR(34),":",CHAR(34),TEXT(AF8,"hh:mm"),CHAR(34),", ",CHAR(34),"timeZone",CHAR(34),":",CHAR(34),AG8,CHAR(34)))),"}]'"),
CONCATENATE(
"{  startDate=",CHAR(34),TEXT(G8,"yyyy-mm-dd"),CHAR(34),
"  endDate=",CHAR(34),TEXT(G8+W8-1,"yyyy-mm-dd"),CHAR(34),"}"))),
" &gt;&lt;/add-to-calendar-button&gt;")</f>
        <v>&lt;add-to-calendar-button  name="Shady Grove Singing"   location="Shady Grove Primitive Baptist Church, Double Springs AL - 34.18892986800541, -87.42600710374485"   description="10am; shapenotesingings.com"   options="'Apple','Google','iCal','Outlook.com'"   styleLight="--btn-background: #550000; --btn-text: #fff; --btn-shadow:#fff;"startDate="2026-01-04"{endDate="2026-01-04" startTime="10:00" endTime="15:30" timeZone="America/Chicago" &gt;&lt;/add-to-calendar-button&gt;</v>
      </c>
      <c r="AE8" s="24">
        <v>0.41666666666666669</v>
      </c>
      <c r="AF8" s="24">
        <v>0.64583333333333337</v>
      </c>
      <c r="AG8" s="25" t="s">
        <v>1533</v>
      </c>
      <c r="AK8" s="9" t="s">
        <v>923</v>
      </c>
    </row>
    <row r="9" spans="1:37" x14ac:dyDescent="0.3">
      <c r="A9" t="s">
        <v>8</v>
      </c>
      <c r="B9" t="s">
        <v>11</v>
      </c>
      <c r="C9" t="s">
        <v>1134</v>
      </c>
      <c r="D9" t="s">
        <v>160</v>
      </c>
      <c r="E9" t="s">
        <v>2178</v>
      </c>
      <c r="F9" t="s">
        <v>161</v>
      </c>
      <c r="G9" s="7">
        <f ca="1">X9</f>
        <v>46032</v>
      </c>
      <c r="H9" s="5" t="s">
        <v>162</v>
      </c>
      <c r="I9" t="s">
        <v>1034</v>
      </c>
      <c r="J9" s="36" t="s">
        <v>2527</v>
      </c>
      <c r="K9" s="6"/>
      <c r="L9" t="s">
        <v>2522</v>
      </c>
      <c r="M9" s="16" t="s">
        <v>987</v>
      </c>
      <c r="N9" s="16" t="s">
        <v>899</v>
      </c>
      <c r="O9" s="7">
        <v>44936</v>
      </c>
      <c r="P9" s="7" t="s">
        <v>926</v>
      </c>
      <c r="Q9" s="18">
        <v>1</v>
      </c>
      <c r="R9" s="18">
        <v>2</v>
      </c>
      <c r="S9" s="18">
        <v>1</v>
      </c>
      <c r="T9" s="4">
        <f>DATE(AI$2,$Q9,1+(($R9-($S9&gt;=WEEKDAY(DATE(AI$2,$Q9,1))))*7)+($S9-WEEKDAY(DATE(AI$2,$Q9,1))))</f>
        <v>45669</v>
      </c>
      <c r="U9" s="4">
        <f>DATE(AJ$2,$Q9,1+(($R9-($S9&gt;=WEEKDAY(DATE(AJ$2,$Q9,1))))*7)+($S9-WEEKDAY(DATE(AJ$2,$Q9,1))))</f>
        <v>46033</v>
      </c>
      <c r="V9" s="20">
        <v>-1</v>
      </c>
      <c r="W9" s="20">
        <v>1</v>
      </c>
      <c r="X9" s="4">
        <f ca="1">Y9-(W9-1)</f>
        <v>46032</v>
      </c>
      <c r="Y9" s="5">
        <f ca="1">IF(OR(T9+V9&lt;(NOW()-0.5),ISNUMBER(SEARCH("&lt;h4&gt;",K9))),U9+V9,T9+V9)</f>
        <v>46032</v>
      </c>
      <c r="Z9" t="str">
        <f ca="1">CONCATENATE(IF(OR(Y9=X9,ISBLANK(Y9)),TEXT(X9,"mmmm d"),CONCATENATE(TEXT(X9,"mmmm d"),"-",TEXT(Y9,"d"))),", ",YEAR(Y9))</f>
        <v>January 10, 2026</v>
      </c>
      <c r="AA9" s="7">
        <f>O9</f>
        <v>44936</v>
      </c>
      <c r="AB9" s="14">
        <f>T9+V9-(W9-1)</f>
        <v>45668</v>
      </c>
      <c r="AC9" t="s">
        <v>1201</v>
      </c>
      <c r="AD9" s="23" t="str">
        <f ca="1">CONCATENATE("&lt;add-to-calendar-button  name=",CHAR(34),H9,CHAR(34),
IF(ISBLANK(M9),"",CONCATENATE("   location=",CHAR(34),RIGHT(M9,LEN(M9)-SEARCH("|",M9)-1),CHAR(34))),
"   description=",CHAR(34),IF(ISBLANK(I9),"",CONCATENATE(I9,"; ")),"shapenotesingings.com",CHAR(34),
"   options=",CHAR(34),"'Apple','Google','iCal','Outlook.com'",CHAR(34),"   styleLight=",CHAR(34),"--btn-background: #550000; --btn-text: #fff; --btn-shadow:#fff;",CHAR(34),
IF(W9=1,CONCATENATE(
"startDate=",CHAR(34),TEXT(G9,"yyyy-mm-dd"),CHAR(34),
"{endDate=",CHAR(34),TEXT(G9,"yyyy-mm-dd"),CHAR(34),
IF(OR(ISBLANK(AE9),ISBLANK(AF9)),"",(CONCATENATE(" startTime=",CHAR(34),TEXT(AE9,"hh:mm"),CHAR(34)," endTime=",CHAR(34),TEXT(AF9,"h:mm"),CHAR(34),
" timeZone=",CHAR(34),AG9,CHAR(34))))),
IF(W9=2,CONCATENATE(" dates='[{",
CHAR(34),"startDate",CHAR(34),":",CHAR(34),TEXT(G9,"yyyy-mm-dd"),CHAR(34),", ",
,CHAR(34),"endDate",CHAR(34),":",CHAR(34),TEXT(G9,"yyyy-mm-dd"),CHAR(34),
IF(OR(ISBLANK(AE9),ISBLANK(AF9)),"",(CONCATENATE(", ",CHAR(34),"startTime",CHAR(34),":",CHAR(34),TEXT(AE9,"hh:mm"),CHAR(34),", ",CHAR(34),"endTime",CHAR(34),":",CHAR(34),TEXT(AF9,"hh:mm"),CHAR(34),", ",CHAR(34),"timeZone",CHAR(34),":",CHAR(34),AG9,CHAR(34)))),"}, {",
,CHAR(34),"startDate",CHAR(34),":",CHAR(34),TEXT(G9+1,"yyyy-mm-dd"),CHAR(34),", ",
,CHAR(34),"endDate",CHAR(34),":",CHAR(34),TEXT(G9+W9-1,"yyyy-mm-dd"),CHAR(34),
IF(OR(ISBLANK(AE9),ISBLANK(AF9)),"",(CONCATENATE(", ",CHAR(34),"startTime",CHAR(34),":",CHAR(34),TEXT(AE9,"hh:mm"),CHAR(34),", ",CHAR(34),"endTime",CHAR(34),":",CHAR(34),TEXT(AF9,"hh:mm"),CHAR(34),", ",CHAR(34),"timeZone",CHAR(34),":",CHAR(34),AG9,CHAR(34)))),"}]'"),
CONCATENATE(
"{  startDate=",CHAR(34),TEXT(G9,"yyyy-mm-dd"),CHAR(34),
"  endDate=",CHAR(34),TEXT(G9+W9-1,"yyyy-mm-dd"),CHAR(34),"}"))),
" &gt;&lt;/add-to-calendar-button&gt;")</f>
        <v>&lt;add-to-calendar-button  name="Lillian Calvert and Irene Woodley Memorial"   location="Pleasant Grove Primitive Baptist Church, 179 Boldo Cemetery Rd, Boldo AL"   description="6pm; shapenotesingings.com"   options="'Apple','Google','iCal','Outlook.com'"   styleLight="--btn-background: #550000; --btn-text: #fff; --btn-shadow:#fff;"startDate="2026-01-10"{endDate="2026-01-10" &gt;&lt;/add-to-calendar-button&gt;</v>
      </c>
      <c r="AG9" s="25" t="s">
        <v>1533</v>
      </c>
      <c r="AH9" t="s">
        <v>94</v>
      </c>
      <c r="AI9" s="4" t="s">
        <v>95</v>
      </c>
      <c r="AJ9" s="4"/>
    </row>
    <row r="10" spans="1:37" x14ac:dyDescent="0.3">
      <c r="A10" t="s">
        <v>8</v>
      </c>
      <c r="B10" t="s">
        <v>102</v>
      </c>
      <c r="C10" t="s">
        <v>1064</v>
      </c>
      <c r="D10" t="s">
        <v>1888</v>
      </c>
      <c r="E10" t="s">
        <v>2179</v>
      </c>
      <c r="F10" t="s">
        <v>1892</v>
      </c>
      <c r="G10" s="7">
        <f ca="1">X10</f>
        <v>46032</v>
      </c>
      <c r="H10" s="5" t="s">
        <v>1889</v>
      </c>
      <c r="I10" t="s">
        <v>1048</v>
      </c>
      <c r="J10" s="36" t="s">
        <v>2528</v>
      </c>
      <c r="K10" t="s">
        <v>2389</v>
      </c>
      <c r="L10" t="s">
        <v>2387</v>
      </c>
      <c r="M10" s="16" t="s">
        <v>1890</v>
      </c>
      <c r="N10" s="16" t="s">
        <v>1891</v>
      </c>
      <c r="O10" s="7">
        <v>45306</v>
      </c>
      <c r="P10" s="7" t="s">
        <v>2388</v>
      </c>
      <c r="Q10" s="18">
        <v>1</v>
      </c>
      <c r="R10" s="18">
        <v>2</v>
      </c>
      <c r="S10" s="18">
        <v>1</v>
      </c>
      <c r="T10" s="4">
        <f>DATE(AI$2,$Q10,1+(($R10-($S10&gt;=WEEKDAY(DATE(AI$2,$Q10,1))))*7)+($S10-WEEKDAY(DATE(AI$2,$Q10,1))))</f>
        <v>45669</v>
      </c>
      <c r="U10" s="4">
        <f>DATE(AJ$2,$Q10,1+(($R10-($S10&gt;=WEEKDAY(DATE(AJ$2,$Q10,1))))*7)+($S10-WEEKDAY(DATE(AJ$2,$Q10,1))))</f>
        <v>46033</v>
      </c>
      <c r="V10" s="20">
        <v>0</v>
      </c>
      <c r="W10" s="20">
        <v>2</v>
      </c>
      <c r="X10" s="4">
        <f ca="1">Y10-(W10-1)</f>
        <v>46032</v>
      </c>
      <c r="Y10" s="5">
        <f ca="1">IF(OR(T10+V10&lt;(NOW()-0.5),ISNUMBER(SEARCH("&lt;h4&gt;",K10))),U10+V10,T10+V10)</f>
        <v>46033</v>
      </c>
      <c r="Z10" t="str">
        <f ca="1">CONCATENATE(IF(OR(Y10=X10,ISBLANK(Y10)),TEXT(X10,"mmmm d"),CONCATENATE(TEXT(X10,"mmmm d"),"-",IF(TEXT(X10,"mmmm")=TEXT(Y10,"mmmm"),TEXT(Y10,"d"),TEXT(Y10,"mmmm d")))),", ",YEAR(Y10))</f>
        <v>January 10-11, 2026</v>
      </c>
      <c r="AA10" s="7">
        <f>O10</f>
        <v>45306</v>
      </c>
      <c r="AB10" s="14">
        <f>T10+V10-(W10-1)</f>
        <v>45668</v>
      </c>
      <c r="AC10" t="s">
        <v>1202</v>
      </c>
      <c r="AD10" s="23" t="str">
        <f ca="1">CONCATENATE("&lt;add-to-calendar-button  name=",CHAR(34),H10,CHAR(34),
IF(ISBLANK(M10),"",CONCATENATE("   location=",CHAR(34),RIGHT(M10,LEN(M10)-SEARCH("|",M10)-1),CHAR(34))),
"   description=",CHAR(34),IF(ISBLANK(I10),"",CONCATENATE(I10,"; ")),"shapenotesingings.com",CHAR(34),
"   options=",CHAR(34),"'Apple','Google','iCal','Outlook.com'",CHAR(34),"   styleLight=",CHAR(34),"--btn-background: #550000; --btn-text: #fff; --btn-shadow:#fff;",CHAR(34),
IF(W10=1,CONCATENATE(
"startDate=",CHAR(34),TEXT(G10,"yyyy-mm-dd"),CHAR(34),
"{endDate=",CHAR(34),TEXT(G10,"yyyy-mm-dd"),CHAR(34),
IF(OR(ISBLANK(AE10),ISBLANK(AF10)),"",(CONCATENATE(" startTime=",CHAR(34),TEXT(AE10,"hh:mm"),CHAR(34)," endTime=",CHAR(34),TEXT(AF10,"h:mm"),CHAR(34),
" timeZone=",CHAR(34),AG10,CHAR(34))))),
IF(W10=2,CONCATENATE(" dates='[{",
CHAR(34),"startDate",CHAR(34),":",CHAR(34),TEXT(G10,"yyyy-mm-dd"),CHAR(34),", ",
,CHAR(34),"endDate",CHAR(34),":",CHAR(34),TEXT(G10,"yyyy-mm-dd"),CHAR(34),
IF(OR(ISBLANK(AE10),ISBLANK(AF10)),"",(CONCATENATE(", ",CHAR(34),"startTime",CHAR(34),":",CHAR(34),TEXT(AE10,"hh:mm"),CHAR(34),", ",CHAR(34),"endTime",CHAR(34),":",CHAR(34),TEXT(AF10,"hh:mm"),CHAR(34),", ",CHAR(34),"timeZone",CHAR(34),":",CHAR(34),AG10,CHAR(34)))),"}, {",
,CHAR(34),"startDate",CHAR(34),":",CHAR(34),TEXT(G10+1,"yyyy-mm-dd"),CHAR(34),", ",
,CHAR(34),"endDate",CHAR(34),":",CHAR(34),TEXT(G10+W10-1,"yyyy-mm-dd"),CHAR(34),
IF(OR(ISBLANK(AE10),ISBLANK(AF10)),"",(CONCATENATE(", ",CHAR(34),"startTime",CHAR(34),":",CHAR(34),TEXT(AE10,"hh:mm"),CHAR(34),", ",CHAR(34),"endTime",CHAR(34),":",CHAR(34),TEXT(AF10,"hh:mm"),CHAR(34),", ",CHAR(34),"timeZone",CHAR(34),":",CHAR(34),AG10,CHAR(34)))),"}]'"),
CONCATENATE(
"{  startDate=",CHAR(34),TEXT(G10,"yyyy-mm-dd"),CHAR(34),
"  endDate=",CHAR(34),TEXT(G10+W10-1,"yyyy-mm-dd"),CHAR(34),"}"))),
" &gt;&lt;/add-to-calendar-button&gt;")</f>
        <v>&lt;add-to-calendar-button  name="Central Florida All-Day Sacred Harp Singing"   location="St. Paul's Presbyterian Church, 4917 Eli St, Orlando, FL 32804"   description="9:30am-3pm; shapenotesingings.com"   options="'Apple','Google','iCal','Outlook.com'"   styleLight="--btn-background: #550000; --btn-text: #fff; --btn-shadow:#fff;" dates='[{"startDate":"2026-01-10", "endDate":"2026-01-10", "startTime":"09:30", "endTime":"15:00", "timeZone":"America/New_York"}, {"startDate":"2026-01-11", "endDate":"2026-01-11", "startTime":"09:30", "endTime":"15:00", "timeZone":"America/New_York"}]' &gt;&lt;/add-to-calendar-button&gt;</v>
      </c>
      <c r="AE10" s="24">
        <v>0.39583333333333331</v>
      </c>
      <c r="AF10" s="24">
        <v>0.625</v>
      </c>
      <c r="AG10" s="25" t="s">
        <v>1532</v>
      </c>
      <c r="AH10">
        <v>1</v>
      </c>
      <c r="AI10" s="4" t="str">
        <f>IF(DATE($AI$2,AH10,1+((5-(1&gt;=WEEKDAY(DATE($AI$2,AH10,1))))*7)+(1-WEEKDAY(DATE($AI$2,AH10,1))))&gt;=DATE($AI$2,AH10+1,1),"",DATE($AI$2,AH10,1+((5-(1&gt;=WEEKDAY(DATE($AI$2,AH10,1))))*7)+(1-WEEKDAY(DATE($AI$2,AH10,1)))))</f>
        <v/>
      </c>
      <c r="AJ10" s="4" t="str">
        <f>IF(DATE($AJ$2,AH10,1+((5-(1&gt;=WEEKDAY(DATE($AJ$2,AH10,1))))*7)+(1-WEEKDAY(DATE($AJ$2,AH10,1))))&gt;=DATE($AJ$2,AH10+1,1),"",DATE($AJ$2,AH10,1+((5-(1&gt;=WEEKDAY(DATE($AJ$2,AH10,1))))*7)+(1-WEEKDAY(DATE($AJ$2,AH10,1)))))</f>
        <v/>
      </c>
    </row>
    <row r="11" spans="1:37" x14ac:dyDescent="0.3">
      <c r="A11" t="s">
        <v>8</v>
      </c>
      <c r="B11" t="s">
        <v>11</v>
      </c>
      <c r="C11" t="s">
        <v>1134</v>
      </c>
      <c r="D11" t="s">
        <v>168</v>
      </c>
      <c r="E11" t="s">
        <v>34</v>
      </c>
      <c r="F11" t="s">
        <v>161</v>
      </c>
      <c r="G11" s="7">
        <f ca="1">X11</f>
        <v>46032</v>
      </c>
      <c r="H11" s="5" t="s">
        <v>167</v>
      </c>
      <c r="L11" t="s">
        <v>953</v>
      </c>
      <c r="M11" s="16" t="s">
        <v>169</v>
      </c>
      <c r="N11" s="16" t="s">
        <v>170</v>
      </c>
      <c r="O11" s="7">
        <v>44936</v>
      </c>
      <c r="P11" s="7" t="s">
        <v>2431</v>
      </c>
      <c r="Q11" s="18">
        <v>1</v>
      </c>
      <c r="R11" s="18">
        <v>2</v>
      </c>
      <c r="S11" s="18">
        <v>1</v>
      </c>
      <c r="T11" s="4">
        <f>DATE(AI$2,$Q11,1+(($R11-($S11&gt;=WEEKDAY(DATE(AI$2,$Q11,1))))*7)+($S11-WEEKDAY(DATE(AI$2,$Q11,1))))</f>
        <v>45669</v>
      </c>
      <c r="U11" s="4">
        <f>DATE(AJ$2,$Q11,1+(($R11-($S11&gt;=WEEKDAY(DATE(AJ$2,$Q11,1))))*7)+($S11-WEEKDAY(DATE(AJ$2,$Q11,1))))</f>
        <v>46033</v>
      </c>
      <c r="V11" s="20">
        <v>-1</v>
      </c>
      <c r="W11" s="20">
        <v>1</v>
      </c>
      <c r="X11" s="4">
        <f ca="1">Y11-(W11-1)</f>
        <v>46032</v>
      </c>
      <c r="Y11" s="5">
        <f ca="1">IF(OR(T11+V11&lt;(NOW()-0.5),ISNUMBER(SEARCH("&lt;h4&gt;",K11))),U11+V11,T11+V11)</f>
        <v>46032</v>
      </c>
      <c r="Z11" t="str">
        <f ca="1">CONCATENATE(IF(OR(Y11=X11,ISBLANK(Y11)),TEXT(X11,"mmmm d"),CONCATENATE(TEXT(X11,"mmmm d"),"-",IF(TEXT(X11,"mmmm")=TEXT(Y11,"mmmm"),TEXT(Y11,"d"),TEXT(Y11,"mmmm d")))),", ",YEAR(Y11))</f>
        <v>January 10, 2026</v>
      </c>
      <c r="AA11" s="7">
        <f>O11</f>
        <v>44936</v>
      </c>
      <c r="AB11" s="14">
        <f>T11+V11-(W11-1)</f>
        <v>45668</v>
      </c>
      <c r="AC11" t="s">
        <v>1203</v>
      </c>
      <c r="AD11" s="23" t="str">
        <f ca="1">CONCATENATE("&lt;add-to-calendar-button  name=",CHAR(34),H11,CHAR(34),
IF(ISBLANK(M11),"",CONCATENATE("   location=",CHAR(34),RIGHT(M11,LEN(M11)-SEARCH("|",M11)-1),CHAR(34))),
"   description=",CHAR(34),IF(ISBLANK(I11),"",CONCATENATE(I11,"; ")),"shapenotesingings.com",CHAR(34),
"   options=",CHAR(34),"'Apple','Google','iCal','Outlook.com'",CHAR(34),"   styleLight=",CHAR(34),"--btn-background: #550000; --btn-text: #fff; --btn-shadow:#fff;",CHAR(34),
IF(W11=1,CONCATENATE(
"startDate=",CHAR(34),TEXT(G11,"yyyy-mm-dd"),CHAR(34),
"{endDate=",CHAR(34),TEXT(G11,"yyyy-mm-dd"),CHAR(34),
IF(OR(ISBLANK(AE11),ISBLANK(AF11)),"",(CONCATENATE(" startTime=",CHAR(34),TEXT(AE11,"hh:mm"),CHAR(34)," endTime=",CHAR(34),TEXT(AF11,"h:mm"),CHAR(34),
" timeZone=",CHAR(34),AG11,CHAR(34))))),
IF(W11=2,CONCATENATE(" dates='[{",
CHAR(34),"startDate",CHAR(34),":",CHAR(34),TEXT(G11,"yyyy-mm-dd"),CHAR(34),", ",
,CHAR(34),"endDate",CHAR(34),":",CHAR(34),TEXT(G11,"yyyy-mm-dd"),CHAR(34),
IF(OR(ISBLANK(AE11),ISBLANK(AF11)),"",(CONCATENATE(", ",CHAR(34),"startTime",CHAR(34),":",CHAR(34),TEXT(AE11,"hh:mm"),CHAR(34),", ",CHAR(34),"endTime",CHAR(34),":",CHAR(34),TEXT(AF11,"hh:mm"),CHAR(34),", ",CHAR(34),"timeZone",CHAR(34),":",CHAR(34),AG11,CHAR(34)))),"}, {",
,CHAR(34),"startDate",CHAR(34),":",CHAR(34),TEXT(G11+1,"yyyy-mm-dd"),CHAR(34),", ",
,CHAR(34),"endDate",CHAR(34),":",CHAR(34),TEXT(G11+W11-1,"yyyy-mm-dd"),CHAR(34),
IF(OR(ISBLANK(AE11),ISBLANK(AF11)),"",(CONCATENATE(", ",CHAR(34),"startTime",CHAR(34),":",CHAR(34),TEXT(AE11,"hh:mm"),CHAR(34),", ",CHAR(34),"endTime",CHAR(34),":",CHAR(34),TEXT(AF11,"hh:mm"),CHAR(34),", ",CHAR(34),"timeZone",CHAR(34),":",CHAR(34),AG11,CHAR(34)))),"}]'"),
CONCATENATE(
"{  startDate=",CHAR(34),TEXT(G11,"yyyy-mm-dd"),CHAR(34),
"  endDate=",CHAR(34),TEXT(G11+W11-1,"yyyy-mm-dd"),CHAR(34),"}"))),
" &gt;&lt;/add-to-calendar-button&gt;")</f>
        <v>&lt;add-to-calendar-button  name="Helms-Bayne Memorial"   location="Pleasant Grove PBC, 1201 Eufaula St, Ozark, AL 36360"   description="shapenotesingings.com"   options="'Apple','Google','iCal','Outlook.com'"   styleLight="--btn-background: #550000; --btn-text: #fff; --btn-shadow:#fff;"startDate="2026-01-10"{endDate="2026-01-10" &gt;&lt;/add-to-calendar-button&gt;</v>
      </c>
      <c r="AG11" s="25" t="s">
        <v>1533</v>
      </c>
      <c r="AH11">
        <v>2</v>
      </c>
      <c r="AI11" s="4" t="str">
        <f>IF(DATE($AI$2,AH11,1+((5-(1&gt;=WEEKDAY(DATE($AI$2,AH11,1))))*7)+(1-WEEKDAY(DATE($AI$2,AH11,1))))&gt;=DATE($AI$2,AH11+1,1),"",DATE($AI$2,AH11,1+((5-(1&gt;=WEEKDAY(DATE($AI$2,AH11,1))))*7)+(1-WEEKDAY(DATE($AI$2,AH11,1)))))</f>
        <v/>
      </c>
      <c r="AJ11" s="4" t="str">
        <f>IF(DATE($AJ$2,AH11,1+((5-(1&gt;=WEEKDAY(DATE($AJ$2,AH11,1))))*7)+(1-WEEKDAY(DATE($AJ$2,AH11,1))))&gt;=DATE($AJ$2,AH11+1,1),"",DATE($AJ$2,AH11,1+((5-(1&gt;=WEEKDAY(DATE($AJ$2,AH11,1))))*7)+(1-WEEKDAY(DATE($AJ$2,AH11,1)))))</f>
        <v/>
      </c>
    </row>
    <row r="12" spans="1:37" x14ac:dyDescent="0.3">
      <c r="A12" t="s">
        <v>8</v>
      </c>
      <c r="B12" t="s">
        <v>36</v>
      </c>
      <c r="C12" t="s">
        <v>1142</v>
      </c>
      <c r="D12" t="s">
        <v>37</v>
      </c>
      <c r="E12" t="s">
        <v>2178</v>
      </c>
      <c r="F12" t="s">
        <v>157</v>
      </c>
      <c r="G12" s="7">
        <f ca="1">X12</f>
        <v>46033</v>
      </c>
      <c r="H12" s="5" t="s">
        <v>156</v>
      </c>
      <c r="I12" t="s">
        <v>1605</v>
      </c>
      <c r="J12" s="36" t="s">
        <v>2529</v>
      </c>
      <c r="L12" t="s">
        <v>1970</v>
      </c>
      <c r="M12" s="16" t="s">
        <v>158</v>
      </c>
      <c r="N12" s="16" t="s">
        <v>159</v>
      </c>
      <c r="O12" s="7">
        <v>44927</v>
      </c>
      <c r="P12" s="7" t="s">
        <v>939</v>
      </c>
      <c r="Q12" s="18">
        <v>1</v>
      </c>
      <c r="R12" s="18">
        <v>2</v>
      </c>
      <c r="S12" s="18">
        <v>1</v>
      </c>
      <c r="T12" s="4">
        <f>DATE(AI$2,$Q12,1+(($R12-($S12&gt;=WEEKDAY(DATE(AI$2,$Q12,1))))*7)+($S12-WEEKDAY(DATE(AI$2,$Q12,1))))</f>
        <v>45669</v>
      </c>
      <c r="U12" s="4">
        <f>DATE(AJ$2,$Q12,1+(($R12-($S12&gt;=WEEKDAY(DATE(AJ$2,$Q12,1))))*7)+($S12-WEEKDAY(DATE(AJ$2,$Q12,1))))</f>
        <v>46033</v>
      </c>
      <c r="V12" s="20">
        <v>0</v>
      </c>
      <c r="W12" s="20">
        <v>1</v>
      </c>
      <c r="X12" s="4">
        <f ca="1">Y12-(W12-1)</f>
        <v>46033</v>
      </c>
      <c r="Y12" s="5">
        <f ca="1">IF(OR(T12+V12&lt;(NOW()-0.5),ISNUMBER(SEARCH("&lt;h4&gt;",K12))),U12+V12,T12+V12)</f>
        <v>46033</v>
      </c>
      <c r="Z12" t="str">
        <f ca="1">CONCATENATE(IF(OR(Y12=X12,ISBLANK(Y12)),TEXT(X12,"mmmm d"),CONCATENATE(TEXT(X12,"mmmm d"),"-",IF(TEXT(X12,"mmmm")=TEXT(Y12,"mmmm"),TEXT(Y12,"d"),TEXT(Y12,"mmmm d")))),", ",YEAR(Y12))</f>
        <v>January 11, 2026</v>
      </c>
      <c r="AA12" s="7">
        <f>O12</f>
        <v>44927</v>
      </c>
      <c r="AB12" s="14">
        <f>T12+V12-(W12-1)</f>
        <v>45669</v>
      </c>
      <c r="AC12" t="s">
        <v>1204</v>
      </c>
      <c r="AD12" s="23" t="str">
        <f ca="1">CONCATENATE("&lt;add-to-calendar-button  name=",CHAR(34),H12,CHAR(34),
IF(ISBLANK(M12),"",CONCATENATE("   location=",CHAR(34),RIGHT(M12,LEN(M12)-SEARCH("|",M12)-1),CHAR(34))),
"   description=",CHAR(34),IF(ISBLANK(I12),"",CONCATENATE(I12,"; ")),"shapenotesingings.com",CHAR(34),
"   options=",CHAR(34),"'Apple','Google','iCal','Outlook.com'",CHAR(34),"   styleLight=",CHAR(34),"--btn-background: #550000; --btn-text: #fff; --btn-shadow:#fff;",CHAR(34),
IF(W12=1,CONCATENATE(
"startDate=",CHAR(34),TEXT(G12,"yyyy-mm-dd"),CHAR(34),
"{endDate=",CHAR(34),TEXT(G12,"yyyy-mm-dd"),CHAR(34),
IF(OR(ISBLANK(AE12),ISBLANK(AF12)),"",(CONCATENATE(" startTime=",CHAR(34),TEXT(AE12,"hh:mm"),CHAR(34)," endTime=",CHAR(34),TEXT(AF12,"h:mm"),CHAR(34),
" timeZone=",CHAR(34),AG12,CHAR(34))))),
IF(W12=2,CONCATENATE(" dates='[{",
CHAR(34),"startDate",CHAR(34),":",CHAR(34),TEXT(G12,"yyyy-mm-dd"),CHAR(34),", ",
,CHAR(34),"endDate",CHAR(34),":",CHAR(34),TEXT(G12,"yyyy-mm-dd"),CHAR(34),
IF(OR(ISBLANK(AE12),ISBLANK(AF12)),"",(CONCATENATE(", ",CHAR(34),"startTime",CHAR(34),":",CHAR(34),TEXT(AE12,"hh:mm"),CHAR(34),", ",CHAR(34),"endTime",CHAR(34),":",CHAR(34),TEXT(AF12,"hh:mm"),CHAR(34),", ",CHAR(34),"timeZone",CHAR(34),":",CHAR(34),AG12,CHAR(34)))),"}, {",
,CHAR(34),"startDate",CHAR(34),":",CHAR(34),TEXT(G12+1,"yyyy-mm-dd"),CHAR(34),", ",
,CHAR(34),"endDate",CHAR(34),":",CHAR(34),TEXT(G12+W12-1,"yyyy-mm-dd"),CHAR(34),
IF(OR(ISBLANK(AE12),ISBLANK(AF12)),"",(CONCATENATE(", ",CHAR(34),"startTime",CHAR(34),":",CHAR(34),TEXT(AE12,"hh:mm"),CHAR(34),", ",CHAR(34),"endTime",CHAR(34),":",CHAR(34),TEXT(AF12,"hh:mm"),CHAR(34),", ",CHAR(34),"timeZone",CHAR(34),":",CHAR(34),AG12,CHAR(34)))),"}]'"),
CONCATENATE(
"{  startDate=",CHAR(34),TEXT(G12,"yyyy-mm-dd"),CHAR(34),
"  endDate=",CHAR(34),TEXT(G12+W12-1,"yyyy-mm-dd"),CHAR(34),"}"))),
" &gt;&lt;/add-to-calendar-button&gt;")</f>
        <v>&lt;add-to-calendar-button  name="Chicago Anniversary Singing"   location="Kilbourn Park fieldhouse, 3501 N Kilbourn, Chicago"   description="9:30am-3:00pm; shapenotesingings.com"   options="'Apple','Google','iCal','Outlook.com'"   styleLight="--btn-background: #550000; --btn-text: #fff; --btn-shadow:#fff;"startDate="2026-01-11"{endDate="2026-01-11" startTime="09:30" endTime="15:00" timeZone="America/Chicago" &gt;&lt;/add-to-calendar-button&gt;</v>
      </c>
      <c r="AE12" s="24">
        <v>0.39583333333333331</v>
      </c>
      <c r="AF12" s="24">
        <v>0.625</v>
      </c>
      <c r="AG12" s="25" t="s">
        <v>1533</v>
      </c>
      <c r="AH12">
        <v>3</v>
      </c>
      <c r="AI12" s="4">
        <f>IF(DATE($AI$2,AH12,1+((5-(1&gt;=WEEKDAY(DATE($AI$2,AH12,1))))*7)+(1-WEEKDAY(DATE($AI$2,AH12,1))))&gt;=DATE($AI$2,AH12+1,1),"",DATE($AI$2,AH12,1+((5-(1&gt;=WEEKDAY(DATE($AI$2,AH12,1))))*7)+(1-WEEKDAY(DATE($AI$2,AH12,1)))))</f>
        <v>45746</v>
      </c>
      <c r="AJ12" s="4">
        <f>IF(DATE($AJ$2,AH12,1+((5-(1&gt;=WEEKDAY(DATE($AJ$2,AH12,1))))*7)+(1-WEEKDAY(DATE($AJ$2,AH12,1))))&gt;=DATE($AJ$2,AH12+1,1),"",DATE($AJ$2,AH12,1+((5-(1&gt;=WEEKDAY(DATE($AJ$2,AH12,1))))*7)+(1-WEEKDAY(DATE($AJ$2,AH12,1)))))</f>
        <v>46110</v>
      </c>
    </row>
    <row r="13" spans="1:37" x14ac:dyDescent="0.3">
      <c r="A13" t="s">
        <v>8</v>
      </c>
      <c r="B13" t="s">
        <v>11</v>
      </c>
      <c r="C13" t="s">
        <v>1134</v>
      </c>
      <c r="D13" t="s">
        <v>166</v>
      </c>
      <c r="E13" t="s">
        <v>2178</v>
      </c>
      <c r="F13" t="s">
        <v>157</v>
      </c>
      <c r="G13" s="7">
        <f ca="1">X13</f>
        <v>46033</v>
      </c>
      <c r="H13" s="5" t="s">
        <v>163</v>
      </c>
      <c r="I13" t="s">
        <v>1040</v>
      </c>
      <c r="J13" s="36" t="s">
        <v>2530</v>
      </c>
      <c r="K13" t="s">
        <v>2432</v>
      </c>
      <c r="M13" s="16" t="s">
        <v>164</v>
      </c>
      <c r="N13" s="16" t="s">
        <v>165</v>
      </c>
      <c r="O13" s="7">
        <v>45234</v>
      </c>
      <c r="P13" s="7" t="s">
        <v>2433</v>
      </c>
      <c r="Q13" s="18">
        <v>1</v>
      </c>
      <c r="R13" s="18">
        <v>2</v>
      </c>
      <c r="S13" s="18">
        <v>1</v>
      </c>
      <c r="T13" s="4">
        <f>DATE(AI$2,$Q13,1+(($R13-($S13&gt;=WEEKDAY(DATE(AI$2,$Q13,1))))*7)+($S13-WEEKDAY(DATE(AI$2,$Q13,1))))</f>
        <v>45669</v>
      </c>
      <c r="U13" s="4">
        <f>DATE(AJ$2,$Q13,1+(($R13-($S13&gt;=WEEKDAY(DATE(AJ$2,$Q13,1))))*7)+($S13-WEEKDAY(DATE(AJ$2,$Q13,1))))</f>
        <v>46033</v>
      </c>
      <c r="V13" s="20">
        <v>0</v>
      </c>
      <c r="W13" s="20">
        <v>1</v>
      </c>
      <c r="X13" s="4">
        <f ca="1">Y13-(W13-1)</f>
        <v>46033</v>
      </c>
      <c r="Y13" s="5">
        <f ca="1">IF(OR(T13+V13&lt;(NOW()-0.5),ISNUMBER(SEARCH("&lt;h4&gt;",K13))),U13+V13,T13+V13)</f>
        <v>46033</v>
      </c>
      <c r="Z13" t="str">
        <f ca="1">CONCATENATE(IF(OR(Y13=X13,ISBLANK(Y13)),TEXT(X13,"mmmm d"),CONCATENATE(TEXT(X13,"mmmm d"),"-",IF(TEXT(X13,"mmmm")=TEXT(Y13,"mmmm"),TEXT(Y13,"d"),TEXT(Y13,"mmmm d")))),", ",YEAR(Y13))</f>
        <v>January 11, 2026</v>
      </c>
      <c r="AA13" s="7">
        <f>O13</f>
        <v>45234</v>
      </c>
      <c r="AB13" s="14">
        <f>T13+V13-(W13-1)</f>
        <v>45669</v>
      </c>
      <c r="AC13" t="s">
        <v>1202</v>
      </c>
      <c r="AD13" s="23" t="str">
        <f ca="1">CONCATENATE("&lt;add-to-calendar-button  name=",CHAR(34),H13,CHAR(34),
IF(ISBLANK(M13),"",CONCATENATE("   location=",CHAR(34),RIGHT(M13,LEN(M13)-SEARCH("|",M13)-1),CHAR(34))),
"   description=",CHAR(34),IF(ISBLANK(I13),"",CONCATENATE(I13,"; ")),"shapenotesingings.com",CHAR(34),
"   options=",CHAR(34),"'Apple','Google','iCal','Outlook.com'",CHAR(34),"   styleLight=",CHAR(34),"--btn-background: #550000; --btn-text: #fff; --btn-shadow:#fff;",CHAR(34),
IF(W13=1,CONCATENATE(
"startDate=",CHAR(34),TEXT(G13,"yyyy-mm-dd"),CHAR(34),
"{endDate=",CHAR(34),TEXT(G13,"yyyy-mm-dd"),CHAR(34),
IF(OR(ISBLANK(AE13),ISBLANK(AF13)),"",(CONCATENATE(" startTime=",CHAR(34),TEXT(AE13,"hh:mm"),CHAR(34)," endTime=",CHAR(34),TEXT(AF13,"h:mm"),CHAR(34),
" timeZone=",CHAR(34),AG13,CHAR(34))))),
IF(W13=2,CONCATENATE(" dates='[{",
CHAR(34),"startDate",CHAR(34),":",CHAR(34),TEXT(G13,"yyyy-mm-dd"),CHAR(34),", ",
,CHAR(34),"endDate",CHAR(34),":",CHAR(34),TEXT(G13,"yyyy-mm-dd"),CHAR(34),
IF(OR(ISBLANK(AE13),ISBLANK(AF13)),"",(CONCATENATE(", ",CHAR(34),"startTime",CHAR(34),":",CHAR(34),TEXT(AE13,"hh:mm"),CHAR(34),", ",CHAR(34),"endTime",CHAR(34),":",CHAR(34),TEXT(AF13,"hh:mm"),CHAR(34),", ",CHAR(34),"timeZone",CHAR(34),":",CHAR(34),AG13,CHAR(34)))),"}, {",
,CHAR(34),"startDate",CHAR(34),":",CHAR(34),TEXT(G13+1,"yyyy-mm-dd"),CHAR(34),", ",
,CHAR(34),"endDate",CHAR(34),":",CHAR(34),TEXT(G13+W13-1,"yyyy-mm-dd"),CHAR(34),
IF(OR(ISBLANK(AE13),ISBLANK(AF13)),"",(CONCATENATE(", ",CHAR(34),"startTime",CHAR(34),":",CHAR(34),TEXT(AE13,"hh:mm"),CHAR(34),", ",CHAR(34),"endTime",CHAR(34),":",CHAR(34),TEXT(AF13,"hh:mm"),CHAR(34),", ",CHAR(34),"timeZone",CHAR(34),":",CHAR(34),AG13,CHAR(34)))),"}]'"),
CONCATENATE(
"{  startDate=",CHAR(34),TEXT(G13,"yyyy-mm-dd"),CHAR(34),
"  endDate=",CHAR(34),TEXT(G13+W13-1,"yyyy-mm-dd"),CHAR(34),"}"))),
" &gt;&lt;/add-to-calendar-button&gt;")</f>
        <v>&lt;add-to-calendar-button  name="Uncle Jack Kerr and Henry Kerr Memorial"   location="Camp Ground Methodist Church, 24581 County Road 49, Muscadine AL "   description="9:30am; shapenotesingings.com"   options="'Apple','Google','iCal','Outlook.com'"   styleLight="--btn-background: #550000; --btn-text: #fff; --btn-shadow:#fff;"startDate="2026-01-11"{endDate="2026-01-11" startTime="09:30" endTime="15:00" timeZone="America/Chicago" &gt;&lt;/add-to-calendar-button&gt;</v>
      </c>
      <c r="AE13" s="24">
        <v>0.39583333333333331</v>
      </c>
      <c r="AF13" s="24">
        <v>0.625</v>
      </c>
      <c r="AG13" s="25" t="s">
        <v>1533</v>
      </c>
      <c r="AH13">
        <v>4</v>
      </c>
      <c r="AI13" s="4" t="str">
        <f>IF(DATE($AI$2,AH13,1+((5-(1&gt;=WEEKDAY(DATE($AI$2,AH13,1))))*7)+(1-WEEKDAY(DATE($AI$2,AH13,1))))&gt;=DATE($AI$2,AH13+1,1),"",DATE($AI$2,AH13,1+((5-(1&gt;=WEEKDAY(DATE($AI$2,AH13,1))))*7)+(1-WEEKDAY(DATE($AI$2,AH13,1)))))</f>
        <v/>
      </c>
      <c r="AJ13" s="4" t="str">
        <f>IF(DATE($AJ$2,AH13,1+((5-(1&gt;=WEEKDAY(DATE($AJ$2,AH13,1))))*7)+(1-WEEKDAY(DATE($AJ$2,AH13,1))))&gt;=DATE($AJ$2,AH13+1,1),"",DATE($AJ$2,AH13,1+((5-(1&gt;=WEEKDAY(DATE($AJ$2,AH13,1))))*7)+(1-WEEKDAY(DATE($AJ$2,AH13,1)))))</f>
        <v/>
      </c>
    </row>
    <row r="14" spans="1:37" x14ac:dyDescent="0.3">
      <c r="A14" t="s">
        <v>8</v>
      </c>
      <c r="B14" t="s">
        <v>40</v>
      </c>
      <c r="C14" t="s">
        <v>1161</v>
      </c>
      <c r="D14" t="s">
        <v>2414</v>
      </c>
      <c r="E14" t="s">
        <v>2178</v>
      </c>
      <c r="F14" t="s">
        <v>2413</v>
      </c>
      <c r="G14" s="7">
        <f ca="1">X14</f>
        <v>46039</v>
      </c>
      <c r="H14" s="5" t="s">
        <v>2415</v>
      </c>
      <c r="I14" t="s">
        <v>1037</v>
      </c>
      <c r="K14" t="s">
        <v>2419</v>
      </c>
      <c r="M14" s="16" t="s">
        <v>2416</v>
      </c>
      <c r="N14" s="16" t="s">
        <v>2417</v>
      </c>
      <c r="O14" s="7">
        <v>45640</v>
      </c>
      <c r="P14" s="7" t="s">
        <v>2418</v>
      </c>
      <c r="Q14" s="18">
        <v>1</v>
      </c>
      <c r="R14" s="18">
        <v>3</v>
      </c>
      <c r="S14" s="18">
        <v>2</v>
      </c>
      <c r="T14" s="4">
        <f>DATE(AI$2,$Q14,1+(($R14-($S14&gt;=WEEKDAY(DATE(AI$2,$Q14,1))))*7)+($S14-WEEKDAY(DATE(AI$2,$Q14,1))))</f>
        <v>45677</v>
      </c>
      <c r="U14" s="4">
        <f>DATE(AJ$2,$Q14,1+(($R14-($S14&gt;=WEEKDAY(DATE(AJ$2,$Q14,1))))*7)+($S14-WEEKDAY(DATE(AJ$2,$Q14,1))))</f>
        <v>46041</v>
      </c>
      <c r="V14" s="20">
        <v>-2</v>
      </c>
      <c r="W14" s="20">
        <v>1</v>
      </c>
      <c r="X14" s="4">
        <f ca="1">Y14-(W14-1)</f>
        <v>46039</v>
      </c>
      <c r="Y14" s="5">
        <f ca="1">IF(OR(T14+V14&lt;(NOW()-0.5),ISNUMBER(SEARCH("&lt;h4&gt;",K14))),U14+V14,T14+V14)</f>
        <v>46039</v>
      </c>
      <c r="Z14" t="str">
        <f ca="1">CONCATENATE(IF(OR(Y14=X14,ISBLANK(Y14)),TEXT(X14,"mmmm d"),CONCATENATE(TEXT(X14,"mmmm d"),"-",IF(TEXT(X14,"mmmm")=TEXT(Y14,"mmmm"),TEXT(Y14,"d"),TEXT(Y14,"mmmm d")))),", ",YEAR(Y14))</f>
        <v>January 17, 2026</v>
      </c>
      <c r="AA14" s="7">
        <f>O14</f>
        <v>45640</v>
      </c>
      <c r="AB14" s="14">
        <f>T14+V14-(W14-1)</f>
        <v>45675</v>
      </c>
      <c r="AC14" t="s">
        <v>2420</v>
      </c>
      <c r="AD14" s="23" t="str">
        <f ca="1">CONCATENATE("&lt;add-to-calendar-button  name=",CHAR(34),H14,CHAR(34),
IF(ISBLANK(M14),"",CONCATENATE("   location=",CHAR(34),RIGHT(M14,LEN(M14)-SEARCH("|",M14)-1),CHAR(34))),
"   description=",CHAR(34),IF(ISBLANK(I14),"",CONCATENATE(I14,"; ")),"shapenotesingings.com",CHAR(34),
"   options=",CHAR(34),"'Apple','Google','iCal','Outlook.com'",CHAR(34),"   styleLight=",CHAR(34),"--btn-background: #550000; --btn-text: #fff; --btn-shadow:#fff;",CHAR(34),
IF(W14=1,CONCATENATE(
"startDate=",CHAR(34),TEXT(G14,"yyyy-mm-dd"),CHAR(34),
"{endDate=",CHAR(34),TEXT(G14,"yyyy-mm-dd"),CHAR(34),
IF(OR(ISBLANK(AE14),ISBLANK(AF14)),"",(CONCATENATE(" startTime=",CHAR(34),TEXT(AE14,"hh:mm"),CHAR(34)," endTime=",CHAR(34),TEXT(AF14,"h:mm"),CHAR(34),
" timeZone=",CHAR(34),AG14,CHAR(34))))),
IF(W14=2,CONCATENATE(" dates='[{",
CHAR(34),"startDate",CHAR(34),":",CHAR(34),TEXT(G14,"yyyy-mm-dd"),CHAR(34),", ",
,CHAR(34),"endDate",CHAR(34),":",CHAR(34),TEXT(G14,"yyyy-mm-dd"),CHAR(34),
IF(OR(ISBLANK(AE14),ISBLANK(AF14)),"",(CONCATENATE(", ",CHAR(34),"startTime",CHAR(34),":",CHAR(34),TEXT(AE14,"hh:mm"),CHAR(34),", ",CHAR(34),"endTime",CHAR(34),":",CHAR(34),TEXT(AF14,"hh:mm"),CHAR(34),", ",CHAR(34),"timeZone",CHAR(34),":",CHAR(34),AG14,CHAR(34)))),"}, {",
,CHAR(34),"startDate",CHAR(34),":",CHAR(34),TEXT(G14+1,"yyyy-mm-dd"),CHAR(34),", ",
,CHAR(34),"endDate",CHAR(34),":",CHAR(34),TEXT(G14+W14-1,"yyyy-mm-dd"),CHAR(34),
IF(OR(ISBLANK(AE14),ISBLANK(AF14)),"",(CONCATENATE(", ",CHAR(34),"startTime",CHAR(34),":",CHAR(34),TEXT(AE14,"hh:mm"),CHAR(34),", ",CHAR(34),"endTime",CHAR(34),":",CHAR(34),TEXT(AF14,"hh:mm"),CHAR(34),", ",CHAR(34),"timeZone",CHAR(34),":",CHAR(34),AG14,CHAR(34)))),"}]'"),
CONCATENATE(
"{  startDate=",CHAR(34),TEXT(G14,"yyyy-mm-dd"),CHAR(34),
"  endDate=",CHAR(34),TEXT(G14+W14-1,"yyyy-mm-dd"),CHAR(34),"}"))),
" &gt;&lt;/add-to-calendar-button&gt;")</f>
        <v>&lt;add-to-calendar-button  name="West Texas Singing"   location="Crosbyton PBC, 401 S Emerald, Crosbyton, TX 79322"   description="10am-3pm; shapenotesingings.com"   options="'Apple','Google','iCal','Outlook.com'"   styleLight="--btn-background: #550000; --btn-text: #fff; --btn-shadow:#fff;"startDate="2026-01-17"{endDate="2026-01-17" startTime="10:00" endTime="15:00" timeZone="America/Chicago" &gt;&lt;/add-to-calendar-button&gt;</v>
      </c>
      <c r="AE14" s="24">
        <v>0.41666666666666669</v>
      </c>
      <c r="AF14" s="24">
        <v>0.625</v>
      </c>
      <c r="AG14" s="25" t="s">
        <v>1533</v>
      </c>
      <c r="AH14">
        <v>5</v>
      </c>
      <c r="AI14" s="4" t="str">
        <f>IF(DATE($AI$2,AH14,1+((5-(1&gt;=WEEKDAY(DATE($AI$2,AH14,1))))*7)+(1-WEEKDAY(DATE($AI$2,AH14,1))))&gt;=DATE($AI$2,AH14+1,1),"",DATE($AI$2,AH14,1+((5-(1&gt;=WEEKDAY(DATE($AI$2,AH14,1))))*7)+(1-WEEKDAY(DATE($AI$2,AH14,1)))))</f>
        <v/>
      </c>
      <c r="AJ14" s="4">
        <f>IF(DATE($AJ$2,AH14,1+((5-(1&gt;=WEEKDAY(DATE($AJ$2,AH14,1))))*7)+(1-WEEKDAY(DATE($AJ$2,AH14,1))))&gt;=DATE($AJ$2,AH14+1,1),"",DATE($AJ$2,AH14,1+((5-(1&gt;=WEEKDAY(DATE($AJ$2,AH14,1))))*7)+(1-WEEKDAY(DATE($AJ$2,AH14,1)))))</f>
        <v>46173</v>
      </c>
    </row>
    <row r="15" spans="1:37" x14ac:dyDescent="0.3">
      <c r="A15" t="s">
        <v>144</v>
      </c>
      <c r="B15" t="s">
        <v>144</v>
      </c>
      <c r="C15" t="s">
        <v>1162</v>
      </c>
      <c r="D15" t="s">
        <v>508</v>
      </c>
      <c r="E15" t="s">
        <v>50</v>
      </c>
      <c r="F15" t="s">
        <v>776</v>
      </c>
      <c r="G15" s="7">
        <f ca="1">X15</f>
        <v>46039</v>
      </c>
      <c r="H15" s="5" t="s">
        <v>817</v>
      </c>
      <c r="I15" t="s">
        <v>1052</v>
      </c>
      <c r="J15" s="36" t="s">
        <v>2531</v>
      </c>
      <c r="L15" t="s">
        <v>2515</v>
      </c>
      <c r="M15" s="16" t="s">
        <v>2294</v>
      </c>
      <c r="N15" s="16" t="s">
        <v>2295</v>
      </c>
      <c r="O15" s="7">
        <v>45554</v>
      </c>
      <c r="P15" s="7" t="s">
        <v>1695</v>
      </c>
      <c r="Q15" s="18">
        <v>1</v>
      </c>
      <c r="R15" s="18">
        <v>3</v>
      </c>
      <c r="S15" s="18">
        <v>1</v>
      </c>
      <c r="T15" s="4">
        <f>DATE(AI$2,$Q15,1+(($R15-($S15&gt;=WEEKDAY(DATE(AI$2,$Q15,1))))*7)+($S15-WEEKDAY(DATE(AI$2,$Q15,1))))</f>
        <v>45676</v>
      </c>
      <c r="U15" s="4">
        <f>DATE(AJ$2,$Q15,1+(($R15-($S15&gt;=WEEKDAY(DATE(AJ$2,$Q15,1))))*7)+($S15-WEEKDAY(DATE(AJ$2,$Q15,1))))</f>
        <v>46040</v>
      </c>
      <c r="V15" s="20">
        <v>-1</v>
      </c>
      <c r="W15" s="20">
        <v>1</v>
      </c>
      <c r="X15" s="4">
        <f ca="1">Y15-(W15-1)</f>
        <v>46039</v>
      </c>
      <c r="Y15" s="5">
        <f ca="1">IF(OR(T15+V15&lt;(NOW()-0.5),ISNUMBER(SEARCH("&lt;h4&gt;",K15))),U15+V15,T15+V15)</f>
        <v>46039</v>
      </c>
      <c r="Z15" t="str">
        <f ca="1">CONCATENATE(IF(OR(Y15=X15,ISBLANK(Y15)),TEXT(X15,"mmmm d"),CONCATENATE(TEXT(X15,"mmmm d"),"-",IF(TEXT(X15,"mmmm")=TEXT(Y15,"mmmm"),TEXT(Y15,"d"),TEXT(Y15,"mmmm d")))),", ",YEAR(Y15))</f>
        <v>January 17, 2026</v>
      </c>
      <c r="AA15" s="7">
        <f>O15</f>
        <v>45554</v>
      </c>
      <c r="AB15" s="14">
        <f>T15+V15-(W15-1)</f>
        <v>45675</v>
      </c>
      <c r="AC15" t="s">
        <v>2296</v>
      </c>
      <c r="AD15" s="23" t="str">
        <f ca="1">CONCATENATE("&lt;add-to-calendar-button  name=",CHAR(34),H15,CHAR(34),
IF(ISBLANK(M15),"",CONCATENATE("   location=",CHAR(34),RIGHT(M15,LEN(M15)-SEARCH("|",M15)-1),CHAR(34))),
"   description=",CHAR(34),IF(ISBLANK(I15),"",CONCATENATE(I15,"; ")),"shapenotesingings.com",CHAR(34),
"   options=",CHAR(34),"'Apple','Google','iCal','Outlook.com'",CHAR(34),"   styleLight=",CHAR(34),"--btn-background: #550000; --btn-text: #fff; --btn-shadow:#fff;",CHAR(34),
IF(W15=1,CONCATENATE(
"startDate=",CHAR(34),TEXT(G15,"yyyy-mm-dd"),CHAR(34),
"{endDate=",CHAR(34),TEXT(G15,"yyyy-mm-dd"),CHAR(34),
IF(OR(ISBLANK(AE15),ISBLANK(AF15)),"",(CONCATENATE(" startTime=",CHAR(34),TEXT(AE15,"hh:mm"),CHAR(34)," endTime=",CHAR(34),TEXT(AF15,"h:mm"),CHAR(34),
" timeZone=",CHAR(34),AG15,CHAR(34))))),
IF(W15=2,CONCATENATE(" dates='[{",
CHAR(34),"startDate",CHAR(34),":",CHAR(34),TEXT(G15,"yyyy-mm-dd"),CHAR(34),", ",
,CHAR(34),"endDate",CHAR(34),":",CHAR(34),TEXT(G15,"yyyy-mm-dd"),CHAR(34),
IF(OR(ISBLANK(AE15),ISBLANK(AF15)),"",(CONCATENATE(", ",CHAR(34),"startTime",CHAR(34),":",CHAR(34),TEXT(AE15,"hh:mm"),CHAR(34),", ",CHAR(34),"endTime",CHAR(34),":",CHAR(34),TEXT(AF15,"hh:mm"),CHAR(34),", ",CHAR(34),"timeZone",CHAR(34),":",CHAR(34),AG15,CHAR(34)))),"}, {",
,CHAR(34),"startDate",CHAR(34),":",CHAR(34),TEXT(G15+1,"yyyy-mm-dd"),CHAR(34),", ",
,CHAR(34),"endDate",CHAR(34),":",CHAR(34),TEXT(G15+W15-1,"yyyy-mm-dd"),CHAR(34),
IF(OR(ISBLANK(AE15),ISBLANK(AF15)),"",(CONCATENATE(", ",CHAR(34),"startTime",CHAR(34),":",CHAR(34),TEXT(AE15,"hh:mm"),CHAR(34),", ",CHAR(34),"endTime",CHAR(34),":",CHAR(34),TEXT(AF15,"hh:mm"),CHAR(34),", ",CHAR(34),"timeZone",CHAR(34),":",CHAR(34),AG15,CHAR(34)))),"}]'"),
CONCATENATE(
"{  startDate=",CHAR(34),TEXT(G15,"yyyy-mm-dd"),CHAR(34),
"  endDate=",CHAR(34),TEXT(G15+W15-1,"yyyy-mm-dd"),CHAR(34),"}"))),
" &gt;&lt;/add-to-calendar-button&gt;")</f>
        <v>&lt;add-to-calendar-button  name="Roving Shenandoah Harmony Singing "   location="South Malling Parish Church, Church Lane, Lewes, East Sussex, BN7 2JA, United Kingdom "   description="10:30-4pm; shapenotesingings.com"   options="'Apple','Google','iCal','Outlook.com'"   styleLight="--btn-background: #550000; --btn-text: #fff; --btn-shadow:#fff;"startDate="2026-01-17"{endDate="2026-01-17" startTime="10:30" endTime="15:00" timeZone="Europe/London" &gt;&lt;/add-to-calendar-button&gt;</v>
      </c>
      <c r="AE15" s="24">
        <v>0.4375</v>
      </c>
      <c r="AF15" s="24">
        <v>0.625</v>
      </c>
      <c r="AG15" s="25" t="s">
        <v>1535</v>
      </c>
      <c r="AH15">
        <v>6</v>
      </c>
      <c r="AI15" s="4">
        <f>IF(DATE($AI$2,AH15,1+((5-(1&gt;=WEEKDAY(DATE($AI$2,AH15,1))))*7)+(1-WEEKDAY(DATE($AI$2,AH15,1))))&gt;=DATE($AI$2,AH15+1,1),"",DATE($AI$2,AH15,1+((5-(1&gt;=WEEKDAY(DATE($AI$2,AH15,1))))*7)+(1-WEEKDAY(DATE($AI$2,AH15,1)))))</f>
        <v>45837</v>
      </c>
      <c r="AJ15" s="4" t="str">
        <f>IF(DATE($AJ$2,AH15,1+((5-(1&gt;=WEEKDAY(DATE($AJ$2,AH15,1))))*7)+(1-WEEKDAY(DATE($AJ$2,AH15,1))))&gt;=DATE($AJ$2,AH15+1,1),"",DATE($AJ$2,AH15,1+((5-(1&gt;=WEEKDAY(DATE($AJ$2,AH15,1))))*7)+(1-WEEKDAY(DATE($AJ$2,AH15,1)))))</f>
        <v/>
      </c>
    </row>
    <row r="16" spans="1:37" x14ac:dyDescent="0.3">
      <c r="A16" t="s">
        <v>8</v>
      </c>
      <c r="B16" t="s">
        <v>151</v>
      </c>
      <c r="C16" t="s">
        <v>1137</v>
      </c>
      <c r="D16" t="s">
        <v>2394</v>
      </c>
      <c r="E16" t="s">
        <v>2178</v>
      </c>
      <c r="F16" t="s">
        <v>875</v>
      </c>
      <c r="G16" s="7">
        <f ca="1">X16</f>
        <v>46039</v>
      </c>
      <c r="H16" s="5" t="s">
        <v>171</v>
      </c>
      <c r="I16" t="s">
        <v>1048</v>
      </c>
      <c r="J16" s="36" t="s">
        <v>2531</v>
      </c>
      <c r="K16" t="s">
        <v>2270</v>
      </c>
      <c r="L16" t="s">
        <v>2395</v>
      </c>
      <c r="M16" s="16" t="s">
        <v>2390</v>
      </c>
      <c r="N16" s="16" t="s">
        <v>2391</v>
      </c>
      <c r="O16" s="7">
        <v>45618</v>
      </c>
      <c r="P16" s="7" t="s">
        <v>2392</v>
      </c>
      <c r="Q16" s="18">
        <v>1</v>
      </c>
      <c r="R16" s="18">
        <v>3</v>
      </c>
      <c r="S16" s="18">
        <v>1</v>
      </c>
      <c r="T16" s="4">
        <f>DATE(AI$2,$Q16,1+(($R16-($S16&gt;=WEEKDAY(DATE(AI$2,$Q16,1))))*7)+($S16-WEEKDAY(DATE(AI$2,$Q16,1))))</f>
        <v>45676</v>
      </c>
      <c r="U16" s="4">
        <f>DATE(AJ$2,$Q16,1+(($R16-($S16&gt;=WEEKDAY(DATE(AJ$2,$Q16,1))))*7)+($S16-WEEKDAY(DATE(AJ$2,$Q16,1))))</f>
        <v>46040</v>
      </c>
      <c r="V16" s="20">
        <v>0</v>
      </c>
      <c r="W16" s="20">
        <v>2</v>
      </c>
      <c r="X16" s="4">
        <f ca="1">Y16-(W16-1)</f>
        <v>46039</v>
      </c>
      <c r="Y16" s="5">
        <f ca="1">IF(OR(T16+V16&lt;(NOW()-0.5),ISNUMBER(SEARCH("&lt;h4&gt;",K16))),U16+V16,T16+V16)</f>
        <v>46040</v>
      </c>
      <c r="Z16" t="str">
        <f ca="1">CONCATENATE(IF(OR(Y16=X16,ISBLANK(Y16)),TEXT(X16,"mmmm d"),CONCATENATE(TEXT(X16,"mmmm d"),"-",IF(TEXT(X16,"mmmm")=TEXT(Y16,"mmmm"),TEXT(Y16,"d"),TEXT(Y16,"mmmm d")))),", ",YEAR(Y16))</f>
        <v>January 17-18, 2026</v>
      </c>
      <c r="AA16" s="7">
        <f>O16</f>
        <v>45618</v>
      </c>
      <c r="AB16" s="14">
        <f>T16+V16-(W16-1)</f>
        <v>45675</v>
      </c>
      <c r="AC16" t="s">
        <v>2393</v>
      </c>
      <c r="AD16" s="23" t="str">
        <f ca="1">CONCATENATE("&lt;add-to-calendar-button  name=",CHAR(34),H16,CHAR(34),
IF(ISBLANK(M16),"",CONCATENATE("   location=",CHAR(34),RIGHT(M16,LEN(M16)-SEARCH("|",M16)-1),CHAR(34))),
"   description=",CHAR(34),IF(ISBLANK(I16),"",CONCATENATE(I16,"; ")),"shapenotesingings.com",CHAR(34),
"   options=",CHAR(34),"'Apple','Google','iCal','Outlook.com'",CHAR(34),"   styleLight=",CHAR(34),"--btn-background: #550000; --btn-text: #fff; --btn-shadow:#fff;",CHAR(34),
IF(W16=1,CONCATENATE(
"startDate=",CHAR(34),TEXT(G16,"yyyy-mm-dd"),CHAR(34),
"{endDate=",CHAR(34),TEXT(G16,"yyyy-mm-dd"),CHAR(34),
IF(OR(ISBLANK(AE16),ISBLANK(AF16)),"",(CONCATENATE(" startTime=",CHAR(34),TEXT(AE16,"hh:mm"),CHAR(34)," endTime=",CHAR(34),TEXT(AF16,"h:mm"),CHAR(34),
" timeZone=",CHAR(34),AG16,CHAR(34))))),
IF(W16=2,CONCATENATE(" dates='[{",
CHAR(34),"startDate",CHAR(34),":",CHAR(34),TEXT(G16,"yyyy-mm-dd"),CHAR(34),", ",
,CHAR(34),"endDate",CHAR(34),":",CHAR(34),TEXT(G16,"yyyy-mm-dd"),CHAR(34),
IF(OR(ISBLANK(AE16),ISBLANK(AF16)),"",(CONCATENATE(", ",CHAR(34),"startTime",CHAR(34),":",CHAR(34),TEXT(AE16,"hh:mm"),CHAR(34),", ",CHAR(34),"endTime",CHAR(34),":",CHAR(34),TEXT(AF16,"hh:mm"),CHAR(34),", ",CHAR(34),"timeZone",CHAR(34),":",CHAR(34),AG16,CHAR(34)))),"}, {",
,CHAR(34),"startDate",CHAR(34),":",CHAR(34),TEXT(G16+1,"yyyy-mm-dd"),CHAR(34),", ",
,CHAR(34),"endDate",CHAR(34),":",CHAR(34),TEXT(G16+W16-1,"yyyy-mm-dd"),CHAR(34),
IF(OR(ISBLANK(AE16),ISBLANK(AF16)),"",(CONCATENATE(", ",CHAR(34),"startTime",CHAR(34),":",CHAR(34),TEXT(AE16,"hh:mm"),CHAR(34),", ",CHAR(34),"endTime",CHAR(34),":",CHAR(34),TEXT(AF16,"hh:mm"),CHAR(34),", ",CHAR(34),"timeZone",CHAR(34),":",CHAR(34),AG16,CHAR(34)))),"}]'"),
CONCATENATE(
"{  startDate=",CHAR(34),TEXT(G16,"yyyy-mm-dd"),CHAR(34),
"  endDate=",CHAR(34),TEXT(G16+W16-1,"yyyy-mm-dd"),CHAR(34),"}"))),
" &gt;&lt;/add-to-calendar-button&gt;")</f>
        <v>&lt;add-to-calendar-button  name="All-California Sacred Harp Convention"   location="Harrison Recreation Center in Lincoln Park, 1450 High St, Alameda, CA 94501"   description="9:30am-3pm; shapenotesingings.com"   options="'Apple','Google','iCal','Outlook.com'"   styleLight="--btn-background: #550000; --btn-text: #fff; --btn-shadow:#fff;" dates='[{"startDate":"2026-01-17", "endDate":"2026-01-17", "startTime":"09:30", "endTime":"15:00", "timeZone":"America/Los_Angeles"}, {"startDate":"2026-01-18", "endDate":"2026-01-18", "startTime":"09:30", "endTime":"15:00", "timeZone":"America/Los_Angeles"}]' &gt;&lt;/add-to-calendar-button&gt;</v>
      </c>
      <c r="AE16" s="24">
        <v>0.39583333333333331</v>
      </c>
      <c r="AF16" s="24">
        <v>0.625</v>
      </c>
      <c r="AG16" s="25" t="s">
        <v>1534</v>
      </c>
      <c r="AH16">
        <v>7</v>
      </c>
      <c r="AI16" s="4" t="str">
        <f>IF(DATE($AI$2,AH16,1+((5-(1&gt;=WEEKDAY(DATE($AI$2,AH16,1))))*7)+(1-WEEKDAY(DATE($AI$2,AH16,1))))&gt;=DATE($AI$2,AH16+1,1),"",DATE($AI$2,AH16,1+((5-(1&gt;=WEEKDAY(DATE($AI$2,AH16,1))))*7)+(1-WEEKDAY(DATE($AI$2,AH16,1)))))</f>
        <v/>
      </c>
      <c r="AJ16" s="4" t="str">
        <f>IF(DATE($AJ$2,AH16,1+((5-(1&gt;=WEEKDAY(DATE($AJ$2,AH16,1))))*7)+(1-WEEKDAY(DATE($AJ$2,AH16,1))))&gt;=DATE($AJ$2,AH16+1,1),"",DATE($AJ$2,AH16,1+((5-(1&gt;=WEEKDAY(DATE($AJ$2,AH16,1))))*7)+(1-WEEKDAY(DATE($AJ$2,AH16,1)))))</f>
        <v/>
      </c>
    </row>
    <row r="17" spans="1:41" ht="13.8" customHeight="1" x14ac:dyDescent="0.3">
      <c r="A17" t="s">
        <v>8</v>
      </c>
      <c r="B17" t="s">
        <v>11</v>
      </c>
      <c r="C17" t="s">
        <v>1134</v>
      </c>
      <c r="D17" t="s">
        <v>173</v>
      </c>
      <c r="E17" t="s">
        <v>1435</v>
      </c>
      <c r="F17" t="s">
        <v>174</v>
      </c>
      <c r="G17" s="7">
        <f ca="1">X17</f>
        <v>46040</v>
      </c>
      <c r="H17" s="5" t="s">
        <v>172</v>
      </c>
      <c r="I17" t="s">
        <v>1030</v>
      </c>
      <c r="J17" s="36" t="s">
        <v>2532</v>
      </c>
      <c r="L17" t="s">
        <v>1985</v>
      </c>
      <c r="M17" s="16" t="s">
        <v>614</v>
      </c>
      <c r="N17" s="16" t="s">
        <v>175</v>
      </c>
      <c r="O17" s="7">
        <v>45307</v>
      </c>
      <c r="P17" s="7" t="s">
        <v>1893</v>
      </c>
      <c r="Q17" s="18">
        <v>1</v>
      </c>
      <c r="R17" s="18">
        <v>3</v>
      </c>
      <c r="S17" s="18">
        <v>1</v>
      </c>
      <c r="T17" s="4">
        <f>DATE(AI$2,$Q17,1+(($R17-($S17&gt;=WEEKDAY(DATE(AI$2,$Q17,1))))*7)+($S17-WEEKDAY(DATE(AI$2,$Q17,1))))</f>
        <v>45676</v>
      </c>
      <c r="U17" s="4">
        <f>DATE(AJ$2,$Q17,1+(($R17-($S17&gt;=WEEKDAY(DATE(AJ$2,$Q17,1))))*7)+($S17-WEEKDAY(DATE(AJ$2,$Q17,1))))</f>
        <v>46040</v>
      </c>
      <c r="V17" s="20">
        <v>0</v>
      </c>
      <c r="W17" s="20">
        <v>1</v>
      </c>
      <c r="X17" s="4">
        <f ca="1">Y17-(W17-1)</f>
        <v>46040</v>
      </c>
      <c r="Y17" s="5">
        <f ca="1">IF(OR(T17+V17&lt;(NOW()-0.5),ISNUMBER(SEARCH("&lt;h4&gt;",K17))),U17+V17,T17+V17)</f>
        <v>46040</v>
      </c>
      <c r="Z17" t="str">
        <f ca="1">CONCATENATE(IF(OR(Y17=X17,ISBLANK(Y17)),TEXT(X17,"mmmm d"),CONCATENATE(TEXT(X17,"mmmm d"),"-",IF(TEXT(X17,"mmmm")=TEXT(Y17,"mmmm"),TEXT(Y17,"d"),TEXT(Y17,"mmmm d")))),", ",YEAR(Y17))</f>
        <v>January 18, 2026</v>
      </c>
      <c r="AA17" s="7">
        <f>O17</f>
        <v>45307</v>
      </c>
      <c r="AB17" s="14">
        <f>T17+V17-(W17-1)</f>
        <v>45676</v>
      </c>
      <c r="AC17" t="s">
        <v>1205</v>
      </c>
      <c r="AD17" s="23" t="str">
        <f ca="1">CONCATENATE("&lt;add-to-calendar-button  name=",CHAR(34),H17,CHAR(34),
IF(ISBLANK(M17),"",CONCATENATE("   location=",CHAR(34),RIGHT(M17,LEN(M17)-SEARCH("|",M17)-1),CHAR(34))),
"   description=",CHAR(34),IF(ISBLANK(I17),"",CONCATENATE(I17,"; ")),"shapenotesingings.com",CHAR(34),
"   options=",CHAR(34),"'Apple','Google','iCal','Outlook.com'",CHAR(34),"   styleLight=",CHAR(34),"--btn-background: #550000; --btn-text: #fff; --btn-shadow:#fff;",CHAR(34),
IF(W17=1,CONCATENATE(
"startDate=",CHAR(34),TEXT(G17,"yyyy-mm-dd"),CHAR(34),
"{endDate=",CHAR(34),TEXT(G17,"yyyy-mm-dd"),CHAR(34),
IF(OR(ISBLANK(AE17),ISBLANK(AF17)),"",(CONCATENATE(" startTime=",CHAR(34),TEXT(AE17,"hh:mm"),CHAR(34)," endTime=",CHAR(34),TEXT(AF17,"h:mm"),CHAR(34),
" timeZone=",CHAR(34),AG17,CHAR(34))))),
IF(W17=2,CONCATENATE(" dates='[{",
CHAR(34),"startDate",CHAR(34),":",CHAR(34),TEXT(G17,"yyyy-mm-dd"),CHAR(34),", ",
,CHAR(34),"endDate",CHAR(34),":",CHAR(34),TEXT(G17,"yyyy-mm-dd"),CHAR(34),
IF(OR(ISBLANK(AE17),ISBLANK(AF17)),"",(CONCATENATE(", ",CHAR(34),"startTime",CHAR(34),":",CHAR(34),TEXT(AE17,"hh:mm"),CHAR(34),", ",CHAR(34),"endTime",CHAR(34),":",CHAR(34),TEXT(AF17,"hh:mm"),CHAR(34),", ",CHAR(34),"timeZone",CHAR(34),":",CHAR(34),AG17,CHAR(34)))),"}, {",
,CHAR(34),"startDate",CHAR(34),":",CHAR(34),TEXT(G17+1,"yyyy-mm-dd"),CHAR(34),", ",
,CHAR(34),"endDate",CHAR(34),":",CHAR(34),TEXT(G17+W17-1,"yyyy-mm-dd"),CHAR(34),
IF(OR(ISBLANK(AE17),ISBLANK(AF17)),"",(CONCATENATE(", ",CHAR(34),"startTime",CHAR(34),":",CHAR(34),TEXT(AE17,"hh:mm"),CHAR(34),", ",CHAR(34),"endTime",CHAR(34),":",CHAR(34),TEXT(AF17,"hh:mm"),CHAR(34),", ",CHAR(34),"timeZone",CHAR(34),":",CHAR(34),AG17,CHAR(34)))),"}]'"),
CONCATENATE(
"{  startDate=",CHAR(34),TEXT(G17,"yyyy-mm-dd"),CHAR(34),
"  endDate=",CHAR(34),TEXT(G17+W17-1,"yyyy-mm-dd"),CHAR(34),"}"))),
" &gt;&lt;/add-to-calendar-button&gt;")</f>
        <v>&lt;add-to-calendar-button  name="Creel Memorial Christian Harmony Singing"   location="Old County Line Church, 9282 Miller Rd, Warrior, AL 35180"   description="10:00am; shapenotesingings.com"   options="'Apple','Google','iCal','Outlook.com'"   styleLight="--btn-background: #550000; --btn-text: #fff; --btn-shadow:#fff;"startDate="2026-01-18"{endDate="2026-01-18" startTime="10:00" endTime="15:00" timeZone="America/Chicago" &gt;&lt;/add-to-calendar-button&gt;</v>
      </c>
      <c r="AE17" s="24">
        <v>0.41666666666666669</v>
      </c>
      <c r="AF17" s="24">
        <v>0.625</v>
      </c>
      <c r="AG17" s="25" t="s">
        <v>1533</v>
      </c>
      <c r="AH17">
        <v>8</v>
      </c>
      <c r="AI17" s="4">
        <f>IF(DATE($AI$2,AH17,1+((5-(1&gt;=WEEKDAY(DATE($AI$2,AH17,1))))*7)+(1-WEEKDAY(DATE($AI$2,AH17,1))))&gt;=DATE($AI$2,AH17+1,1),"",DATE($AI$2,AH17,1+((5-(1&gt;=WEEKDAY(DATE($AI$2,AH17,1))))*7)+(1-WEEKDAY(DATE($AI$2,AH17,1)))))</f>
        <v>45900</v>
      </c>
      <c r="AJ17" s="4">
        <f>IF(DATE($AJ$2,AH17,1+((5-(1&gt;=WEEKDAY(DATE($AJ$2,AH17,1))))*7)+(1-WEEKDAY(DATE($AJ$2,AH17,1))))&gt;=DATE($AJ$2,AH17+1,1),"",DATE($AJ$2,AH17,1+((5-(1&gt;=WEEKDAY(DATE($AJ$2,AH17,1))))*7)+(1-WEEKDAY(DATE($AJ$2,AH17,1)))))</f>
        <v>46264</v>
      </c>
    </row>
    <row r="18" spans="1:41" x14ac:dyDescent="0.3">
      <c r="A18" t="s">
        <v>29</v>
      </c>
      <c r="B18" t="str">
        <f ca="1">IF(ISEVEN(YEAR(G18)),"Vic","NSW")</f>
        <v>Vic</v>
      </c>
      <c r="C18" t="str">
        <f ca="1">IF(ISEVEN(YEAR(G18)),"Victoria", "New South Wales")</f>
        <v>Victoria</v>
      </c>
      <c r="D18" t="str">
        <f ca="1">IF(ISEVEN(YEAR(G18)),"Melbourne","Sydney")</f>
        <v>Melbourne</v>
      </c>
      <c r="E18" t="s">
        <v>2178</v>
      </c>
      <c r="F18" t="s">
        <v>65</v>
      </c>
      <c r="G18" s="7">
        <f ca="1">X18</f>
        <v>46046</v>
      </c>
      <c r="H18" s="5" t="s">
        <v>1800</v>
      </c>
      <c r="I18" t="s">
        <v>1045</v>
      </c>
      <c r="J18" s="36" t="s">
        <v>2533</v>
      </c>
      <c r="K18" t="s">
        <v>2951</v>
      </c>
      <c r="L18" t="s">
        <v>2952</v>
      </c>
      <c r="M18" s="41"/>
      <c r="N18" s="41"/>
      <c r="O18" s="7">
        <v>45547</v>
      </c>
      <c r="P18" s="7" t="s">
        <v>2953</v>
      </c>
      <c r="Q18" s="18">
        <v>1</v>
      </c>
      <c r="R18" s="18">
        <v>4</v>
      </c>
      <c r="S18" s="18">
        <v>1</v>
      </c>
      <c r="T18" s="4">
        <f>DATE(AI$2,$Q18,1+(($R18-($S18&gt;=WEEKDAY(DATE(AI$2,$Q18,1))))*7)+($S18-WEEKDAY(DATE(AI$2,$Q18,1))))</f>
        <v>45683</v>
      </c>
      <c r="U18" s="4">
        <f>DATE(AJ$2,$Q18,1+(($R18-($S18&gt;=WEEKDAY(DATE(AJ$2,$Q18,1))))*7)+($S18-WEEKDAY(DATE(AJ$2,$Q18,1))))</f>
        <v>46047</v>
      </c>
      <c r="V18" s="20">
        <v>0</v>
      </c>
      <c r="W18" s="20">
        <v>2</v>
      </c>
      <c r="X18" s="4">
        <f ca="1">Y18-(W18-1)</f>
        <v>46046</v>
      </c>
      <c r="Y18" s="5">
        <f ca="1">IF(OR(T18+V18&lt;(NOW()-0.5),ISNUMBER(SEARCH("&lt;h4&gt;",K18))),U18+V18,T18+V18)</f>
        <v>46047</v>
      </c>
      <c r="Z18" t="str">
        <f ca="1">CONCATENATE(IF(OR(Y18=X18,ISBLANK(Y18)),TEXT(X18,"mmmm d"),CONCATENATE(TEXT(X18,"mmmm d"),"-",IF(TEXT(X18,"mmmm")=TEXT(Y18,"mmmm"),TEXT(Y18,"d"),TEXT(Y18,"mmmm d")))),", ",YEAR(Y18))</f>
        <v>January 24-25, 2026</v>
      </c>
      <c r="AA18" s="7">
        <f>O18</f>
        <v>45547</v>
      </c>
      <c r="AB18" s="14">
        <f>T18+V18-(W18-1)</f>
        <v>45682</v>
      </c>
      <c r="AC18" t="s">
        <v>2434</v>
      </c>
      <c r="AD18" s="23" t="str">
        <f ca="1">CONCATENATE("&lt;add-to-calendar-button  name=",CHAR(34),H18,CHAR(34),
IF(ISBLANK(M18),"",CONCATENATE("   location=",CHAR(34),RIGHT(M18,LEN(M18)-SEARCH("|",M18)-1),CHAR(34))),
"   description=",CHAR(34),IF(ISBLANK(I18),"",CONCATENATE(I18,"; ")),"shapenotesingings.com",CHAR(34),
"   options=",CHAR(34),"'Apple','Google','iCal','Outlook.com'",CHAR(34),"   styleLight=",CHAR(34),"--btn-background: #550000; --btn-text: #fff; --btn-shadow:#fff;",CHAR(34),
IF(W18=1,CONCATENATE(
"startDate=",CHAR(34),TEXT(G18,"yyyy-mm-dd"),CHAR(34),
"{endDate=",CHAR(34),TEXT(G18,"yyyy-mm-dd"),CHAR(34),
IF(OR(ISBLANK(AE18),ISBLANK(AF18)),"",(CONCATENATE(" startTime=",CHAR(34),TEXT(AE18,"hh:mm"),CHAR(34)," endTime=",CHAR(34),TEXT(AF18,"h:mm"),CHAR(34),
" timeZone=",CHAR(34),AG18,CHAR(34))))),
IF(W18=2,CONCATENATE(" dates='[{",
CHAR(34),"startDate",CHAR(34),":",CHAR(34),TEXT(G18,"yyyy-mm-dd"),CHAR(34),", ",
,CHAR(34),"endDate",CHAR(34),":",CHAR(34),TEXT(G18,"yyyy-mm-dd"),CHAR(34),
IF(OR(ISBLANK(AE18),ISBLANK(AF18)),"",(CONCATENATE(", ",CHAR(34),"startTime",CHAR(34),":",CHAR(34),TEXT(AE18,"hh:mm"),CHAR(34),", ",CHAR(34),"endTime",CHAR(34),":",CHAR(34),TEXT(AF18,"hh:mm"),CHAR(34),", ",CHAR(34),"timeZone",CHAR(34),":",CHAR(34),AG18,CHAR(34)))),"}, {",
,CHAR(34),"startDate",CHAR(34),":",CHAR(34),TEXT(G18+1,"yyyy-mm-dd"),CHAR(34),", ",
,CHAR(34),"endDate",CHAR(34),":",CHAR(34),TEXT(G18+W18-1,"yyyy-mm-dd"),CHAR(34),
IF(OR(ISBLANK(AE18),ISBLANK(AF18)),"",(CONCATENATE(", ",CHAR(34),"startTime",CHAR(34),":",CHAR(34),TEXT(AE18,"hh:mm"),CHAR(34),", ",CHAR(34),"endTime",CHAR(34),":",CHAR(34),TEXT(AF18,"hh:mm"),CHAR(34),", ",CHAR(34),"timeZone",CHAR(34),":",CHAR(34),AG18,CHAR(34)))),"}]'"),
CONCATENATE(
"{  startDate=",CHAR(34),TEXT(G18,"yyyy-mm-dd"),CHAR(34),
"  endDate=",CHAR(34),TEXT(G18+W18-1,"yyyy-mm-dd"),CHAR(34),"}"))),
" &gt;&lt;/add-to-calendar-button&gt;")</f>
        <v>&lt;add-to-calendar-button  name="Australian Sacred Harp Convention"   description="9:30am-3:30pm; shapenotesingings.com"   options="'Apple','Google','iCal','Outlook.com'"   styleLight="--btn-background: #550000; --btn-text: #fff; --btn-shadow:#fff;" dates='[{"startDate":"2026-01-24", "endDate":"2026-01-24", "startTime":"09:30", "endTime":"15:30", "timeZone":"Australia/Melbourne"}, {"startDate":"2026-01-25", "endDate":"2026-01-25", "startTime":"09:30", "endTime":"15:30", "timeZone":"Australia/Melbourne"}]' &gt;&lt;/add-to-calendar-button&gt;</v>
      </c>
      <c r="AE18" s="24">
        <v>0.39583333333333331</v>
      </c>
      <c r="AF18" s="24">
        <v>0.64583333333333337</v>
      </c>
      <c r="AG18" s="25" t="s">
        <v>1567</v>
      </c>
      <c r="AH18">
        <v>9</v>
      </c>
      <c r="AI18" s="4" t="str">
        <f>IF(DATE($AI$2,AH18,1+((5-(1&gt;=WEEKDAY(DATE($AI$2,AH18,1))))*7)+(1-WEEKDAY(DATE($AI$2,AH18,1))))&gt;=DATE($AI$2,AH18+1,1),"",DATE($AI$2,AH18,1+((5-(1&gt;=WEEKDAY(DATE($AI$2,AH18,1))))*7)+(1-WEEKDAY(DATE($AI$2,AH18,1)))))</f>
        <v/>
      </c>
      <c r="AJ18" s="4" t="str">
        <f>IF(DATE($AJ$2,AH18,1+((5-(1&gt;=WEEKDAY(DATE($AJ$2,AH18,1))))*7)+(1-WEEKDAY(DATE($AJ$2,AH18,1))))&gt;=DATE($AJ$2,AH18+1,1),"",DATE($AJ$2,AH18,1+((5-(1&gt;=WEEKDAY(DATE($AJ$2,AH18,1))))*7)+(1-WEEKDAY(DATE($AJ$2,AH18,1)))))</f>
        <v/>
      </c>
    </row>
    <row r="19" spans="1:41" x14ac:dyDescent="0.3">
      <c r="A19" t="s">
        <v>8</v>
      </c>
      <c r="B19" t="s">
        <v>102</v>
      </c>
      <c r="C19" t="s">
        <v>1064</v>
      </c>
      <c r="D19" t="s">
        <v>183</v>
      </c>
      <c r="E19" t="s">
        <v>2178</v>
      </c>
      <c r="F19" t="s">
        <v>2728</v>
      </c>
      <c r="G19" s="7">
        <f ca="1">X19</f>
        <v>46046</v>
      </c>
      <c r="H19" s="5" t="s">
        <v>2729</v>
      </c>
      <c r="I19" t="s">
        <v>2461</v>
      </c>
      <c r="L19" t="s">
        <v>2730</v>
      </c>
      <c r="M19" s="16" t="s">
        <v>2732</v>
      </c>
      <c r="N19" s="16" t="s">
        <v>2733</v>
      </c>
      <c r="O19" s="7">
        <v>45677</v>
      </c>
      <c r="P19" s="7" t="s">
        <v>2731</v>
      </c>
      <c r="Q19" s="18">
        <v>1</v>
      </c>
      <c r="R19" s="18">
        <v>4</v>
      </c>
      <c r="S19" s="18">
        <v>1</v>
      </c>
      <c r="T19" s="4">
        <f>DATE(AI$2,$Q19,1+(($R19-($S19&gt;=WEEKDAY(DATE(AI$2,$Q19,1))))*7)+($S19-WEEKDAY(DATE(AI$2,$Q19,1))))</f>
        <v>45683</v>
      </c>
      <c r="U19" s="4">
        <f>DATE(AJ$2,$Q19,1+(($R19-($S19&gt;=WEEKDAY(DATE(AJ$2,$Q19,1))))*7)+($S19-WEEKDAY(DATE(AJ$2,$Q19,1))))</f>
        <v>46047</v>
      </c>
      <c r="V19" s="20">
        <v>-1</v>
      </c>
      <c r="W19" s="20">
        <v>1</v>
      </c>
      <c r="X19" s="4">
        <f ca="1">Y19-(W19-1)</f>
        <v>46046</v>
      </c>
      <c r="Y19" s="5">
        <f ca="1">IF(OR(T19+V19&lt;(NOW()-0.5),ISNUMBER(SEARCH("&lt;h4&gt;",K19))),U19+V19,T19+V19)</f>
        <v>46046</v>
      </c>
      <c r="Z19" t="str">
        <f ca="1">CONCATENATE(IF(OR(Y19=X19,ISBLANK(Y19)),TEXT(X19,"mmmm d"),CONCATENATE(TEXT(X19,"mmmm d"),"-",IF(TEXT(X19,"mmmm")=TEXT(Y19,"mmmm"),TEXT(Y19,"d"),TEXT(Y19,"mmmm d")))),", ",YEAR(Y19))</f>
        <v>January 24, 2026</v>
      </c>
      <c r="AA19" s="7">
        <f>O19</f>
        <v>45677</v>
      </c>
      <c r="AB19" s="14">
        <f>T19+V19-(W19-1)</f>
        <v>45682</v>
      </c>
      <c r="AC19" t="s">
        <v>2734</v>
      </c>
      <c r="AD19" s="23" t="str">
        <f ca="1">CONCATENATE("&lt;add-to-calendar-button  name=",CHAR(34),H19,CHAR(34),
IF(ISBLANK(M19),"",CONCATENATE("   location=",CHAR(34),RIGHT(M19,LEN(M19)-SEARCH("|",M19)-1),CHAR(34))),
"   description=",CHAR(34),IF(ISBLANK(I19),"",CONCATENATE(I19,"; ")),"shapenotesingings.com",CHAR(34),
"   options=",CHAR(34),"'Apple','Google','iCal','Outlook.com'",CHAR(34),"   styleLight=",CHAR(34),"--btn-background: #550000; --btn-text: #fff; --btn-shadow:#fff;",CHAR(34),
IF(W19=1,CONCATENATE(
"startDate=",CHAR(34),TEXT(G19,"yyyy-mm-dd"),CHAR(34),
"{endDate=",CHAR(34),TEXT(G19,"yyyy-mm-dd"),CHAR(34),
IF(OR(ISBLANK(AE19),ISBLANK(AF19)),"",(CONCATENATE(" startTime=",CHAR(34),TEXT(AE19,"hh:mm"),CHAR(34)," endTime=",CHAR(34),TEXT(AF19,"h:mm"),CHAR(34),
" timeZone=",CHAR(34),AG19,CHAR(34))))),
IF(W19=2,CONCATENATE(" dates='[{",
CHAR(34),"startDate",CHAR(34),":",CHAR(34),TEXT(G19,"yyyy-mm-dd"),CHAR(34),", ",
,CHAR(34),"endDate",CHAR(34),":",CHAR(34),TEXT(G19,"yyyy-mm-dd"),CHAR(34),
IF(OR(ISBLANK(AE19),ISBLANK(AF19)),"",(CONCATENATE(", ",CHAR(34),"startTime",CHAR(34),":",CHAR(34),TEXT(AE19,"hh:mm"),CHAR(34),", ",CHAR(34),"endTime",CHAR(34),":",CHAR(34),TEXT(AF19,"hh:mm"),CHAR(34),", ",CHAR(34),"timeZone",CHAR(34),":",CHAR(34),AG19,CHAR(34)))),"}, {",
,CHAR(34),"startDate",CHAR(34),":",CHAR(34),TEXT(G19+1,"yyyy-mm-dd"),CHAR(34),", ",
,CHAR(34),"endDate",CHAR(34),":",CHAR(34),TEXT(G19+W19-1,"yyyy-mm-dd"),CHAR(34),
IF(OR(ISBLANK(AE19),ISBLANK(AF19)),"",(CONCATENATE(", ",CHAR(34),"startTime",CHAR(34),":",CHAR(34),TEXT(AE19,"hh:mm"),CHAR(34),", ",CHAR(34),"endTime",CHAR(34),":",CHAR(34),TEXT(AF19,"hh:mm"),CHAR(34),", ",CHAR(34),"timeZone",CHAR(34),":",CHAR(34),AG19,CHAR(34)))),"}]'"),
CONCATENATE(
"{  startDate=",CHAR(34),TEXT(G19,"yyyy-mm-dd"),CHAR(34),
"  endDate=",CHAR(34),TEXT(G19+W19-1,"yyyy-mm-dd"),CHAR(34),"}"))),
" &gt;&lt;/add-to-calendar-button&gt;")</f>
        <v>&lt;add-to-calendar-button  name="Jacksonville All-Day Singing"   location="St. John's Lutheran Church, 1950 Silver St, Jacksonville, FL 32206"   description="9am-3:30pm; shapenotesingings.com"   options="'Apple','Google','iCal','Outlook.com'"   styleLight="--btn-background: #550000; --btn-text: #fff; --btn-shadow:#fff;"startDate="2026-01-24"{endDate="2026-01-24" startTime="09:00" endTime="15:30" timeZone="America/New_York" &gt;&lt;/add-to-calendar-button&gt;</v>
      </c>
      <c r="AE19" s="24">
        <v>0.375</v>
      </c>
      <c r="AF19" s="24">
        <v>0.64583333333333337</v>
      </c>
      <c r="AG19" s="25" t="s">
        <v>1532</v>
      </c>
      <c r="AH19">
        <v>10</v>
      </c>
      <c r="AI19" s="4" t="str">
        <f>IF(DATE($AI$2,AH19,1+((5-(1&gt;=WEEKDAY(DATE($AI$2,AH19,1))))*7)+(1-WEEKDAY(DATE($AI$2,AH19,1))))&gt;=DATE($AI$2,AH19+1,1),"",DATE($AI$2,AH19,1+((5-(1&gt;=WEEKDAY(DATE($AI$2,AH19,1))))*7)+(1-WEEKDAY(DATE($AI$2,AH19,1)))))</f>
        <v/>
      </c>
      <c r="AJ19" s="4" t="str">
        <f>IF(DATE($AJ$2,AH19,1+((5-(1&gt;=WEEKDAY(DATE($AJ$2,AH19,1))))*7)+(1-WEEKDAY(DATE($AJ$2,AH19,1))))&gt;=DATE($AJ$2,AH19+1,1),"",DATE($AJ$2,AH19,1+((5-(1&gt;=WEEKDAY(DATE($AJ$2,AH19,1))))*7)+(1-WEEKDAY(DATE($AJ$2,AH19,1)))))</f>
        <v/>
      </c>
    </row>
    <row r="20" spans="1:41" x14ac:dyDescent="0.3">
      <c r="A20" t="s">
        <v>8</v>
      </c>
      <c r="B20" t="s">
        <v>176</v>
      </c>
      <c r="C20" t="s">
        <v>1157</v>
      </c>
      <c r="D20" t="s">
        <v>2423</v>
      </c>
      <c r="E20" t="s">
        <v>2178</v>
      </c>
      <c r="F20" t="s">
        <v>65</v>
      </c>
      <c r="G20" s="7">
        <f ca="1">X20</f>
        <v>46046</v>
      </c>
      <c r="H20" s="5" t="s">
        <v>177</v>
      </c>
      <c r="I20" t="s">
        <v>1039</v>
      </c>
      <c r="J20" s="36" t="s">
        <v>2534</v>
      </c>
      <c r="L20" t="s">
        <v>2422</v>
      </c>
      <c r="M20" s="16" t="s">
        <v>2424</v>
      </c>
      <c r="N20" s="16" t="s">
        <v>2425</v>
      </c>
      <c r="O20" s="7">
        <v>45641</v>
      </c>
      <c r="P20" s="7" t="s">
        <v>2426</v>
      </c>
      <c r="Q20" s="18">
        <v>1</v>
      </c>
      <c r="R20" s="18">
        <v>4</v>
      </c>
      <c r="S20" s="18">
        <v>1</v>
      </c>
      <c r="T20" s="4">
        <f>DATE(AI$2,$Q20,1+(($R20-($S20&gt;=WEEKDAY(DATE(AI$2,$Q20,1))))*7)+($S20-WEEKDAY(DATE(AI$2,$Q20,1))))</f>
        <v>45683</v>
      </c>
      <c r="U20" s="4">
        <f>DATE(AJ$2,$Q20,1+(($R20-($S20&gt;=WEEKDAY(DATE(AJ$2,$Q20,1))))*7)+($S20-WEEKDAY(DATE(AJ$2,$Q20,1))))</f>
        <v>46047</v>
      </c>
      <c r="V20" s="20">
        <v>0</v>
      </c>
      <c r="W20" s="20">
        <v>2</v>
      </c>
      <c r="X20" s="4">
        <f ca="1">Y20-(W20-1)</f>
        <v>46046</v>
      </c>
      <c r="Y20" s="5">
        <f ca="1">IF(OR(T20+V20&lt;(NOW()-0.5),ISNUMBER(SEARCH("&lt;h4&gt;",K20))),U20+V20,T20+V20)</f>
        <v>46047</v>
      </c>
      <c r="Z20" t="str">
        <f ca="1">CONCATENATE(IF(OR(Y20=X20,ISBLANK(Y20)),TEXT(X20,"mmmm d"),CONCATENATE(TEXT(X20,"mmmm d"),"-",IF(TEXT(X20,"mmmm")=TEXT(Y20,"mmmm"),TEXT(Y20,"d"),TEXT(Y20,"mmmm d")))),", ",YEAR(Y20))</f>
        <v>January 24-25, 2026</v>
      </c>
      <c r="AA20" s="7">
        <f>O20</f>
        <v>45641</v>
      </c>
      <c r="AB20" s="14">
        <f>T20+V20-(W20-1)</f>
        <v>45682</v>
      </c>
      <c r="AC20" s="9" t="s">
        <v>2427</v>
      </c>
      <c r="AD20" s="23" t="str">
        <f ca="1">CONCATENATE("&lt;add-to-calendar-button  name=",CHAR(34),H20,CHAR(34),
IF(ISBLANK(M20),"",CONCATENATE("   location=",CHAR(34),RIGHT(M20,LEN(M20)-SEARCH("|",M20)-1),CHAR(34))),
"   description=",CHAR(34),IF(ISBLANK(I20),"",CONCATENATE(I20,"; ")),"shapenotesingings.com",CHAR(34),
"   options=",CHAR(34),"'Apple','Google','iCal','Outlook.com'",CHAR(34),"   styleLight=",CHAR(34),"--btn-background: #550000; --btn-text: #fff; --btn-shadow:#fff;",CHAR(34),
IF(W20=1,CONCATENATE(
"startDate=",CHAR(34),TEXT(G20,"yyyy-mm-dd"),CHAR(34),
"{endDate=",CHAR(34),TEXT(G20,"yyyy-mm-dd"),CHAR(34),
IF(OR(ISBLANK(AE20),ISBLANK(AF20)),"",(CONCATENATE(" startTime=",CHAR(34),TEXT(AE20,"hh:mm"),CHAR(34)," endTime=",CHAR(34),TEXT(AF20,"h:mm"),CHAR(34),
" timeZone=",CHAR(34),AG20,CHAR(34))))),
IF(W20=2,CONCATENATE(" dates='[{",
CHAR(34),"startDate",CHAR(34),":",CHAR(34),TEXT(G20,"yyyy-mm-dd"),CHAR(34),", ",
,CHAR(34),"endDate",CHAR(34),":",CHAR(34),TEXT(G20,"yyyy-mm-dd"),CHAR(34),
IF(OR(ISBLANK(AE20),ISBLANK(AF20)),"",(CONCATENATE(", ",CHAR(34),"startTime",CHAR(34),":",CHAR(34),TEXT(AE20,"hh:mm"),CHAR(34),", ",CHAR(34),"endTime",CHAR(34),":",CHAR(34),TEXT(AF20,"hh:mm"),CHAR(34),", ",CHAR(34),"timeZone",CHAR(34),":",CHAR(34),AG20,CHAR(34)))),"}, {",
,CHAR(34),"startDate",CHAR(34),":",CHAR(34),TEXT(G20+1,"yyyy-mm-dd"),CHAR(34),", ",
,CHAR(34),"endDate",CHAR(34),":",CHAR(34),TEXT(G20+W20-1,"yyyy-mm-dd"),CHAR(34),
IF(OR(ISBLANK(AE20),ISBLANK(AF20)),"",(CONCATENATE(", ",CHAR(34),"startTime",CHAR(34),":",CHAR(34),TEXT(AE20,"hh:mm"),CHAR(34),", ",CHAR(34),"endTime",CHAR(34),":",CHAR(34),TEXT(AF20,"hh:mm"),CHAR(34),", ",CHAR(34),"timeZone",CHAR(34),":",CHAR(34),AG20,CHAR(34)))),"}]'"),
CONCATENATE(
"{  startDate=",CHAR(34),TEXT(G20,"yyyy-mm-dd"),CHAR(34),
"  endDate=",CHAR(34),TEXT(G20+W20-1,"yyyy-mm-dd"),CHAR(34),"}"))),
" &gt;&lt;/add-to-calendar-button&gt;")</f>
        <v>&lt;add-to-calendar-button  name="Keystone Convention"   location="Bareville Fire Hall, 211 East Main Street, Leola, PA 17540"   description="10am-3:30pm; shapenotesingings.com"   options="'Apple','Google','iCal','Outlook.com'"   styleLight="--btn-background: #550000; --btn-text: #fff; --btn-shadow:#fff;" dates='[{"startDate":"2026-01-24", "endDate":"2026-01-24", "startTime":"10:00", "endTime":"15:30", "timeZone":"America/New_York"}, {"startDate":"2026-01-25", "endDate":"2026-01-25", "startTime":"10:00", "endTime":"15:30", "timeZone":"America/New_York"}]' &gt;&lt;/add-to-calendar-button&gt;</v>
      </c>
      <c r="AE20" s="24">
        <v>0.41666666666666669</v>
      </c>
      <c r="AF20" s="24">
        <v>0.64583333333333337</v>
      </c>
      <c r="AG20" s="25" t="s">
        <v>1532</v>
      </c>
      <c r="AH20">
        <v>10</v>
      </c>
      <c r="AI20" s="4" t="str">
        <f>IF(DATE($AI$2,AH20,1+((5-(1&gt;=WEEKDAY(DATE($AI$2,AH20,1))))*7)+(1-WEEKDAY(DATE($AI$2,AH20,1))))&gt;=DATE($AI$2,AH20+1,1),"",DATE($AI$2,AH20,1+((5-(1&gt;=WEEKDAY(DATE($AI$2,AH20,1))))*7)+(1-WEEKDAY(DATE($AI$2,AH20,1)))))</f>
        <v/>
      </c>
      <c r="AJ20" s="4" t="str">
        <f>IF(DATE($AJ$2,AH20,1+((5-(1&gt;=WEEKDAY(DATE($AJ$2,AH20,1))))*7)+(1-WEEKDAY(DATE($AJ$2,AH20,1))))&gt;=DATE($AJ$2,AH20+1,1),"",DATE($AJ$2,AH20,1+((5-(1&gt;=WEEKDAY(DATE($AJ$2,AH20,1))))*7)+(1-WEEKDAY(DATE($AJ$2,AH20,1)))))</f>
        <v/>
      </c>
    </row>
    <row r="21" spans="1:41" x14ac:dyDescent="0.3">
      <c r="A21" t="s">
        <v>8</v>
      </c>
      <c r="B21" t="s">
        <v>11</v>
      </c>
      <c r="C21" t="s">
        <v>1134</v>
      </c>
      <c r="D21" t="s">
        <v>847</v>
      </c>
      <c r="E21" t="s">
        <v>1436</v>
      </c>
      <c r="F21" t="s">
        <v>65</v>
      </c>
      <c r="G21" s="7">
        <f ca="1">X21</f>
        <v>46046</v>
      </c>
      <c r="H21" t="s">
        <v>845</v>
      </c>
      <c r="I21" t="s">
        <v>1053</v>
      </c>
      <c r="J21" s="36" t="s">
        <v>2535</v>
      </c>
      <c r="K21" t="s">
        <v>2513</v>
      </c>
      <c r="L21" t="s">
        <v>2512</v>
      </c>
      <c r="M21" s="16" t="s">
        <v>846</v>
      </c>
      <c r="N21" s="16" t="s">
        <v>848</v>
      </c>
      <c r="O21" s="7">
        <v>45302</v>
      </c>
      <c r="P21" s="7" t="s">
        <v>1876</v>
      </c>
      <c r="Q21" s="18">
        <v>1</v>
      </c>
      <c r="R21" s="18">
        <v>4</v>
      </c>
      <c r="S21" s="18">
        <v>1</v>
      </c>
      <c r="T21" s="4">
        <f>DATE(AI$2,$Q21,1+(($R21-($S21&gt;=WEEKDAY(DATE(AI$2,$Q21,1))))*7)+($S21-WEEKDAY(DATE(AI$2,$Q21,1))))</f>
        <v>45683</v>
      </c>
      <c r="U21" s="4">
        <f>DATE(AJ$2,$Q21,1+(($R21-($S21&gt;=WEEKDAY(DATE(AJ$2,$Q21,1))))*7)+($S21-WEEKDAY(DATE(AJ$2,$Q21,1))))</f>
        <v>46047</v>
      </c>
      <c r="V21" s="20">
        <v>0</v>
      </c>
      <c r="W21" s="20">
        <v>2</v>
      </c>
      <c r="X21" s="4">
        <f ca="1">Y21-(W21-1)</f>
        <v>46046</v>
      </c>
      <c r="Y21" s="5">
        <f ca="1">IF(OR(T21+V21&lt;(NOW()-0.5),ISNUMBER(SEARCH("&lt;h4&gt;",K21))),U21+V21,T21+V21)</f>
        <v>46047</v>
      </c>
      <c r="Z21" t="str">
        <f ca="1">CONCATENATE(IF(OR(Y21=X21,ISBLANK(Y21)),TEXT(X21,"mmmm d"),CONCATENATE(TEXT(X21,"mmmm d"),"-",IF(TEXT(X21,"mmmm")=TEXT(Y21,"mmmm"),TEXT(Y21,"d"),TEXT(Y21,"mmmm d")))),", ",YEAR(Y21))</f>
        <v>January 24-25, 2026</v>
      </c>
      <c r="AA21" s="7">
        <f>O21</f>
        <v>45302</v>
      </c>
      <c r="AB21" s="14">
        <f>T21+V21-(W21-1)</f>
        <v>45682</v>
      </c>
      <c r="AC21" t="s">
        <v>1206</v>
      </c>
      <c r="AD21" s="23" t="str">
        <f ca="1">CONCATENATE("&lt;add-to-calendar-button  name=",CHAR(34),H21,CHAR(34),
IF(ISBLANK(M21),"",CONCATENATE("   location=",CHAR(34),RIGHT(M21,LEN(M21)-SEARCH("|",M21)-1),CHAR(34))),
"   description=",CHAR(34),IF(ISBLANK(I21),"",CONCATENATE(I21,"; ")),"shapenotesingings.com",CHAR(34),
"   options=",CHAR(34),"'Apple','Google','iCal','Outlook.com'",CHAR(34),"   styleLight=",CHAR(34),"--btn-background: #550000; --btn-text: #fff; --btn-shadow:#fff;",CHAR(34),
IF(W21=1,CONCATENATE(
"startDate=",CHAR(34),TEXT(G21,"yyyy-mm-dd"),CHAR(34),
"{endDate=",CHAR(34),TEXT(G21,"yyyy-mm-dd"),CHAR(34),
IF(OR(ISBLANK(AE21),ISBLANK(AF21)),"",(CONCATENATE(" startTime=",CHAR(34),TEXT(AE21,"hh:mm"),CHAR(34)," endTime=",CHAR(34),TEXT(AF21,"h:mm"),CHAR(34),
" timeZone=",CHAR(34),AG21,CHAR(34))))),
IF(W21=2,CONCATENATE(" dates='[{",
CHAR(34),"startDate",CHAR(34),":",CHAR(34),TEXT(G21,"yyyy-mm-dd"),CHAR(34),", ",
,CHAR(34),"endDate",CHAR(34),":",CHAR(34),TEXT(G21,"yyyy-mm-dd"),CHAR(34),
IF(OR(ISBLANK(AE21),ISBLANK(AF21)),"",(CONCATENATE(", ",CHAR(34),"startTime",CHAR(34),":",CHAR(34),TEXT(AE21,"hh:mm"),CHAR(34),", ",CHAR(34),"endTime",CHAR(34),":",CHAR(34),TEXT(AF21,"hh:mm"),CHAR(34),", ",CHAR(34),"timeZone",CHAR(34),":",CHAR(34),AG21,CHAR(34)))),"}, {",
,CHAR(34),"startDate",CHAR(34),":",CHAR(34),TEXT(G21+1,"yyyy-mm-dd"),CHAR(34),", ",
,CHAR(34),"endDate",CHAR(34),":",CHAR(34),TEXT(G21+W21-1,"yyyy-mm-dd"),CHAR(34),
IF(OR(ISBLANK(AE21),ISBLANK(AF21)),"",(CONCATENATE(", ",CHAR(34),"startTime",CHAR(34),":",CHAR(34),TEXT(AE21,"hh:mm"),CHAR(34),", ",CHAR(34),"endTime",CHAR(34),":",CHAR(34),TEXT(AF21,"hh:mm"),CHAR(34),", ",CHAR(34),"timeZone",CHAR(34),":",CHAR(34),AG21,CHAR(34)))),"}]'"),
CONCATENATE(
"{  startDate=",CHAR(34),TEXT(G21,"yyyy-mm-dd"),CHAR(34),
"  endDate=",CHAR(34),TEXT(G21+W21-1,"yyyy-mm-dd"),CHAR(34),"}"))),
" &gt;&lt;/add-to-calendar-button&gt;")</f>
        <v>&lt;add-to-calendar-button  name="Bill Green Memorial/Baldwin County Convention"   location="Galilee Primitive Baptist Church, 37295 AL-59, Bay Minette, AL 36507"   description="Saturday 9:30am-2:30pm, Sunday 9am-2pm; shapenotesingings.com"   options="'Apple','Google','iCal','Outlook.com'"   styleLight="--btn-background: #550000; --btn-text: #fff; --btn-shadow:#fff;" dates='[{"startDate":"2026-01-24", "endDate":"2026-01-24", "startTime":"10:00", "endTime":"16:00", "timeZone":"America/Chicago"}, {"startDate":"2026-01-25", "endDate":"2026-01-25", "startTime":"10:00", "endTime":"16:00", "timeZone":"America/Chicago"}]' &gt;&lt;/add-to-calendar-button&gt;</v>
      </c>
      <c r="AE21" s="24">
        <v>0.41666666666666669</v>
      </c>
      <c r="AF21" s="24">
        <v>0.66666666666666663</v>
      </c>
      <c r="AG21" s="25" t="s">
        <v>1533</v>
      </c>
      <c r="AH21">
        <v>11</v>
      </c>
      <c r="AI21" s="4">
        <f>IF(DATE($AI$2,AH21,1+((5-(1&gt;=WEEKDAY(DATE($AI$2,AH21,1))))*7)+(1-WEEKDAY(DATE($AI$2,AH21,1))))&gt;=DATE($AI$2,AH21+1,1),"",DATE($AI$2,AH21,1+((5-(1&gt;=WEEKDAY(DATE($AI$2,AH21,1))))*7)+(1-WEEKDAY(DATE($AI$2,AH21,1)))))</f>
        <v>45991</v>
      </c>
      <c r="AJ21" s="4">
        <f>IF(DATE($AJ$2,AH21,1+((5-(1&gt;=WEEKDAY(DATE($AJ$2,AH21,1))))*7)+(1-WEEKDAY(DATE($AJ$2,AH21,1))))&gt;=DATE($AJ$2,AH21+1,1),"",DATE($AJ$2,AH21,1+((5-(1&gt;=WEEKDAY(DATE($AJ$2,AH21,1))))*7)+(1-WEEKDAY(DATE($AJ$2,AH21,1)))))</f>
        <v>46355</v>
      </c>
      <c r="AO21" s="12"/>
    </row>
    <row r="22" spans="1:41" x14ac:dyDescent="0.3">
      <c r="A22" t="s">
        <v>8</v>
      </c>
      <c r="B22" t="s">
        <v>40</v>
      </c>
      <c r="C22" t="s">
        <v>1161</v>
      </c>
      <c r="D22" t="s">
        <v>111</v>
      </c>
      <c r="E22" t="s">
        <v>2178</v>
      </c>
      <c r="F22" t="s">
        <v>113</v>
      </c>
      <c r="G22" s="7">
        <f ca="1">X22</f>
        <v>46053</v>
      </c>
      <c r="H22" s="5" t="s">
        <v>112</v>
      </c>
      <c r="I22" t="s">
        <v>1040</v>
      </c>
      <c r="J22" s="36" t="s">
        <v>2536</v>
      </c>
      <c r="K22" t="s">
        <v>1054</v>
      </c>
      <c r="L22" t="s">
        <v>2719</v>
      </c>
      <c r="M22" s="16" t="s">
        <v>1055</v>
      </c>
      <c r="N22" s="16" t="s">
        <v>1056</v>
      </c>
      <c r="O22" s="7">
        <v>44936</v>
      </c>
      <c r="P22" s="7" t="s">
        <v>926</v>
      </c>
      <c r="Q22" s="18">
        <v>2</v>
      </c>
      <c r="R22" s="18">
        <v>1</v>
      </c>
      <c r="S22" s="18">
        <v>7</v>
      </c>
      <c r="T22" s="4">
        <f>DATE(AI$2,$Q22,1+(($R22-($S22&gt;=WEEKDAY(DATE(AI$2,$Q22,1))))*7)+($S22-WEEKDAY(DATE(AI$2,$Q22,1))))</f>
        <v>45689</v>
      </c>
      <c r="U22" s="4">
        <f>DATE(AJ$2,$Q22,1+(($R22-($S22&gt;=WEEKDAY(DATE(AJ$2,$Q22,1))))*7)+($S22-WEEKDAY(DATE(AJ$2,$Q22,1))))</f>
        <v>46060</v>
      </c>
      <c r="V22" s="20">
        <v>-7</v>
      </c>
      <c r="W22" s="20">
        <v>1</v>
      </c>
      <c r="X22" s="4">
        <f ca="1">Y22-(W22-1)</f>
        <v>46053</v>
      </c>
      <c r="Y22" s="5">
        <f ca="1">IF(OR(T22+V22&lt;(NOW()-0.5),ISNUMBER(SEARCH("&lt;h4&gt;",K22))),U22+V22,T22+V22)</f>
        <v>46053</v>
      </c>
      <c r="Z22" t="str">
        <f ca="1">CONCATENATE(IF(OR(Y22=X22,ISBLANK(Y22)),TEXT(X22,"mmmm d"),CONCATENATE(TEXT(X22,"mmmm d"),"-",IF(TEXT(X22,"mmmm")=TEXT(Y22,"mmmm"),TEXT(Y22,"d"),TEXT(Y22,"mmmm d")))),", ",YEAR(Y22))</f>
        <v>January 31, 2026</v>
      </c>
      <c r="AA22" s="7">
        <f>O22</f>
        <v>44936</v>
      </c>
      <c r="AB22" s="14">
        <f>T22+V22-(W22-1)</f>
        <v>45682</v>
      </c>
      <c r="AC22" t="s">
        <v>1208</v>
      </c>
      <c r="AD22" s="23" t="str">
        <f ca="1">CONCATENATE("&lt;add-to-calendar-button  name=",CHAR(34),H22,CHAR(34),
IF(ISBLANK(M22),"",CONCATENATE("   location=",CHAR(34),RIGHT(M22,LEN(M22)-SEARCH("|",M22)-1),CHAR(34))),
"   description=",CHAR(34),IF(ISBLANK(I22),"",CONCATENATE(I22,"; ")),"shapenotesingings.com",CHAR(34),
"   options=",CHAR(34),"'Apple','Google','iCal','Outlook.com'",CHAR(34),"   styleLight=",CHAR(34),"--btn-background: #550000; --btn-text: #fff; --btn-shadow:#fff;",CHAR(34),
IF(W22=1,CONCATENATE(
"startDate=",CHAR(34),TEXT(G22,"yyyy-mm-dd"),CHAR(34),
"{endDate=",CHAR(34),TEXT(G22,"yyyy-mm-dd"),CHAR(34),
IF(OR(ISBLANK(AE22),ISBLANK(AF22)),"",(CONCATENATE(" startTime=",CHAR(34),TEXT(AE22,"hh:mm"),CHAR(34)," endTime=",CHAR(34),TEXT(AF22,"h:mm"),CHAR(34),
" timeZone=",CHAR(34),AG22,CHAR(34))))),
IF(W22=2,CONCATENATE(" dates='[{",
CHAR(34),"startDate",CHAR(34),":",CHAR(34),TEXT(G22,"yyyy-mm-dd"),CHAR(34),", ",
,CHAR(34),"endDate",CHAR(34),":",CHAR(34),TEXT(G22,"yyyy-mm-dd"),CHAR(34),
IF(OR(ISBLANK(AE22),ISBLANK(AF22)),"",(CONCATENATE(", ",CHAR(34),"startTime",CHAR(34),":",CHAR(34),TEXT(AE22,"hh:mm"),CHAR(34),", ",CHAR(34),"endTime",CHAR(34),":",CHAR(34),TEXT(AF22,"hh:mm"),CHAR(34),", ",CHAR(34),"timeZone",CHAR(34),":",CHAR(34),AG22,CHAR(34)))),"}, {",
,CHAR(34),"startDate",CHAR(34),":",CHAR(34),TEXT(G22+1,"yyyy-mm-dd"),CHAR(34),", ",
,CHAR(34),"endDate",CHAR(34),":",CHAR(34),TEXT(G22+W22-1,"yyyy-mm-dd"),CHAR(34),
IF(OR(ISBLANK(AE22),ISBLANK(AF22)),"",(CONCATENATE(", ",CHAR(34),"startTime",CHAR(34),":",CHAR(34),TEXT(AE22,"hh:mm"),CHAR(34),", ",CHAR(34),"endTime",CHAR(34),":",CHAR(34),TEXT(AF22,"hh:mm"),CHAR(34),", ",CHAR(34),"timeZone",CHAR(34),":",CHAR(34),AG22,CHAR(34)))),"}]'"),
CONCATENATE(
"{  startDate=",CHAR(34),TEXT(G22,"yyyy-mm-dd"),CHAR(34),
"  endDate=",CHAR(34),TEXT(G22+W22-1,"yyyy-mm-dd"),CHAR(34),"}"))),
" &gt;&lt;/add-to-calendar-button&gt;")</f>
        <v>&lt;add-to-calendar-button  name="William J. Reynolds Sacred Harp Singing"   location="Cowden Hall, Southwestern Baptist Theological Seminary, 1809 West Broadus St., Fort Worth, Texas"   description="9:30am; shapenotesingings.com"   options="'Apple','Google','iCal','Outlook.com'"   styleLight="--btn-background: #550000; --btn-text: #fff; --btn-shadow:#fff;"startDate="2026-01-31"{endDate="2026-01-31" startTime="09:30" endTime="15:00" timeZone="America/Chicago" &gt;&lt;/add-to-calendar-button&gt;</v>
      </c>
      <c r="AE22" s="24">
        <v>0.39583333333333331</v>
      </c>
      <c r="AF22" s="24">
        <v>0.625</v>
      </c>
      <c r="AG22" s="25" t="s">
        <v>1533</v>
      </c>
      <c r="AH22">
        <v>12</v>
      </c>
      <c r="AI22" s="4" t="str">
        <f>IF(DATE($AI$2,AH22,1+((5-(1&gt;=WEEKDAY(DATE($AI$2,AH22,1))))*7)+(1-WEEKDAY(DATE($AI$2,AH22,1))))&gt;=DATE($AI$2,AH22+1,1),"",DATE($AI$2,AH22,1+((5-(1&gt;=WEEKDAY(DATE($AI$2,AH22,1))))*7)+(1-WEEKDAY(DATE($AI$2,AH22,1)))))</f>
        <v/>
      </c>
      <c r="AJ22" s="4" t="str">
        <f>IF(DATE($AJ$2,AH22,1+((5-(1&gt;=WEEKDAY(DATE($AJ$2,AH22,1))))*7)+(1-WEEKDAY(DATE($AJ$2,AH22,1))))&gt;=DATE($AJ$2,AH22+1,1),"",DATE($AJ$2,AH22,1+((5-(1&gt;=WEEKDAY(DATE($AJ$2,AH22,1))))*7)+(1-WEEKDAY(DATE($AJ$2,AH22,1)))))</f>
        <v/>
      </c>
      <c r="AO22" s="12"/>
    </row>
    <row r="23" spans="1:41" x14ac:dyDescent="0.3">
      <c r="A23" t="s">
        <v>8</v>
      </c>
      <c r="B23" t="s">
        <v>41</v>
      </c>
      <c r="C23" t="s">
        <v>1148</v>
      </c>
      <c r="D23" t="s">
        <v>244</v>
      </c>
      <c r="E23" t="s">
        <v>1435</v>
      </c>
      <c r="F23" t="s">
        <v>178</v>
      </c>
      <c r="G23" s="7">
        <f ca="1">X23</f>
        <v>46053</v>
      </c>
      <c r="H23" s="5" t="s">
        <v>2498</v>
      </c>
      <c r="I23" t="s">
        <v>1071</v>
      </c>
      <c r="K23" t="s">
        <v>2501</v>
      </c>
      <c r="M23" s="16" t="s">
        <v>2499</v>
      </c>
      <c r="N23" s="16" t="s">
        <v>2639</v>
      </c>
      <c r="O23" s="7">
        <v>45661</v>
      </c>
      <c r="P23" s="7" t="s">
        <v>2343</v>
      </c>
      <c r="Q23" s="18">
        <v>2</v>
      </c>
      <c r="R23" s="18">
        <v>1</v>
      </c>
      <c r="S23" s="18">
        <v>1</v>
      </c>
      <c r="T23" s="4">
        <f>DATE(AI$2,$Q23,1+(($R23-($S23&gt;=WEEKDAY(DATE(AI$2,$Q23,1))))*7)+($S23-WEEKDAY(DATE(AI$2,$Q23,1))))</f>
        <v>45690</v>
      </c>
      <c r="U23" s="4">
        <f>DATE(AJ$2,$Q23,1+(($R23-($S23&gt;=WEEKDAY(DATE(AJ$2,$Q23,1))))*7)+($S23-WEEKDAY(DATE(AJ$2,$Q23,1))))</f>
        <v>46054</v>
      </c>
      <c r="V23" s="20">
        <v>-1</v>
      </c>
      <c r="W23" s="20">
        <v>1</v>
      </c>
      <c r="X23" s="4">
        <f ca="1">Y23-(W23-1)</f>
        <v>46053</v>
      </c>
      <c r="Y23" s="5">
        <f ca="1">IF(OR(T23+V23&lt;(NOW()-0.5),ISNUMBER(SEARCH("&lt;h4&gt;",K23))),U23+V23,T23+V23)</f>
        <v>46053</v>
      </c>
      <c r="Z23" t="str">
        <f ca="1">CONCATENATE(IF(OR(Y23=X23,ISBLANK(Y23)),TEXT(X23,"mmmm d"),CONCATENATE(TEXT(X23,"mmmm d"),"-",IF(TEXT(X23,"mmmm")=TEXT(Y23,"mmmm"),TEXT(Y23,"d"),TEXT(Y23,"mmmm d")))),", ",YEAR(Y23))</f>
        <v>January 31, 2026</v>
      </c>
      <c r="AA23" s="7">
        <f>O23</f>
        <v>45661</v>
      </c>
      <c r="AB23" s="14">
        <f>T23+V23-(W23-1)</f>
        <v>45689</v>
      </c>
      <c r="AC23" t="s">
        <v>2500</v>
      </c>
      <c r="AD23" s="23" t="str">
        <f ca="1">CONCATENATE("&lt;add-to-calendar-button  name=",CHAR(34),H23,CHAR(34),
IF(ISBLANK(M23),"",CONCATENATE("   location=",CHAR(34),RIGHT(M23,LEN(M23)-SEARCH("|",M23)-1),CHAR(34))),
"   description=",CHAR(34),IF(ISBLANK(I23),"",CONCATENATE(I23,"; ")),"shapenotesingings.com",CHAR(34),
"   options=",CHAR(34),"'Apple','Google','iCal','Outlook.com'",CHAR(34),"   styleLight=",CHAR(34),"--btn-background: #550000; --btn-text: #fff; --btn-shadow:#fff;",CHAR(34),
IF(W23=1,CONCATENATE(
"startDate=",CHAR(34),TEXT(G23,"yyyy-mm-dd"),CHAR(34),
"{endDate=",CHAR(34),TEXT(G23,"yyyy-mm-dd"),CHAR(34),
IF(OR(ISBLANK(AE23),ISBLANK(AF23)),"",(CONCATENATE(" startTime=",CHAR(34),TEXT(AE23,"hh:mm"),CHAR(34)," endTime=",CHAR(34),TEXT(AF23,"h:mm"),CHAR(34),
" timeZone=",CHAR(34),AG23,CHAR(34))))),
IF(W23=2,CONCATENATE(" dates='[{",
CHAR(34),"startDate",CHAR(34),":",CHAR(34),TEXT(G23,"yyyy-mm-dd"),CHAR(34),", ",
,CHAR(34),"endDate",CHAR(34),":",CHAR(34),TEXT(G23,"yyyy-mm-dd"),CHAR(34),
IF(OR(ISBLANK(AE23),ISBLANK(AF23)),"",(CONCATENATE(", ",CHAR(34),"startTime",CHAR(34),":",CHAR(34),TEXT(AE23,"hh:mm"),CHAR(34),", ",CHAR(34),"endTime",CHAR(34),":",CHAR(34),TEXT(AF23,"hh:mm"),CHAR(34),", ",CHAR(34),"timeZone",CHAR(34),":",CHAR(34),AG23,CHAR(34)))),"}, {",
,CHAR(34),"startDate",CHAR(34),":",CHAR(34),TEXT(G23+1,"yyyy-mm-dd"),CHAR(34),", ",
,CHAR(34),"endDate",CHAR(34),":",CHAR(34),TEXT(G23+W23-1,"yyyy-mm-dd"),CHAR(34),
IF(OR(ISBLANK(AE23),ISBLANK(AF23)),"",(CONCATENATE(", ",CHAR(34),"startTime",CHAR(34),":",CHAR(34),TEXT(AE23,"hh:mm"),CHAR(34),", ",CHAR(34),"endTime",CHAR(34),":",CHAR(34),TEXT(AF23,"hh:mm"),CHAR(34),", ",CHAR(34),"timeZone",CHAR(34),":",CHAR(34),AG23,CHAR(34)))),"}]'"),
CONCATENATE(
"{  startDate=",CHAR(34),TEXT(G23,"yyyy-mm-dd"),CHAR(34),
"  endDate=",CHAR(34),TEXT(G23+W23-1,"yyyy-mm-dd"),CHAR(34),"}"))),
" &gt;&lt;/add-to-calendar-button&gt;")</f>
        <v>&lt;add-to-calendar-button  name="Western Massachusetts Christian Harmony All-Day"   location="Northampton Friends Meeting, 43 Center Ct STE 202, Northampton, MA 01060"   description="10:30am-3:30pm; shapenotesingings.com"   options="'Apple','Google','iCal','Outlook.com'"   styleLight="--btn-background: #550000; --btn-text: #fff; --btn-shadow:#fff;"startDate="2026-01-31"{endDate="2026-01-31" startTime="10:30" endTime="15:30" timeZone="America/New_York" &gt;&lt;/add-to-calendar-button&gt;</v>
      </c>
      <c r="AE23" s="24">
        <v>0.4375</v>
      </c>
      <c r="AF23" s="24">
        <v>0.64583333333333337</v>
      </c>
      <c r="AG23" s="25" t="s">
        <v>1532</v>
      </c>
      <c r="AH23" t="s">
        <v>97</v>
      </c>
      <c r="AI23" s="4">
        <f>MIN(AI10:AI22)</f>
        <v>45746</v>
      </c>
      <c r="AJ23" s="4">
        <f>MIN(AJ10:AJ22)</f>
        <v>46110</v>
      </c>
      <c r="AO23" s="12"/>
    </row>
    <row r="24" spans="1:41" x14ac:dyDescent="0.3">
      <c r="A24" t="s">
        <v>8</v>
      </c>
      <c r="B24" t="s">
        <v>608</v>
      </c>
      <c r="C24" t="s">
        <v>1147</v>
      </c>
      <c r="D24" t="s">
        <v>2720</v>
      </c>
      <c r="E24" t="s">
        <v>2178</v>
      </c>
      <c r="F24" t="s">
        <v>2721</v>
      </c>
      <c r="G24" s="7">
        <f ca="1">X24</f>
        <v>46053</v>
      </c>
      <c r="H24" s="5" t="s">
        <v>2722</v>
      </c>
      <c r="I24" t="s">
        <v>1101</v>
      </c>
      <c r="L24" t="s">
        <v>2726</v>
      </c>
      <c r="M24" s="16" t="s">
        <v>2723</v>
      </c>
      <c r="N24" s="16" t="s">
        <v>2724</v>
      </c>
      <c r="O24" s="7">
        <v>45674</v>
      </c>
      <c r="P24" s="7" t="s">
        <v>2727</v>
      </c>
      <c r="Q24" s="18">
        <v>2</v>
      </c>
      <c r="R24" s="18">
        <v>1</v>
      </c>
      <c r="S24" s="18">
        <v>1</v>
      </c>
      <c r="T24" s="4">
        <f>DATE(AI$2,$Q24,1+(($R24-($S24&gt;=WEEKDAY(DATE(AI$2,$Q24,1))))*7)+($S24-WEEKDAY(DATE(AI$2,$Q24,1))))</f>
        <v>45690</v>
      </c>
      <c r="U24" s="4">
        <f>DATE(AJ$2,$Q24,1+(($R24-($S24&gt;=WEEKDAY(DATE(AJ$2,$Q24,1))))*7)+($S24-WEEKDAY(DATE(AJ$2,$Q24,1))))</f>
        <v>46054</v>
      </c>
      <c r="V24" s="20">
        <v>-1</v>
      </c>
      <c r="W24" s="20">
        <v>1</v>
      </c>
      <c r="X24" s="4">
        <f ca="1">Y24-(W24-1)</f>
        <v>46053</v>
      </c>
      <c r="Y24" s="5">
        <f ca="1">IF(OR(T24+V24&lt;(NOW()-0.5),ISNUMBER(SEARCH("&lt;h4&gt;",K24))),U24+V24,T24+V24)</f>
        <v>46053</v>
      </c>
      <c r="Z24" t="str">
        <f ca="1">CONCATENATE(IF(OR(Y24=X24,ISBLANK(Y24)),TEXT(X24,"mmmm d"),CONCATENATE(TEXT(X24,"mmmm d"),"-",IF(TEXT(X24,"mmmm")=TEXT(Y24,"mmmm"),TEXT(Y24,"d"),TEXT(Y24,"mmmm d")))),", ",YEAR(Y24))</f>
        <v>January 31, 2026</v>
      </c>
      <c r="AA24" s="7">
        <f>O24</f>
        <v>45674</v>
      </c>
      <c r="AB24" s="14">
        <f>T24+V24-(W24-1)</f>
        <v>45689</v>
      </c>
      <c r="AC24" t="s">
        <v>2725</v>
      </c>
      <c r="AD24" s="23" t="str">
        <f ca="1">CONCATENATE("&lt;add-to-calendar-button  name=",CHAR(34),H24,CHAR(34),
IF(ISBLANK(M24),"",CONCATENATE("   location=",CHAR(34),RIGHT(M24,LEN(M24)-SEARCH("|",M24)-1),CHAR(34))),
"   description=",CHAR(34),IF(ISBLANK(I24),"",CONCATENATE(I24,"; ")),"shapenotesingings.com",CHAR(34),
"   options=",CHAR(34),"'Apple','Google','iCal','Outlook.com'",CHAR(34),"   styleLight=",CHAR(34),"--btn-background: #550000; --btn-text: #fff; --btn-shadow:#fff;",CHAR(34),
IF(W24=1,CONCATENATE(
"startDate=",CHAR(34),TEXT(G24,"yyyy-mm-dd"),CHAR(34),
"{endDate=",CHAR(34),TEXT(G24,"yyyy-mm-dd"),CHAR(34),
IF(OR(ISBLANK(AE24),ISBLANK(AF24)),"",(CONCATENATE(" startTime=",CHAR(34),TEXT(AE24,"hh:mm"),CHAR(34)," endTime=",CHAR(34),TEXT(AF24,"h:mm"),CHAR(34),
" timeZone=",CHAR(34),AG24,CHAR(34))))),
IF(W24=2,CONCATENATE(" dates='[{",
CHAR(34),"startDate",CHAR(34),":",CHAR(34),TEXT(G24,"yyyy-mm-dd"),CHAR(34),", ",
,CHAR(34),"endDate",CHAR(34),":",CHAR(34),TEXT(G24,"yyyy-mm-dd"),CHAR(34),
IF(OR(ISBLANK(AE24),ISBLANK(AF24)),"",(CONCATENATE(", ",CHAR(34),"startTime",CHAR(34),":",CHAR(34),TEXT(AE24,"hh:mm"),CHAR(34),", ",CHAR(34),"endTime",CHAR(34),":",CHAR(34),TEXT(AF24,"hh:mm"),CHAR(34),", ",CHAR(34),"timeZone",CHAR(34),":",CHAR(34),AG24,CHAR(34)))),"}, {",
,CHAR(34),"startDate",CHAR(34),":",CHAR(34),TEXT(G24+1,"yyyy-mm-dd"),CHAR(34),", ",
,CHAR(34),"endDate",CHAR(34),":",CHAR(34),TEXT(G24+W24-1,"yyyy-mm-dd"),CHAR(34),
IF(OR(ISBLANK(AE24),ISBLANK(AF24)),"",(CONCATENATE(", ",CHAR(34),"startTime",CHAR(34),":",CHAR(34),TEXT(AE24,"hh:mm"),CHAR(34),", ",CHAR(34),"endTime",CHAR(34),":",CHAR(34),TEXT(AF24,"hh:mm"),CHAR(34),", ",CHAR(34),"timeZone",CHAR(34),":",CHAR(34),AG24,CHAR(34)))),"}]'"),
CONCATENATE(
"{  startDate=",CHAR(34),TEXT(G24,"yyyy-mm-dd"),CHAR(34),
"  endDate=",CHAR(34),TEXT(G24+W24-1,"yyyy-mm-dd"),CHAR(34),"}"))),
" &gt;&lt;/add-to-calendar-button&gt;")</f>
        <v>&lt;add-to-calendar-button  name="New Orleans All Day"   location="St. Luke Assembly of God, 2201 Franklin Ave, New Orleans, LA 70117"   description="10am-4pm; shapenotesingings.com"   options="'Apple','Google','iCal','Outlook.com'"   styleLight="--btn-background: #550000; --btn-text: #fff; --btn-shadow:#fff;"startDate="2026-01-31"{endDate="2026-01-31" startTime="10:00" endTime="16:00" timeZone="America/New_York" &gt;&lt;/add-to-calendar-button&gt;</v>
      </c>
      <c r="AE24" s="24">
        <v>0.41666666666666669</v>
      </c>
      <c r="AF24" s="24">
        <v>0.66666666666666663</v>
      </c>
      <c r="AG24" s="25" t="s">
        <v>1532</v>
      </c>
      <c r="AH24" t="s">
        <v>98</v>
      </c>
      <c r="AI24" s="4">
        <f>_xlfn.MINIFS(AI10:AI22,AI10:AI22,"&gt;"&amp;AI23)</f>
        <v>45837</v>
      </c>
      <c r="AJ24" s="4">
        <f>_xlfn.MINIFS(AJ10:AJ22,AJ10:AJ22,"&gt;"&amp;AJ23)</f>
        <v>46173</v>
      </c>
      <c r="AO24" s="12"/>
    </row>
    <row r="25" spans="1:41" x14ac:dyDescent="0.3">
      <c r="A25" t="s">
        <v>8</v>
      </c>
      <c r="B25" t="s">
        <v>17</v>
      </c>
      <c r="C25" t="s">
        <v>1140</v>
      </c>
      <c r="D25" t="s">
        <v>904</v>
      </c>
      <c r="E25" t="s">
        <v>50</v>
      </c>
      <c r="F25" t="s">
        <v>178</v>
      </c>
      <c r="G25" s="7">
        <f ca="1">X25</f>
        <v>46053</v>
      </c>
      <c r="H25" s="5" t="s">
        <v>1751</v>
      </c>
      <c r="I25" t="s">
        <v>1048</v>
      </c>
      <c r="J25" s="36" t="s">
        <v>2539</v>
      </c>
      <c r="K25" t="s">
        <v>1756</v>
      </c>
      <c r="L25" t="s">
        <v>1752</v>
      </c>
      <c r="M25" s="16" t="s">
        <v>1753</v>
      </c>
      <c r="N25" s="16" t="s">
        <v>1754</v>
      </c>
      <c r="O25" s="7">
        <v>45195</v>
      </c>
      <c r="P25" s="7" t="s">
        <v>1755</v>
      </c>
      <c r="Q25" s="18">
        <v>2</v>
      </c>
      <c r="R25" s="18">
        <v>1</v>
      </c>
      <c r="S25" s="18">
        <v>1</v>
      </c>
      <c r="T25" s="4">
        <f>DATE(AI$2,$Q25,1+(($R25-($S25&gt;=WEEKDAY(DATE(AI$2,$Q25,1))))*7)+($S25-WEEKDAY(DATE(AI$2,$Q25,1))))</f>
        <v>45690</v>
      </c>
      <c r="U25" s="4">
        <f>DATE(AJ$2,$Q25,1+(($R25-($S25&gt;=WEEKDAY(DATE(AJ$2,$Q25,1))))*7)+($S25-WEEKDAY(DATE(AJ$2,$Q25,1))))</f>
        <v>46054</v>
      </c>
      <c r="V25" s="20">
        <v>-1</v>
      </c>
      <c r="W25" s="20">
        <v>1</v>
      </c>
      <c r="X25" s="4">
        <f ca="1">Y25-(W25-1)</f>
        <v>46053</v>
      </c>
      <c r="Y25" s="5">
        <f ca="1">IF(OR(T25+V25&lt;(NOW()-0.5),ISNUMBER(SEARCH("&lt;h4&gt;",K25))),U25+V25,T25+V25)</f>
        <v>46053</v>
      </c>
      <c r="Z25" t="str">
        <f ca="1">CONCATENATE(IF(OR(Y25=X25,ISBLANK(Y25)),TEXT(X25,"mmmm d"),CONCATENATE(TEXT(X25,"mmmm d"),"-",IF(TEXT(X25,"mmmm")=TEXT(Y25,"mmmm"),TEXT(Y25,"d"),TEXT(Y25,"mmmm d")))),", ",YEAR(Y25))</f>
        <v>January 31, 2026</v>
      </c>
      <c r="AA25" s="7">
        <f>O25</f>
        <v>45195</v>
      </c>
      <c r="AB25" s="14">
        <f>T25+V25-(W25-1)</f>
        <v>45689</v>
      </c>
      <c r="AC25" t="s">
        <v>1957</v>
      </c>
      <c r="AD25" s="23" t="str">
        <f ca="1">CONCATENATE("&lt;add-to-calendar-button  name=",CHAR(34),H25,CHAR(34),
IF(ISBLANK(M25),"",CONCATENATE("   location=",CHAR(34),RIGHT(M25,LEN(M25)-SEARCH("|",M25)-1),CHAR(34))),
"   description=",CHAR(34),IF(ISBLANK(I25),"",CONCATENATE(I25,"; ")),"shapenotesingings.com",CHAR(34),
"   options=",CHAR(34),"'Apple','Google','iCal','Outlook.com'",CHAR(34),"   styleLight=",CHAR(34),"--btn-background: #550000; --btn-text: #fff; --btn-shadow:#fff;",CHAR(34),
IF(W25=1,CONCATENATE(
"startDate=",CHAR(34),TEXT(G25,"yyyy-mm-dd"),CHAR(34),
"{endDate=",CHAR(34),TEXT(G25,"yyyy-mm-dd"),CHAR(34),
IF(OR(ISBLANK(AE25),ISBLANK(AF25)),"",(CONCATENATE(" startTime=",CHAR(34),TEXT(AE25,"hh:mm"),CHAR(34)," endTime=",CHAR(34),TEXT(AF25,"h:mm"),CHAR(34),
" timeZone=",CHAR(34),AG25,CHAR(34))))),
IF(W25=2,CONCATENATE(" dates='[{",
CHAR(34),"startDate",CHAR(34),":",CHAR(34),TEXT(G25,"yyyy-mm-dd"),CHAR(34),", ",
,CHAR(34),"endDate",CHAR(34),":",CHAR(34),TEXT(G25,"yyyy-mm-dd"),CHAR(34),
IF(OR(ISBLANK(AE25),ISBLANK(AF25)),"",(CONCATENATE(", ",CHAR(34),"startTime",CHAR(34),":",CHAR(34),TEXT(AE25,"hh:mm"),CHAR(34),", ",CHAR(34),"endTime",CHAR(34),":",CHAR(34),TEXT(AF25,"hh:mm"),CHAR(34),", ",CHAR(34),"timeZone",CHAR(34),":",CHAR(34),AG25,CHAR(34)))),"}, {",
,CHAR(34),"startDate",CHAR(34),":",CHAR(34),TEXT(G25+1,"yyyy-mm-dd"),CHAR(34),", ",
,CHAR(34),"endDate",CHAR(34),":",CHAR(34),TEXT(G25+W25-1,"yyyy-mm-dd"),CHAR(34),
IF(OR(ISBLANK(AE25),ISBLANK(AF25)),"",(CONCATENATE(", ",CHAR(34),"startTime",CHAR(34),":",CHAR(34),TEXT(AE25,"hh:mm"),CHAR(34),", ",CHAR(34),"endTime",CHAR(34),":",CHAR(34),TEXT(AF25,"hh:mm"),CHAR(34),", ",CHAR(34),"timeZone",CHAR(34),":",CHAR(34),AG25,CHAR(34)))),"}]'"),
CONCATENATE(
"{  startDate=",CHAR(34),TEXT(G25,"yyyy-mm-dd"),CHAR(34),
"  endDate=",CHAR(34),TEXT(G25+W25-1,"yyyy-mm-dd"),CHAR(34),"}"))),
" &gt;&lt;/add-to-calendar-button&gt;")</f>
        <v>&lt;add-to-calendar-button  name="Dahlonega Shenandoah Harmony Singing"   location="St. Elizabeth's Episcopal Church, 1188 Hamp Mill Rd, Dahlonega, GA 30533"   description="9:30am-3pm; shapenotesingings.com"   options="'Apple','Google','iCal','Outlook.com'"   styleLight="--btn-background: #550000; --btn-text: #fff; --btn-shadow:#fff;"startDate="2026-01-31"{endDate="2026-01-31" startTime="10:00" endTime="15:00" timeZone="America/New_York" &gt;&lt;/add-to-calendar-button&gt;</v>
      </c>
      <c r="AE25" s="24">
        <v>0.41666666666666669</v>
      </c>
      <c r="AF25" s="24">
        <v>0.625</v>
      </c>
      <c r="AG25" s="25" t="s">
        <v>1532</v>
      </c>
      <c r="AH25" t="s">
        <v>99</v>
      </c>
      <c r="AI25" s="4">
        <f>_xlfn.MINIFS(AI10:AI22,AI10:AI22,"&gt;"&amp;AI24)</f>
        <v>45900</v>
      </c>
      <c r="AJ25" s="4">
        <f>_xlfn.MINIFS(AJ10:AJ22,AJ10:AJ22,"&gt;"&amp;AJ24)</f>
        <v>46264</v>
      </c>
      <c r="AO25" s="12"/>
    </row>
    <row r="26" spans="1:41" x14ac:dyDescent="0.3">
      <c r="A26" t="s">
        <v>8</v>
      </c>
      <c r="B26" t="s">
        <v>11</v>
      </c>
      <c r="C26" t="s">
        <v>1134</v>
      </c>
      <c r="D26" t="s">
        <v>27</v>
      </c>
      <c r="E26" t="s">
        <v>2180</v>
      </c>
      <c r="F26" t="s">
        <v>178</v>
      </c>
      <c r="G26" s="7">
        <f ca="1">X26</f>
        <v>46053</v>
      </c>
      <c r="H26" s="5" t="s">
        <v>28</v>
      </c>
      <c r="I26" t="s">
        <v>1048</v>
      </c>
      <c r="J26" s="36" t="s">
        <v>2541</v>
      </c>
      <c r="K26" t="s">
        <v>1058</v>
      </c>
      <c r="L26" t="s">
        <v>2514</v>
      </c>
      <c r="M26" s="16" t="s">
        <v>990</v>
      </c>
      <c r="N26" s="16" t="s">
        <v>123</v>
      </c>
      <c r="O26" s="7">
        <v>45312</v>
      </c>
      <c r="P26" s="7" t="s">
        <v>1916</v>
      </c>
      <c r="Q26" s="18">
        <v>2</v>
      </c>
      <c r="R26" s="18">
        <v>1</v>
      </c>
      <c r="S26" s="18">
        <v>1</v>
      </c>
      <c r="T26" s="4">
        <f>DATE(AI$2,$Q26,1+(($R26-($S26&gt;=WEEKDAY(DATE(AI$2,$Q26,1))))*7)+($S26-WEEKDAY(DATE(AI$2,$Q26,1))))</f>
        <v>45690</v>
      </c>
      <c r="U26" s="4">
        <f>DATE(AJ$2,$Q26,1+(($R26-($S26&gt;=WEEKDAY(DATE(AJ$2,$Q26,1))))*7)+($S26-WEEKDAY(DATE(AJ$2,$Q26,1))))</f>
        <v>46054</v>
      </c>
      <c r="V26" s="20">
        <v>-1</v>
      </c>
      <c r="W26" s="20">
        <v>1</v>
      </c>
      <c r="X26" s="4">
        <f ca="1">Y26-(W26-1)</f>
        <v>46053</v>
      </c>
      <c r="Y26" s="5">
        <f ca="1">IF(OR(T26+V26&lt;(NOW()-0.5),ISNUMBER(SEARCH("&lt;h4&gt;",K26))),U26+V26,T26+V26)</f>
        <v>46053</v>
      </c>
      <c r="Z26" t="str">
        <f ca="1">CONCATENATE(IF(OR(Y26=X26,ISBLANK(Y26)),TEXT(X26,"mmmm d"),CONCATENATE(TEXT(X26,"mmmm d"),"-",IF(TEXT(X26,"mmmm")=TEXT(Y26,"mmmm"),TEXT(Y26,"d"),TEXT(Y26,"mmmm d")))),", ",YEAR(Y26))</f>
        <v>January 31, 2026</v>
      </c>
      <c r="AA26" s="7">
        <f>O26</f>
        <v>45312</v>
      </c>
      <c r="AB26" s="14">
        <f>T26+V26-(W26-1)</f>
        <v>45689</v>
      </c>
      <c r="AC26" t="s">
        <v>1211</v>
      </c>
      <c r="AD26" s="23" t="str">
        <f ca="1">CONCATENATE("&lt;add-to-calendar-button  name=",CHAR(34),H26,CHAR(34),
IF(ISBLANK(M26),"",CONCATENATE("   location=",CHAR(34),RIGHT(M26,LEN(M26)-SEARCH("|",M26)-1),CHAR(34))),
"   description=",CHAR(34),IF(ISBLANK(I26),"",CONCATENATE(I26,"; ")),"shapenotesingings.com",CHAR(34),
"   options=",CHAR(34),"'Apple','Google','iCal','Outlook.com'",CHAR(34),"   styleLight=",CHAR(34),"--btn-background: #550000; --btn-text: #fff; --btn-shadow:#fff;",CHAR(34),
IF(W26=1,CONCATENATE(
"startDate=",CHAR(34),TEXT(G26,"yyyy-mm-dd"),CHAR(34),
"{endDate=",CHAR(34),TEXT(G26,"yyyy-mm-dd"),CHAR(34),
IF(OR(ISBLANK(AE26),ISBLANK(AF26)),"",(CONCATENATE(" startTime=",CHAR(34),TEXT(AE26,"hh:mm"),CHAR(34)," endTime=",CHAR(34),TEXT(AF26,"h:mm"),CHAR(34),
" timeZone=",CHAR(34),AG26,CHAR(34))))),
IF(W26=2,CONCATENATE(" dates='[{",
CHAR(34),"startDate",CHAR(34),":",CHAR(34),TEXT(G26,"yyyy-mm-dd"),CHAR(34),", ",
,CHAR(34),"endDate",CHAR(34),":",CHAR(34),TEXT(G26,"yyyy-mm-dd"),CHAR(34),
IF(OR(ISBLANK(AE26),ISBLANK(AF26)),"",(CONCATENATE(", ",CHAR(34),"startTime",CHAR(34),":",CHAR(34),TEXT(AE26,"hh:mm"),CHAR(34),", ",CHAR(34),"endTime",CHAR(34),":",CHAR(34),TEXT(AF26,"hh:mm"),CHAR(34),", ",CHAR(34),"timeZone",CHAR(34),":",CHAR(34),AG26,CHAR(34)))),"}, {",
,CHAR(34),"startDate",CHAR(34),":",CHAR(34),TEXT(G26+1,"yyyy-mm-dd"),CHAR(34),", ",
,CHAR(34),"endDate",CHAR(34),":",CHAR(34),TEXT(G26+W26-1,"yyyy-mm-dd"),CHAR(34),
IF(OR(ISBLANK(AE26),ISBLANK(AF26)),"",(CONCATENATE(", ",CHAR(34),"startTime",CHAR(34),":",CHAR(34),TEXT(AE26,"hh:mm"),CHAR(34),", ",CHAR(34),"endTime",CHAR(34),":",CHAR(34),TEXT(AF26,"hh:mm"),CHAR(34),", ",CHAR(34),"timeZone",CHAR(34),":",CHAR(34),AG26,CHAR(34)))),"}]'"),
CONCATENATE(
"{  startDate=",CHAR(34),TEXT(G26,"yyyy-mm-dd"),CHAR(34),
"  endDate=",CHAR(34),TEXT(G26+W26-1,"yyyy-mm-dd"),CHAR(34),"}"))),
" &gt;&lt;/add-to-calendar-button&gt;")</f>
        <v>&lt;add-to-calendar-button  name="Rotunda Singing"   location="Alabama Department of Archives and History, 36130, 624 Washington Ave, Montgomery, AL 36104"   description="9:30am-3pm; shapenotesingings.com"   options="'Apple','Google','iCal','Outlook.com'"   styleLight="--btn-background: #550000; --btn-text: #fff; --btn-shadow:#fff;"startDate="2026-01-31"{endDate="2026-01-31" startTime="09:30" endTime="15:00" timeZone="America/Chicago" &gt;&lt;/add-to-calendar-button&gt;</v>
      </c>
      <c r="AE26" s="24">
        <v>0.39583333333333331</v>
      </c>
      <c r="AF26" s="24">
        <v>0.625</v>
      </c>
      <c r="AG26" s="25" t="s">
        <v>1533</v>
      </c>
      <c r="AH26" t="s">
        <v>100</v>
      </c>
      <c r="AI26" s="4">
        <f>_xlfn.MINIFS(AI10:AI22,AI10:AI22,"&gt;"&amp;AI25)</f>
        <v>45991</v>
      </c>
      <c r="AJ26" s="4">
        <f>_xlfn.MINIFS(AJ10:AJ22,AJ10:AJ22,"&gt;"&amp;AJ25)</f>
        <v>46355</v>
      </c>
      <c r="AO26" s="12"/>
    </row>
    <row r="27" spans="1:41" x14ac:dyDescent="0.3">
      <c r="A27" t="s">
        <v>8</v>
      </c>
      <c r="B27" t="s">
        <v>11</v>
      </c>
      <c r="C27" t="s">
        <v>1134</v>
      </c>
      <c r="D27" t="s">
        <v>183</v>
      </c>
      <c r="E27" t="s">
        <v>2178</v>
      </c>
      <c r="F27" t="s">
        <v>179</v>
      </c>
      <c r="G27" s="7">
        <f ca="1">X27</f>
        <v>46054</v>
      </c>
      <c r="H27" s="5" t="s">
        <v>180</v>
      </c>
      <c r="I27" t="s">
        <v>1040</v>
      </c>
      <c r="J27" s="36" t="s">
        <v>2542</v>
      </c>
      <c r="L27" t="s">
        <v>2682</v>
      </c>
      <c r="M27" s="16" t="s">
        <v>181</v>
      </c>
      <c r="N27" s="16" t="s">
        <v>182</v>
      </c>
      <c r="O27" s="7">
        <v>44927</v>
      </c>
      <c r="P27" s="7" t="s">
        <v>927</v>
      </c>
      <c r="Q27" s="18">
        <v>2</v>
      </c>
      <c r="R27" s="18">
        <v>1</v>
      </c>
      <c r="S27" s="18">
        <v>1</v>
      </c>
      <c r="T27" s="4">
        <f>DATE(AI$2,$Q27,1+(($R27-($S27&gt;=WEEKDAY(DATE(AI$2,$Q27,1))))*7)+($S27-WEEKDAY(DATE(AI$2,$Q27,1))))</f>
        <v>45690</v>
      </c>
      <c r="U27" s="4">
        <f>DATE(AJ$2,$Q27,1+(($R27-($S27&gt;=WEEKDAY(DATE(AJ$2,$Q27,1))))*7)+($S27-WEEKDAY(DATE(AJ$2,$Q27,1))))</f>
        <v>46054</v>
      </c>
      <c r="V27" s="20">
        <v>0</v>
      </c>
      <c r="W27" s="20">
        <v>1</v>
      </c>
      <c r="X27" s="4">
        <f ca="1">Y27-(W27-1)</f>
        <v>46054</v>
      </c>
      <c r="Y27" s="5">
        <f ca="1">IF(OR(T27+V27&lt;(NOW()-0.5),ISNUMBER(SEARCH("&lt;h4&gt;",K27))),U27+V27,T27+V27)</f>
        <v>46054</v>
      </c>
      <c r="Z27" t="str">
        <f ca="1">CONCATENATE(IF(OR(Y27=X27,ISBLANK(Y27)),TEXT(X27,"mmmm d"),CONCATENATE(TEXT(X27,"mmmm d"),"-",IF(TEXT(X27,"mmmm")=TEXT(Y27,"mmmm"),TEXT(Y27,"d"),TEXT(Y27,"mmmm d")))),", ",YEAR(Y27))</f>
        <v>February 1, 2026</v>
      </c>
      <c r="AA27" s="7">
        <f>O27</f>
        <v>44927</v>
      </c>
      <c r="AB27" s="14">
        <f>T27+V27-(W27-1)</f>
        <v>45690</v>
      </c>
      <c r="AC27" t="s">
        <v>1395</v>
      </c>
      <c r="AD27" s="23" t="str">
        <f ca="1">CONCATENATE("&lt;add-to-calendar-button  name=",CHAR(34),H27,CHAR(34),
IF(ISBLANK(M27),"",CONCATENATE("   location=",CHAR(34),RIGHT(M27,LEN(M27)-SEARCH("|",M27)-1),CHAR(34))),
"   description=",CHAR(34),IF(ISBLANK(I27),"",CONCATENATE(I27,"; ")),"shapenotesingings.com",CHAR(34),
"   options=",CHAR(34),"'Apple','Google','iCal','Outlook.com'",CHAR(34),"   styleLight=",CHAR(34),"--btn-background: #550000; --btn-text: #fff; --btn-shadow:#fff;",CHAR(34),
IF(W27=1,CONCATENATE(
"startDate=",CHAR(34),TEXT(G27,"yyyy-mm-dd"),CHAR(34),
"{endDate=",CHAR(34),TEXT(G27,"yyyy-mm-dd"),CHAR(34),
IF(OR(ISBLANK(AE27),ISBLANK(AF27)),"",(CONCATENATE(" startTime=",CHAR(34),TEXT(AE27,"hh:mm"),CHAR(34)," endTime=",CHAR(34),TEXT(AF27,"h:mm"),CHAR(34),
" timeZone=",CHAR(34),AG27,CHAR(34))))),
IF(W27=2,CONCATENATE(" dates='[{",
CHAR(34),"startDate",CHAR(34),":",CHAR(34),TEXT(G27,"yyyy-mm-dd"),CHAR(34),", ",
,CHAR(34),"endDate",CHAR(34),":",CHAR(34),TEXT(G27,"yyyy-mm-dd"),CHAR(34),
IF(OR(ISBLANK(AE27),ISBLANK(AF27)),"",(CONCATENATE(", ",CHAR(34),"startTime",CHAR(34),":",CHAR(34),TEXT(AE27,"hh:mm"),CHAR(34),", ",CHAR(34),"endTime",CHAR(34),":",CHAR(34),TEXT(AF27,"hh:mm"),CHAR(34),", ",CHAR(34),"timeZone",CHAR(34),":",CHAR(34),AG27,CHAR(34)))),"}, {",
,CHAR(34),"startDate",CHAR(34),":",CHAR(34),TEXT(G27+1,"yyyy-mm-dd"),CHAR(34),", ",
,CHAR(34),"endDate",CHAR(34),":",CHAR(34),TEXT(G27+W27-1,"yyyy-mm-dd"),CHAR(34),
IF(OR(ISBLANK(AE27),ISBLANK(AF27)),"",(CONCATENATE(", ",CHAR(34),"startTime",CHAR(34),":",CHAR(34),TEXT(AE27,"hh:mm"),CHAR(34),", ",CHAR(34),"endTime",CHAR(34),":",CHAR(34),TEXT(AF27,"hh:mm"),CHAR(34),", ",CHAR(34),"timeZone",CHAR(34),":",CHAR(34),AG27,CHAR(34)))),"}]'"),
CONCATENATE(
"{  startDate=",CHAR(34),TEXT(G27,"yyyy-mm-dd"),CHAR(34),
"  endDate=",CHAR(34),TEXT(G27+W27-1,"yyyy-mm-dd"),CHAR(34),"}"))),
" &gt;&lt;/add-to-calendar-button&gt;")</f>
        <v>&lt;add-to-calendar-button  name="Burnham and Brown Memorial"   location="Wesley Foundation, 510 Pelham Rd N, Jacksonville, AL 36265"   description="9:30am; shapenotesingings.com"   options="'Apple','Google','iCal','Outlook.com'"   styleLight="--btn-background: #550000; --btn-text: #fff; --btn-shadow:#fff;"startDate="2026-02-01"{endDate="2026-02-01" startTime="09:30" endTime="15:00" timeZone="America/Chicago" &gt;&lt;/add-to-calendar-button&gt;</v>
      </c>
      <c r="AE27" s="24">
        <v>0.39583333333333331</v>
      </c>
      <c r="AF27" s="24">
        <v>0.625</v>
      </c>
      <c r="AG27" s="25" t="s">
        <v>1533</v>
      </c>
      <c r="AI27" s="4"/>
      <c r="AJ27" s="4"/>
    </row>
    <row r="28" spans="1:41" x14ac:dyDescent="0.3">
      <c r="A28" t="s">
        <v>8</v>
      </c>
      <c r="B28" t="s">
        <v>11</v>
      </c>
      <c r="C28" t="s">
        <v>1134</v>
      </c>
      <c r="D28" t="s">
        <v>184</v>
      </c>
      <c r="E28" t="s">
        <v>34</v>
      </c>
      <c r="F28" t="s">
        <v>179</v>
      </c>
      <c r="G28" s="7">
        <f ca="1">X28</f>
        <v>46054</v>
      </c>
      <c r="H28" s="5" t="s">
        <v>185</v>
      </c>
      <c r="L28" t="s">
        <v>2767</v>
      </c>
      <c r="M28" s="16" t="s">
        <v>991</v>
      </c>
      <c r="N28" s="16" t="s">
        <v>186</v>
      </c>
      <c r="O28" s="7">
        <v>44936</v>
      </c>
      <c r="P28" s="7" t="s">
        <v>926</v>
      </c>
      <c r="Q28" s="18">
        <v>2</v>
      </c>
      <c r="R28" s="18">
        <v>1</v>
      </c>
      <c r="S28" s="18">
        <v>1</v>
      </c>
      <c r="T28" s="4">
        <f>DATE(AI$2,$Q28,1+(($R28-($S28&gt;=WEEKDAY(DATE(AI$2,$Q28,1))))*7)+($S28-WEEKDAY(DATE(AI$2,$Q28,1))))</f>
        <v>45690</v>
      </c>
      <c r="U28" s="4">
        <f>DATE(AJ$2,$Q28,1+(($R28-($S28&gt;=WEEKDAY(DATE(AJ$2,$Q28,1))))*7)+($S28-WEEKDAY(DATE(AJ$2,$Q28,1))))</f>
        <v>46054</v>
      </c>
      <c r="V28" s="20">
        <v>0</v>
      </c>
      <c r="W28" s="20">
        <v>1</v>
      </c>
      <c r="X28" s="4">
        <f ca="1">Y28-(W28-1)</f>
        <v>46054</v>
      </c>
      <c r="Y28" s="5">
        <f ca="1">IF(OR(T28+V28&lt;(NOW()-0.5),ISNUMBER(SEARCH("&lt;h4&gt;",K28))),U28+V28,T28+V28)</f>
        <v>46054</v>
      </c>
      <c r="Z28" t="str">
        <f ca="1">CONCATENATE(IF(OR(Y28=X28,ISBLANK(Y28)),TEXT(X28,"mmmm d"),CONCATENATE(TEXT(X28,"mmmm d"),"-",IF(TEXT(X28,"mmmm")=TEXT(Y28,"mmmm"),TEXT(Y28,"d"),TEXT(Y28,"mmmm d")))),", ",YEAR(Y28))</f>
        <v>February 1, 2026</v>
      </c>
      <c r="AA28" s="7">
        <f>O28</f>
        <v>44936</v>
      </c>
      <c r="AB28" s="14">
        <f>T28+V28-(W28-1)</f>
        <v>45690</v>
      </c>
      <c r="AC28" t="s">
        <v>1212</v>
      </c>
      <c r="AD28" s="23" t="str">
        <f ca="1">CONCATENATE("&lt;add-to-calendar-button  name=",CHAR(34),H28,CHAR(34),
IF(ISBLANK(M28),"",CONCATENATE("   location=",CHAR(34),RIGHT(M28,LEN(M28)-SEARCH("|",M28)-1),CHAR(34))),
"   description=",CHAR(34),IF(ISBLANK(I28),"",CONCATENATE(I28,"; ")),"shapenotesingings.com",CHAR(34),
"   options=",CHAR(34),"'Apple','Google','iCal','Outlook.com'",CHAR(34),"   styleLight=",CHAR(34),"--btn-background: #550000; --btn-text: #fff; --btn-shadow:#fff;",CHAR(34),
IF(W28=1,CONCATENATE(
"startDate=",CHAR(34),TEXT(G28,"yyyy-mm-dd"),CHAR(34),
"{endDate=",CHAR(34),TEXT(G28,"yyyy-mm-dd"),CHAR(34),
IF(OR(ISBLANK(AE28),ISBLANK(AF28)),"",(CONCATENATE(" startTime=",CHAR(34),TEXT(AE28,"hh:mm"),CHAR(34)," endTime=",CHAR(34),TEXT(AF28,"h:mm"),CHAR(34),
" timeZone=",CHAR(34),AG28,CHAR(34))))),
IF(W28=2,CONCATENATE(" dates='[{",
CHAR(34),"startDate",CHAR(34),":",CHAR(34),TEXT(G28,"yyyy-mm-dd"),CHAR(34),", ",
,CHAR(34),"endDate",CHAR(34),":",CHAR(34),TEXT(G28,"yyyy-mm-dd"),CHAR(34),
IF(OR(ISBLANK(AE28),ISBLANK(AF28)),"",(CONCATENATE(", ",CHAR(34),"startTime",CHAR(34),":",CHAR(34),TEXT(AE28,"hh:mm"),CHAR(34),", ",CHAR(34),"endTime",CHAR(34),":",CHAR(34),TEXT(AF28,"hh:mm"),CHAR(34),", ",CHAR(34),"timeZone",CHAR(34),":",CHAR(34),AG28,CHAR(34)))),"}, {",
,CHAR(34),"startDate",CHAR(34),":",CHAR(34),TEXT(G28+1,"yyyy-mm-dd"),CHAR(34),", ",
,CHAR(34),"endDate",CHAR(34),":",CHAR(34),TEXT(G28+W28-1,"yyyy-mm-dd"),CHAR(34),
IF(OR(ISBLANK(AE28),ISBLANK(AF28)),"",(CONCATENATE(", ",CHAR(34),"startTime",CHAR(34),":",CHAR(34),TEXT(AE28,"hh:mm"),CHAR(34),", ",CHAR(34),"endTime",CHAR(34),":",CHAR(34),TEXT(AF28,"hh:mm"),CHAR(34),", ",CHAR(34),"timeZone",CHAR(34),":",CHAR(34),AG28,CHAR(34)))),"}]'"),
CONCATENATE(
"{  startDate=",CHAR(34),TEXT(G28,"yyyy-mm-dd"),CHAR(34),
"  endDate=",CHAR(34),TEXT(G28+W28-1,"yyyy-mm-dd"),CHAR(34),"}"))),
" &gt;&lt;/add-to-calendar-button&gt;")</f>
        <v>&lt;add-to-calendar-button  name="Central Music Convention"   location="Traveler’s Rest Church, 654 Traveler's Rest Rd, Samson, AL 36477"   description="shapenotesingings.com"   options="'Apple','Google','iCal','Outlook.com'"   styleLight="--btn-background: #550000; --btn-text: #fff; --btn-shadow:#fff;"startDate="2026-02-01"{endDate="2026-02-01" &gt;&lt;/add-to-calendar-button&gt;</v>
      </c>
      <c r="AG28" s="25" t="s">
        <v>1533</v>
      </c>
    </row>
    <row r="29" spans="1:41" x14ac:dyDescent="0.3">
      <c r="A29" t="s">
        <v>144</v>
      </c>
      <c r="B29" t="s">
        <v>144</v>
      </c>
      <c r="C29" t="s">
        <v>1162</v>
      </c>
      <c r="D29" t="s">
        <v>818</v>
      </c>
      <c r="E29" t="s">
        <v>34</v>
      </c>
      <c r="F29" t="s">
        <v>187</v>
      </c>
      <c r="G29" s="7">
        <f ca="1">X29</f>
        <v>46060</v>
      </c>
      <c r="H29" s="5" t="s">
        <v>819</v>
      </c>
      <c r="I29" t="s">
        <v>1043</v>
      </c>
      <c r="K29" t="s">
        <v>1060</v>
      </c>
      <c r="L29" t="s">
        <v>952</v>
      </c>
      <c r="M29" s="16" t="s">
        <v>1173</v>
      </c>
      <c r="N29" s="16" t="s">
        <v>820</v>
      </c>
      <c r="O29" s="7">
        <v>44927</v>
      </c>
      <c r="P29" s="7" t="s">
        <v>938</v>
      </c>
      <c r="Q29" s="18">
        <v>2</v>
      </c>
      <c r="R29" s="18">
        <v>2</v>
      </c>
      <c r="S29" s="18">
        <v>1</v>
      </c>
      <c r="T29" s="4">
        <f>DATE(AI$2,$Q29,1+(($R29-($S29&gt;=WEEKDAY(DATE(AI$2,$Q29,1))))*7)+($S29-WEEKDAY(DATE(AI$2,$Q29,1))))</f>
        <v>45697</v>
      </c>
      <c r="U29" s="4">
        <f>DATE(AJ$2,$Q29,1+(($R29-($S29&gt;=WEEKDAY(DATE(AJ$2,$Q29,1))))*7)+($S29-WEEKDAY(DATE(AJ$2,$Q29,1))))</f>
        <v>46061</v>
      </c>
      <c r="V29" s="20">
        <v>-1</v>
      </c>
      <c r="W29" s="20">
        <v>1</v>
      </c>
      <c r="X29" s="4">
        <f ca="1">Y29-(W29-1)</f>
        <v>46060</v>
      </c>
      <c r="Y29" s="5">
        <f ca="1">IF(OR(T29+V29&lt;(NOW()-0.5),ISNUMBER(SEARCH("&lt;h4&gt;",K29))),U29+V29,T29+V29)</f>
        <v>46060</v>
      </c>
      <c r="Z29" t="str">
        <f ca="1">CONCATENATE(IF(OR(Y29=X29,ISBLANK(Y29)),TEXT(X29,"mmmm d"),CONCATENATE(TEXT(X29,"mmmm d"),"-",IF(TEXT(X29,"mmmm")=TEXT(Y29,"mmmm"),TEXT(Y29,"d"),TEXT(Y29,"mmmm d")))),", ",YEAR(Y29))</f>
        <v>February 7, 2026</v>
      </c>
      <c r="AA29" s="7">
        <f>O29</f>
        <v>44927</v>
      </c>
      <c r="AB29" s="14">
        <f>T29+V29-(W29-1)</f>
        <v>45696</v>
      </c>
      <c r="AC29" t="s">
        <v>1216</v>
      </c>
      <c r="AD29" s="23" t="str">
        <f ca="1">CONCATENATE("&lt;add-to-calendar-button  name=",CHAR(34),H29,CHAR(34),
IF(ISBLANK(M29),"",CONCATENATE("   location=",CHAR(34),RIGHT(M29,LEN(M29)-SEARCH("|",M29)-1),CHAR(34))),
"   description=",CHAR(34),IF(ISBLANK(I29),"",CONCATENATE(I29,"; ")),"shapenotesingings.com",CHAR(34),
"   options=",CHAR(34),"'Apple','Google','iCal','Outlook.com'",CHAR(34),"   styleLight=",CHAR(34),"--btn-background: #550000; --btn-text: #fff; --btn-shadow:#fff;",CHAR(34),
IF(W29=1,CONCATENATE(
"startDate=",CHAR(34),TEXT(G29,"yyyy-mm-dd"),CHAR(34),
"{endDate=",CHAR(34),TEXT(G29,"yyyy-mm-dd"),CHAR(34),
IF(OR(ISBLANK(AE29),ISBLANK(AF29)),"",(CONCATENATE(" startTime=",CHAR(34),TEXT(AE29,"hh:mm"),CHAR(34)," endTime=",CHAR(34),TEXT(AF29,"h:mm"),CHAR(34),
" timeZone=",CHAR(34),AG29,CHAR(34))))),
IF(W29=2,CONCATENATE(" dates='[{",
CHAR(34),"startDate",CHAR(34),":",CHAR(34),TEXT(G29,"yyyy-mm-dd"),CHAR(34),", ",
,CHAR(34),"endDate",CHAR(34),":",CHAR(34),TEXT(G29,"yyyy-mm-dd"),CHAR(34),
IF(OR(ISBLANK(AE29),ISBLANK(AF29)),"",(CONCATENATE(", ",CHAR(34),"startTime",CHAR(34),":",CHAR(34),TEXT(AE29,"hh:mm"),CHAR(34),", ",CHAR(34),"endTime",CHAR(34),":",CHAR(34),TEXT(AF29,"hh:mm"),CHAR(34),", ",CHAR(34),"timeZone",CHAR(34),":",CHAR(34),AG29,CHAR(34)))),"}, {",
,CHAR(34),"startDate",CHAR(34),":",CHAR(34),TEXT(G29+1,"yyyy-mm-dd"),CHAR(34),", ",
,CHAR(34),"endDate",CHAR(34),":",CHAR(34),TEXT(G29+W29-1,"yyyy-mm-dd"),CHAR(34),
IF(OR(ISBLANK(AE29),ISBLANK(AF29)),"",(CONCATENATE(", ",CHAR(34),"startTime",CHAR(34),":",CHAR(34),TEXT(AE29,"hh:mm"),CHAR(34),", ",CHAR(34),"endTime",CHAR(34),":",CHAR(34),TEXT(AF29,"hh:mm"),CHAR(34),", ",CHAR(34),"timeZone",CHAR(34),":",CHAR(34),AG29,CHAR(34)))),"}]'"),
CONCATENATE(
"{  startDate=",CHAR(34),TEXT(G29,"yyyy-mm-dd"),CHAR(34),
"  endDate=",CHAR(34),TEXT(G29+W29-1,"yyyy-mm-dd"),CHAR(34),"}"))),
" &gt;&lt;/add-to-calendar-button&gt;")</f>
        <v>&lt;add-to-calendar-button  name="Flitwick Singing"   location="Flitwick Village Hall, Dunstable Road, Flitwick, Bedfordshire, MK45 1HP, United Kingdom "   description="10:30am-4pm; shapenotesingings.com"   options="'Apple','Google','iCal','Outlook.com'"   styleLight="--btn-background: #550000; --btn-text: #fff; --btn-shadow:#fff;"startDate="2026-02-07"{endDate="2026-02-07" &gt;&lt;/add-to-calendar-button&gt;</v>
      </c>
      <c r="AG29" s="25" t="s">
        <v>1535</v>
      </c>
    </row>
    <row r="30" spans="1:41" x14ac:dyDescent="0.3">
      <c r="A30" t="s">
        <v>8</v>
      </c>
      <c r="B30" t="s">
        <v>11</v>
      </c>
      <c r="C30" t="s">
        <v>1134</v>
      </c>
      <c r="D30" t="s">
        <v>1963</v>
      </c>
      <c r="E30" t="s">
        <v>2178</v>
      </c>
      <c r="F30" t="s">
        <v>187</v>
      </c>
      <c r="G30" s="7">
        <f ca="1">X30</f>
        <v>46060</v>
      </c>
      <c r="H30" s="5" t="s">
        <v>190</v>
      </c>
      <c r="I30" t="s">
        <v>1028</v>
      </c>
      <c r="J30" s="36" t="s">
        <v>2543</v>
      </c>
      <c r="L30" t="s">
        <v>1986</v>
      </c>
      <c r="M30" s="16" t="s">
        <v>992</v>
      </c>
      <c r="N30" s="16" t="s">
        <v>191</v>
      </c>
      <c r="O30" s="7">
        <v>44936</v>
      </c>
      <c r="P30" s="7" t="s">
        <v>926</v>
      </c>
      <c r="Q30" s="18">
        <v>2</v>
      </c>
      <c r="R30" s="18">
        <v>2</v>
      </c>
      <c r="S30" s="18">
        <v>1</v>
      </c>
      <c r="T30" s="4">
        <f>DATE(AI$2,$Q30,1+(($R30-($S30&gt;=WEEKDAY(DATE(AI$2,$Q30,1))))*7)+($S30-WEEKDAY(DATE(AI$2,$Q30,1))))</f>
        <v>45697</v>
      </c>
      <c r="U30" s="4">
        <f>DATE(AJ$2,$Q30,1+(($R30-($S30&gt;=WEEKDAY(DATE(AJ$2,$Q30,1))))*7)+($S30-WEEKDAY(DATE(AJ$2,$Q30,1))))</f>
        <v>46061</v>
      </c>
      <c r="V30" s="20">
        <v>-1</v>
      </c>
      <c r="W30" s="20">
        <v>1</v>
      </c>
      <c r="X30" s="4">
        <f ca="1">Y30-(W30-1)</f>
        <v>46060</v>
      </c>
      <c r="Y30" s="5">
        <f ca="1">IF(OR(T30+V30&lt;(NOW()-0.5),ISNUMBER(SEARCH("&lt;h4&gt;",K30))),U30+V30,T30+V30)</f>
        <v>46060</v>
      </c>
      <c r="Z30" t="str">
        <f ca="1">CONCATENATE(IF(OR(Y30=X30,ISBLANK(Y30)),TEXT(X30,"mmmm d"),CONCATENATE(TEXT(X30,"mmmm d"),"-",IF(TEXT(X30,"mmmm")=TEXT(Y30,"mmmm"),TEXT(Y30,"d"),TEXT(Y30,"mmmm d")))),", ",YEAR(Y30))</f>
        <v>February 7, 2026</v>
      </c>
      <c r="AA30" s="7">
        <f>O30</f>
        <v>44936</v>
      </c>
      <c r="AB30" s="14">
        <f>T30+V30-(W30-1)</f>
        <v>45696</v>
      </c>
      <c r="AC30" t="s">
        <v>1213</v>
      </c>
      <c r="AD30" s="23" t="str">
        <f ca="1">CONCATENATE("&lt;add-to-calendar-button  name=",CHAR(34),H30,CHAR(34),
IF(ISBLANK(M30),"",CONCATENATE("   location=",CHAR(34),RIGHT(M30,LEN(M30)-SEARCH("|",M30)-1),CHAR(34))),
"   description=",CHAR(34),IF(ISBLANK(I30),"",CONCATENATE(I30,"; ")),"shapenotesingings.com",CHAR(34),
"   options=",CHAR(34),"'Apple','Google','iCal','Outlook.com'",CHAR(34),"   styleLight=",CHAR(34),"--btn-background: #550000; --btn-text: #fff; --btn-shadow:#fff;",CHAR(34),
IF(W30=1,CONCATENATE(
"startDate=",CHAR(34),TEXT(G30,"yyyy-mm-dd"),CHAR(34),
"{endDate=",CHAR(34),TEXT(G30,"yyyy-mm-dd"),CHAR(34),
IF(OR(ISBLANK(AE30),ISBLANK(AF30)),"",(CONCATENATE(" startTime=",CHAR(34),TEXT(AE30,"hh:mm"),CHAR(34)," endTime=",CHAR(34),TEXT(AF30,"h:mm"),CHAR(34),
" timeZone=",CHAR(34),AG30,CHAR(34))))),
IF(W30=2,CONCATENATE(" dates='[{",
CHAR(34),"startDate",CHAR(34),":",CHAR(34),TEXT(G30,"yyyy-mm-dd"),CHAR(34),", ",
,CHAR(34),"endDate",CHAR(34),":",CHAR(34),TEXT(G30,"yyyy-mm-dd"),CHAR(34),
IF(OR(ISBLANK(AE30),ISBLANK(AF30)),"",(CONCATENATE(", ",CHAR(34),"startTime",CHAR(34),":",CHAR(34),TEXT(AE30,"hh:mm"),CHAR(34),", ",CHAR(34),"endTime",CHAR(34),":",CHAR(34),TEXT(AF30,"hh:mm"),CHAR(34),", ",CHAR(34),"timeZone",CHAR(34),":",CHAR(34),AG30,CHAR(34)))),"}, {",
,CHAR(34),"startDate",CHAR(34),":",CHAR(34),TEXT(G30+1,"yyyy-mm-dd"),CHAR(34),", ",
,CHAR(34),"endDate",CHAR(34),":",CHAR(34),TEXT(G30+W30-1,"yyyy-mm-dd"),CHAR(34),
IF(OR(ISBLANK(AE30),ISBLANK(AF30)),"",(CONCATENATE(", ",CHAR(34),"startTime",CHAR(34),":",CHAR(34),TEXT(AE30,"hh:mm"),CHAR(34),", ",CHAR(34),"endTime",CHAR(34),":",CHAR(34),TEXT(AF30,"hh:mm"),CHAR(34),", ",CHAR(34),"timeZone",CHAR(34),":",CHAR(34),AG30,CHAR(34)))),"}]'"),
CONCATENATE(
"{  startDate=",CHAR(34),TEXT(G30,"yyyy-mm-dd"),CHAR(34),
"  endDate=",CHAR(34),TEXT(G30+W30-1,"yyyy-mm-dd"),CHAR(34),"}"))),
" &gt;&lt;/add-to-calendar-button&gt;")</f>
        <v>&lt;add-to-calendar-button  name="Sanders Memorial"   location="Liberty Primitive Baptist Church, 7828 McCormick Rd, Dora, AL 35062"   description="10am; shapenotesingings.com"   options="'Apple','Google','iCal','Outlook.com'"   styleLight="--btn-background: #550000; --btn-text: #fff; --btn-shadow:#fff;"startDate="2026-02-07"{endDate="2026-02-07" startTime="10:00" endTime="15:00" timeZone="America/Chicago" &gt;&lt;/add-to-calendar-button&gt;</v>
      </c>
      <c r="AE30" s="24">
        <v>0.41666666666666669</v>
      </c>
      <c r="AF30" s="24">
        <v>0.625</v>
      </c>
      <c r="AG30" s="25" t="s">
        <v>1533</v>
      </c>
    </row>
    <row r="31" spans="1:41" x14ac:dyDescent="0.3">
      <c r="A31" t="s">
        <v>8</v>
      </c>
      <c r="B31" t="s">
        <v>102</v>
      </c>
      <c r="C31" t="s">
        <v>1064</v>
      </c>
      <c r="D31" t="s">
        <v>2502</v>
      </c>
      <c r="E31" t="s">
        <v>34</v>
      </c>
      <c r="F31" t="s">
        <v>187</v>
      </c>
      <c r="G31" s="7">
        <f ca="1">X31</f>
        <v>46060</v>
      </c>
      <c r="H31" s="5" t="s">
        <v>2503</v>
      </c>
      <c r="I31" t="s">
        <v>2504</v>
      </c>
      <c r="K31" t="s">
        <v>2518</v>
      </c>
      <c r="L31" t="s">
        <v>2517</v>
      </c>
      <c r="M31" s="16" t="s">
        <v>2505</v>
      </c>
      <c r="N31" s="16" t="s">
        <v>2506</v>
      </c>
      <c r="O31" s="7">
        <v>45661</v>
      </c>
      <c r="P31" s="7" t="s">
        <v>2343</v>
      </c>
      <c r="Q31" s="18">
        <v>2</v>
      </c>
      <c r="R31" s="18">
        <v>2</v>
      </c>
      <c r="S31" s="18">
        <v>1</v>
      </c>
      <c r="T31" s="4">
        <f>DATE(AI$2,$Q31,1+(($R31-($S31&gt;=WEEKDAY(DATE(AI$2,$Q31,1))))*7)+($S31-WEEKDAY(DATE(AI$2,$Q31,1))))</f>
        <v>45697</v>
      </c>
      <c r="U31" s="4">
        <f>DATE(AJ$2,$Q31,1+(($R31-($S31&gt;=WEEKDAY(DATE(AJ$2,$Q31,1))))*7)+($S31-WEEKDAY(DATE(AJ$2,$Q31,1))))</f>
        <v>46061</v>
      </c>
      <c r="V31" s="20">
        <v>-1</v>
      </c>
      <c r="W31" s="20">
        <v>1</v>
      </c>
      <c r="X31" s="4">
        <f ca="1">Y31-(W31-1)</f>
        <v>46060</v>
      </c>
      <c r="Y31" s="5">
        <f ca="1">IF(OR(T31+V31&lt;(NOW()-0.5),ISNUMBER(SEARCH("&lt;h4&gt;",K31))),U31+V31,T31+V31)</f>
        <v>46060</v>
      </c>
      <c r="Z31" t="str">
        <f ca="1">CONCATENATE(IF(OR(Y31=X31,ISBLANK(Y31)),TEXT(X31,"mmmm d"),CONCATENATE(TEXT(X31,"mmmm d"),"-",IF(TEXT(X31,"mmmm")=TEXT(Y31,"mmmm"),TEXT(Y31,"d"),TEXT(Y31,"mmmm d")))),", ",YEAR(Y31))</f>
        <v>February 7, 2026</v>
      </c>
      <c r="AA31" s="7">
        <f>O31</f>
        <v>45661</v>
      </c>
      <c r="AB31" s="14">
        <f>T31+V31-(W31-1)</f>
        <v>45696</v>
      </c>
      <c r="AC31" t="s">
        <v>2507</v>
      </c>
      <c r="AD31" s="23" t="str">
        <f ca="1">CONCATENATE("&lt;add-to-calendar-button  name=",CHAR(34),H31,CHAR(34),
IF(ISBLANK(M31),"",CONCATENATE("   location=",CHAR(34),RIGHT(M31,LEN(M31)-SEARCH("|",M31)-1),CHAR(34))),
"   description=",CHAR(34),IF(ISBLANK(I31),"",CONCATENATE(I31,"; ")),"shapenotesingings.com",CHAR(34),
"   options=",CHAR(34),"'Apple','Google','iCal','Outlook.com'",CHAR(34),"   styleLight=",CHAR(34),"--btn-background: #550000; --btn-text: #fff; --btn-shadow:#fff;",CHAR(34),
IF(W31=1,CONCATENATE(
"startDate=",CHAR(34),TEXT(G31,"yyyy-mm-dd"),CHAR(34),
"{endDate=",CHAR(34),TEXT(G31,"yyyy-mm-dd"),CHAR(34),
IF(OR(ISBLANK(AE31),ISBLANK(AF31)),"",(CONCATENATE(" startTime=",CHAR(34),TEXT(AE31,"hh:mm"),CHAR(34)," endTime=",CHAR(34),TEXT(AF31,"h:mm"),CHAR(34),
" timeZone=",CHAR(34),AG31,CHAR(34))))),
IF(W31=2,CONCATENATE(" dates='[{",
CHAR(34),"startDate",CHAR(34),":",CHAR(34),TEXT(G31,"yyyy-mm-dd"),CHAR(34),", ",
,CHAR(34),"endDate",CHAR(34),":",CHAR(34),TEXT(G31,"yyyy-mm-dd"),CHAR(34),
IF(OR(ISBLANK(AE31),ISBLANK(AF31)),"",(CONCATENATE(", ",CHAR(34),"startTime",CHAR(34),":",CHAR(34),TEXT(AE31,"hh:mm"),CHAR(34),", ",CHAR(34),"endTime",CHAR(34),":",CHAR(34),TEXT(AF31,"hh:mm"),CHAR(34),", ",CHAR(34),"timeZone",CHAR(34),":",CHAR(34),AG31,CHAR(34)))),"}, {",
,CHAR(34),"startDate",CHAR(34),":",CHAR(34),TEXT(G31+1,"yyyy-mm-dd"),CHAR(34),", ",
,CHAR(34),"endDate",CHAR(34),":",CHAR(34),TEXT(G31+W31-1,"yyyy-mm-dd"),CHAR(34),
IF(OR(ISBLANK(AE31),ISBLANK(AF31)),"",(CONCATENATE(", ",CHAR(34),"startTime",CHAR(34),":",CHAR(34),TEXT(AE31,"hh:mm"),CHAR(34),", ",CHAR(34),"endTime",CHAR(34),":",CHAR(34),TEXT(AF31,"hh:mm"),CHAR(34),", ",CHAR(34),"timeZone",CHAR(34),":",CHAR(34),AG31,CHAR(34)))),"}]'"),
CONCATENATE(
"{  startDate=",CHAR(34),TEXT(G31,"yyyy-mm-dd"),CHAR(34),
"  endDate=",CHAR(34),TEXT(G31+W31-1,"yyyy-mm-dd"),CHAR(34),"}"))),
" &gt;&lt;/add-to-calendar-button&gt;")</f>
        <v>&lt;add-to-calendar-button  name="Florida State Fair Singing"   location="Cracker Country, Florida State Fairgrounds, Birch Dr, Tampa FL 33610"   description="10:30am-12:30pm; shapenotesingings.com"   options="'Apple','Google','iCal','Outlook.com'"   styleLight="--btn-background: #550000; --btn-text: #fff; --btn-shadow:#fff;"startDate="2026-02-07"{endDate="2026-02-07" startTime="10:30" endTime="12:30" timeZone="America/New_York" &gt;&lt;/add-to-calendar-button&gt;</v>
      </c>
      <c r="AE31" s="24">
        <v>0.4375</v>
      </c>
      <c r="AF31" s="24">
        <v>0.52083333333333337</v>
      </c>
      <c r="AG31" s="25" t="s">
        <v>1532</v>
      </c>
    </row>
    <row r="32" spans="1:41" x14ac:dyDescent="0.3">
      <c r="A32" t="s">
        <v>8</v>
      </c>
      <c r="B32" t="s">
        <v>17</v>
      </c>
      <c r="C32" t="s">
        <v>1140</v>
      </c>
      <c r="D32" t="s">
        <v>30</v>
      </c>
      <c r="E32" t="s">
        <v>2178</v>
      </c>
      <c r="F32" t="s">
        <v>187</v>
      </c>
      <c r="G32" s="7">
        <f ca="1">X32</f>
        <v>46060</v>
      </c>
      <c r="H32" s="5" t="s">
        <v>192</v>
      </c>
      <c r="I32" t="s">
        <v>1059</v>
      </c>
      <c r="J32" s="36" t="s">
        <v>2544</v>
      </c>
      <c r="L32" t="s">
        <v>961</v>
      </c>
      <c r="M32" s="16" t="s">
        <v>2773</v>
      </c>
      <c r="N32" s="16" t="s">
        <v>2774</v>
      </c>
      <c r="O32" s="11">
        <v>45693</v>
      </c>
      <c r="P32" t="s">
        <v>2775</v>
      </c>
      <c r="Q32" s="18">
        <v>2</v>
      </c>
      <c r="R32" s="18">
        <v>2</v>
      </c>
      <c r="S32" s="18">
        <v>1</v>
      </c>
      <c r="T32" s="4">
        <f>DATE(AI$2,$Q32,1+(($R32-($S32&gt;=WEEKDAY(DATE(AI$2,$Q32,1))))*7)+($S32-WEEKDAY(DATE(AI$2,$Q32,1))))</f>
        <v>45697</v>
      </c>
      <c r="U32" s="4">
        <f>DATE(AJ$2,$Q32,1+(($R32-($S32&gt;=WEEKDAY(DATE(AJ$2,$Q32,1))))*7)+($S32-WEEKDAY(DATE(AJ$2,$Q32,1))))</f>
        <v>46061</v>
      </c>
      <c r="V32" s="20">
        <v>-1</v>
      </c>
      <c r="W32" s="20">
        <v>1</v>
      </c>
      <c r="X32" s="4">
        <f ca="1">Y32-(W32-1)</f>
        <v>46060</v>
      </c>
      <c r="Y32" s="5">
        <f ca="1">IF(OR(T32+V32&lt;(NOW()-0.5),ISNUMBER(SEARCH("&lt;h4&gt;",K32))),U32+V32,T32+V32)</f>
        <v>46060</v>
      </c>
      <c r="Z32" t="str">
        <f ca="1">CONCATENATE(IF(OR(Y32=X32,ISBLANK(Y32)),TEXT(X32,"mmmm d"),CONCATENATE(TEXT(X32,"mmmm d"),"-",IF(TEXT(X32,"mmmm")=TEXT(Y32,"mmmm"),TEXT(Y32,"d"),TEXT(Y32,"mmmm d")))),", ",YEAR(Y32))</f>
        <v>February 7, 2026</v>
      </c>
      <c r="AA32" s="7">
        <f>O32</f>
        <v>45693</v>
      </c>
      <c r="AB32" s="14">
        <f>T32+V32-(W32-1)</f>
        <v>45696</v>
      </c>
      <c r="AC32" t="s">
        <v>2776</v>
      </c>
      <c r="AD32" s="23" t="str">
        <f ca="1">CONCATENATE("&lt;add-to-calendar-button  name=",CHAR(34),H32,CHAR(34),
IF(ISBLANK(M32),"",CONCATENATE("   location=",CHAR(34),RIGHT(M32,LEN(M32)-SEARCH("|",M32)-1),CHAR(34))),
"   description=",CHAR(34),IF(ISBLANK(I32),"",CONCATENATE(I32,"; ")),"shapenotesingings.com",CHAR(34),
"   options=",CHAR(34),"'Apple','Google','iCal','Outlook.com'",CHAR(34),"   styleLight=",CHAR(34),"--btn-background: #550000; --btn-text: #fff; --btn-shadow:#fff;",CHAR(34),
IF(W32=1,CONCATENATE(
"startDate=",CHAR(34),TEXT(G32,"yyyy-mm-dd"),CHAR(34),
"{endDate=",CHAR(34),TEXT(G32,"yyyy-mm-dd"),CHAR(34),
IF(OR(ISBLANK(AE32),ISBLANK(AF32)),"",(CONCATENATE(" startTime=",CHAR(34),TEXT(AE32,"hh:mm"),CHAR(34)," endTime=",CHAR(34),TEXT(AF32,"h:mm"),CHAR(34),
" timeZone=",CHAR(34),AG32,CHAR(34))))),
IF(W32=2,CONCATENATE(" dates='[{",
CHAR(34),"startDate",CHAR(34),":",CHAR(34),TEXT(G32,"yyyy-mm-dd"),CHAR(34),", ",
,CHAR(34),"endDate",CHAR(34),":",CHAR(34),TEXT(G32,"yyyy-mm-dd"),CHAR(34),
IF(OR(ISBLANK(AE32),ISBLANK(AF32)),"",(CONCATENATE(", ",CHAR(34),"startTime",CHAR(34),":",CHAR(34),TEXT(AE32,"hh:mm"),CHAR(34),", ",CHAR(34),"endTime",CHAR(34),":",CHAR(34),TEXT(AF32,"hh:mm"),CHAR(34),", ",CHAR(34),"timeZone",CHAR(34),":",CHAR(34),AG32,CHAR(34)))),"}, {",
,CHAR(34),"startDate",CHAR(34),":",CHAR(34),TEXT(G32+1,"yyyy-mm-dd"),CHAR(34),", ",
,CHAR(34),"endDate",CHAR(34),":",CHAR(34),TEXT(G32+W32-1,"yyyy-mm-dd"),CHAR(34),
IF(OR(ISBLANK(AE32),ISBLANK(AF32)),"",(CONCATENATE(", ",CHAR(34),"startTime",CHAR(34),":",CHAR(34),TEXT(AE32,"hh:mm"),CHAR(34),", ",CHAR(34),"endTime",CHAR(34),":",CHAR(34),TEXT(AF32,"hh:mm"),CHAR(34),", ",CHAR(34),"timeZone",CHAR(34),":",CHAR(34),AG32,CHAR(34)))),"}]'"),
CONCATENATE(
"{  startDate=",CHAR(34),TEXT(G32,"yyyy-mm-dd"),CHAR(34),
"  endDate=",CHAR(34),TEXT(G32+W32-1,"yyyy-mm-dd"),CHAR(34),"}"))),
" &gt;&lt;/add-to-calendar-button&gt;")</f>
        <v>&lt;add-to-calendar-button  name="Emory University"   location="Wesley Teaching Chapel, Rita Anne Rollins Bldg, 1531 Dickey Dr, Atlanta, GA 30322"   description="10am–2:30pm; shapenotesingings.com"   options="'Apple','Google','iCal','Outlook.com'"   styleLight="--btn-background: #550000; --btn-text: #fff; --btn-shadow:#fff;"startDate="2026-02-07"{endDate="2026-02-07" startTime="10:00" endTime="14:30" timeZone="America/New_York" &gt;&lt;/add-to-calendar-button&gt;</v>
      </c>
      <c r="AE32" s="24">
        <v>0.41666666666666669</v>
      </c>
      <c r="AF32" s="24">
        <v>0.60416666666666663</v>
      </c>
      <c r="AG32" s="25" t="s">
        <v>1532</v>
      </c>
    </row>
    <row r="33" spans="1:37" x14ac:dyDescent="0.3">
      <c r="A33" t="s">
        <v>8</v>
      </c>
      <c r="B33" t="s">
        <v>36</v>
      </c>
      <c r="C33" t="s">
        <v>1142</v>
      </c>
      <c r="D33" t="s">
        <v>37</v>
      </c>
      <c r="E33" t="s">
        <v>2178</v>
      </c>
      <c r="F33" t="s">
        <v>187</v>
      </c>
      <c r="G33" s="7">
        <f ca="1">X33</f>
        <v>46060</v>
      </c>
      <c r="H33" s="5" t="s">
        <v>38</v>
      </c>
      <c r="I33" t="s">
        <v>1063</v>
      </c>
      <c r="J33" s="36" t="s">
        <v>2545</v>
      </c>
      <c r="K33" t="s">
        <v>1065</v>
      </c>
      <c r="L33" t="s">
        <v>957</v>
      </c>
      <c r="M33" s="16" t="s">
        <v>39</v>
      </c>
      <c r="N33" s="16" t="s">
        <v>124</v>
      </c>
      <c r="O33" s="7">
        <v>44956</v>
      </c>
      <c r="P33" s="7" t="s">
        <v>928</v>
      </c>
      <c r="Q33" s="18">
        <v>2</v>
      </c>
      <c r="R33" s="18">
        <v>2</v>
      </c>
      <c r="S33" s="18">
        <v>1</v>
      </c>
      <c r="T33" s="4">
        <f>DATE(AI$2,$Q33,1+(($R33-($S33&gt;=WEEKDAY(DATE(AI$2,$Q33,1))))*7)+($S33-WEEKDAY(DATE(AI$2,$Q33,1))))</f>
        <v>45697</v>
      </c>
      <c r="U33" s="4">
        <f>DATE(AJ$2,$Q33,1+(($R33-($S33&gt;=WEEKDAY(DATE(AJ$2,$Q33,1))))*7)+($S33-WEEKDAY(DATE(AJ$2,$Q33,1))))</f>
        <v>46061</v>
      </c>
      <c r="V33" s="20">
        <v>-1</v>
      </c>
      <c r="W33" s="20">
        <v>1</v>
      </c>
      <c r="X33" s="4">
        <f ca="1">Y33-(W33-1)</f>
        <v>46060</v>
      </c>
      <c r="Y33" s="5">
        <f ca="1">IF(OR(T33+V33&lt;(NOW()-0.5),ISNUMBER(SEARCH("&lt;h4&gt;",K33))),U33+V33,T33+V33)</f>
        <v>46060</v>
      </c>
      <c r="Z33" t="str">
        <f ca="1">CONCATENATE(IF(OR(Y33=X33,ISBLANK(Y33)),TEXT(X33,"mmmm d"),CONCATENATE(TEXT(X33,"mmmm d"),"-",IF(TEXT(X33,"mmmm")=TEXT(Y33,"mmmm"),TEXT(Y33,"d"),TEXT(Y33,"mmmm d")))),", ",YEAR(Y33))</f>
        <v>February 7, 2026</v>
      </c>
      <c r="AA33" s="7">
        <f>O33</f>
        <v>44956</v>
      </c>
      <c r="AB33" s="14">
        <f>T33+V33-(W33-1)</f>
        <v>45696</v>
      </c>
      <c r="AC33" t="s">
        <v>1214</v>
      </c>
      <c r="AD33" s="23" t="str">
        <f ca="1">CONCATENATE("&lt;add-to-calendar-button  name=",CHAR(34),H33,CHAR(34),
IF(ISBLANK(M33),"",CONCATENATE("   location=",CHAR(34),RIGHT(M33,LEN(M33)-SEARCH("|",M33)-1),CHAR(34))),
"   description=",CHAR(34),IF(ISBLANK(I33),"",CONCATENATE(I33,"; ")),"shapenotesingings.com",CHAR(34),
"   options=",CHAR(34),"'Apple','Google','iCal','Outlook.com'",CHAR(34),"   styleLight=",CHAR(34),"--btn-background: #550000; --btn-text: #fff; --btn-shadow:#fff;",CHAR(34),
IF(W33=1,CONCATENATE(
"startDate=",CHAR(34),TEXT(G33,"yyyy-mm-dd"),CHAR(34),
"{endDate=",CHAR(34),TEXT(G33,"yyyy-mm-dd"),CHAR(34),
IF(OR(ISBLANK(AE33),ISBLANK(AF33)),"",(CONCATENATE(" startTime=",CHAR(34),TEXT(AE33,"hh:mm"),CHAR(34)," endTime=",CHAR(34),TEXT(AF33,"h:mm"),CHAR(34),
" timeZone=",CHAR(34),AG33,CHAR(34))))),
IF(W33=2,CONCATENATE(" dates='[{",
CHAR(34),"startDate",CHAR(34),":",CHAR(34),TEXT(G33,"yyyy-mm-dd"),CHAR(34),", ",
,CHAR(34),"endDate",CHAR(34),":",CHAR(34),TEXT(G33,"yyyy-mm-dd"),CHAR(34),
IF(OR(ISBLANK(AE33),ISBLANK(AF33)),"",(CONCATENATE(", ",CHAR(34),"startTime",CHAR(34),":",CHAR(34),TEXT(AE33,"hh:mm"),CHAR(34),", ",CHAR(34),"endTime",CHAR(34),":",CHAR(34),TEXT(AF33,"hh:mm"),CHAR(34),", ",CHAR(34),"timeZone",CHAR(34),":",CHAR(34),AG33,CHAR(34)))),"}, {",
,CHAR(34),"startDate",CHAR(34),":",CHAR(34),TEXT(G33+1,"yyyy-mm-dd"),CHAR(34),", ",
,CHAR(34),"endDate",CHAR(34),":",CHAR(34),TEXT(G33+W33-1,"yyyy-mm-dd"),CHAR(34),
IF(OR(ISBLANK(AE33),ISBLANK(AF33)),"",(CONCATENATE(", ",CHAR(34),"startTime",CHAR(34),":",CHAR(34),TEXT(AE33,"hh:mm"),CHAR(34),", ",CHAR(34),"endTime",CHAR(34),":",CHAR(34),TEXT(AF33,"hh:mm"),CHAR(34),", ",CHAR(34),"timeZone",CHAR(34),":",CHAR(34),AG33,CHAR(34)))),"}]'"),
CONCATENATE(
"{  startDate=",CHAR(34),TEXT(G33,"yyyy-mm-dd"),CHAR(34),
"  endDate=",CHAR(34),TEXT(G33+W33-1,"yyyy-mm-dd"),CHAR(34),"}"))),
" &gt;&lt;/add-to-calendar-button&gt;")</f>
        <v>&lt;add-to-calendar-button  name="Lincoln's Birthday Singing"   location="Ida Noyes Hall, University of Chicago, Chicago IL"   description="3pm-5pm; shapenotesingings.com"   options="'Apple','Google','iCal','Outlook.com'"   styleLight="--btn-background: #550000; --btn-text: #fff; --btn-shadow:#fff;"startDate="2026-02-07"{endDate="2026-02-07" &gt;&lt;/add-to-calendar-button&gt;</v>
      </c>
      <c r="AG33" s="25" t="s">
        <v>1533</v>
      </c>
    </row>
    <row r="34" spans="1:37" x14ac:dyDescent="0.3">
      <c r="A34" t="s">
        <v>8</v>
      </c>
      <c r="B34" t="s">
        <v>40</v>
      </c>
      <c r="C34" t="s">
        <v>1161</v>
      </c>
      <c r="D34" t="s">
        <v>73</v>
      </c>
      <c r="E34" t="s">
        <v>2178</v>
      </c>
      <c r="F34" t="s">
        <v>187</v>
      </c>
      <c r="G34" s="7">
        <f ca="1">X34</f>
        <v>46060</v>
      </c>
      <c r="H34" s="5" t="s">
        <v>188</v>
      </c>
      <c r="I34" t="s">
        <v>1040</v>
      </c>
      <c r="J34" s="36" t="s">
        <v>2546</v>
      </c>
      <c r="L34" t="s">
        <v>1922</v>
      </c>
      <c r="M34" s="16" t="s">
        <v>1062</v>
      </c>
      <c r="N34" s="16" t="s">
        <v>189</v>
      </c>
      <c r="O34" s="7">
        <v>44936</v>
      </c>
      <c r="P34" s="7" t="s">
        <v>926</v>
      </c>
      <c r="Q34" s="18">
        <v>2</v>
      </c>
      <c r="R34" s="18">
        <v>2</v>
      </c>
      <c r="S34" s="18">
        <v>1</v>
      </c>
      <c r="T34" s="4">
        <f>DATE(AI$2,$Q34,1+(($R34-($S34&gt;=WEEKDAY(DATE(AI$2,$Q34,1))))*7)+($S34-WEEKDAY(DATE(AI$2,$Q34,1))))</f>
        <v>45697</v>
      </c>
      <c r="U34" s="4">
        <f>DATE(AJ$2,$Q34,1+(($R34-($S34&gt;=WEEKDAY(DATE(AJ$2,$Q34,1))))*7)+($S34-WEEKDAY(DATE(AJ$2,$Q34,1))))</f>
        <v>46061</v>
      </c>
      <c r="V34" s="20">
        <v>-1</v>
      </c>
      <c r="W34" s="20">
        <v>1</v>
      </c>
      <c r="X34" s="4">
        <f ca="1">Y34-(W34-1)</f>
        <v>46060</v>
      </c>
      <c r="Y34" s="5">
        <f ca="1">IF(OR(T34+V34&lt;(NOW()-0.5),ISNUMBER(SEARCH("&lt;h4&gt;",K34))),U34+V34,T34+V34)</f>
        <v>46060</v>
      </c>
      <c r="Z34" t="str">
        <f ca="1">CONCATENATE(IF(OR(Y34=X34,ISBLANK(Y34)),TEXT(X34,"mmmm d"),CONCATENATE(TEXT(X34,"mmmm d"),"-",IF(TEXT(X34,"mmmm")=TEXT(Y34,"mmmm"),TEXT(Y34,"d"),TEXT(Y34,"mmmm d")))),", ",YEAR(Y34))</f>
        <v>February 7, 2026</v>
      </c>
      <c r="AA34" s="7">
        <f>O34</f>
        <v>44936</v>
      </c>
      <c r="AB34" s="14">
        <f>T34+V34-(W34-1)</f>
        <v>45696</v>
      </c>
      <c r="AC34" t="s">
        <v>1215</v>
      </c>
      <c r="AD34" s="23" t="str">
        <f ca="1">CONCATENATE("&lt;add-to-calendar-button  name=",CHAR(34),H34,CHAR(34),
IF(ISBLANK(M34),"",CONCATENATE("   location=",CHAR(34),RIGHT(M34,LEN(M34)-SEARCH("|",M34)-1),CHAR(34))),
"   description=",CHAR(34),IF(ISBLANK(I34),"",CONCATENATE(I34,"; ")),"shapenotesingings.com",CHAR(34),
"   options=",CHAR(34),"'Apple','Google','iCal','Outlook.com'",CHAR(34),"   styleLight=",CHAR(34),"--btn-background: #550000; --btn-text: #fff; --btn-shadow:#fff;",CHAR(34),
IF(W34=1,CONCATENATE(
"startDate=",CHAR(34),TEXT(G34,"yyyy-mm-dd"),CHAR(34),
"{endDate=",CHAR(34),TEXT(G34,"yyyy-mm-dd"),CHAR(34),
IF(OR(ISBLANK(AE34),ISBLANK(AF34)),"",(CONCATENATE(" startTime=",CHAR(34),TEXT(AE34,"hh:mm"),CHAR(34)," endTime=",CHAR(34),TEXT(AF34,"h:mm"),CHAR(34),
" timeZone=",CHAR(34),AG34,CHAR(34))))),
IF(W34=2,CONCATENATE(" dates='[{",
CHAR(34),"startDate",CHAR(34),":",CHAR(34),TEXT(G34,"yyyy-mm-dd"),CHAR(34),", ",
,CHAR(34),"endDate",CHAR(34),":",CHAR(34),TEXT(G34,"yyyy-mm-dd"),CHAR(34),
IF(OR(ISBLANK(AE34),ISBLANK(AF34)),"",(CONCATENATE(", ",CHAR(34),"startTime",CHAR(34),":",CHAR(34),TEXT(AE34,"hh:mm"),CHAR(34),", ",CHAR(34),"endTime",CHAR(34),":",CHAR(34),TEXT(AF34,"hh:mm"),CHAR(34),", ",CHAR(34),"timeZone",CHAR(34),":",CHAR(34),AG34,CHAR(34)))),"}, {",
,CHAR(34),"startDate",CHAR(34),":",CHAR(34),TEXT(G34+1,"yyyy-mm-dd"),CHAR(34),", ",
,CHAR(34),"endDate",CHAR(34),":",CHAR(34),TEXT(G34+W34-1,"yyyy-mm-dd"),CHAR(34),
IF(OR(ISBLANK(AE34),ISBLANK(AF34)),"",(CONCATENATE(", ",CHAR(34),"startTime",CHAR(34),":",CHAR(34),TEXT(AE34,"hh:mm"),CHAR(34),", ",CHAR(34),"endTime",CHAR(34),":",CHAR(34),TEXT(AF34,"hh:mm"),CHAR(34),", ",CHAR(34),"timeZone",CHAR(34),":",CHAR(34),AG34,CHAR(34)))),"}]'"),
CONCATENATE(
"{  startDate=",CHAR(34),TEXT(G34,"yyyy-mm-dd"),CHAR(34),
"  endDate=",CHAR(34),TEXT(G34+W34-1,"yyyy-mm-dd"),CHAR(34),"}"))),
" &gt;&lt;/add-to-calendar-button&gt;")</f>
        <v>&lt;add-to-calendar-button  name="Baylor University Singing"   location="Truett Seminary Great Hall, Baylor University, 1100 S 3rd St, Waco, TX 76706"   description="9:30am; shapenotesingings.com"   options="'Apple','Google','iCal','Outlook.com'"   styleLight="--btn-background: #550000; --btn-text: #fff; --btn-shadow:#fff;"startDate="2026-02-07"{endDate="2026-02-07" startTime="09:30" endTime="15:00" timeZone="America/Chicago" &gt;&lt;/add-to-calendar-button&gt;</v>
      </c>
      <c r="AE34" s="24">
        <v>0.39583333333333331</v>
      </c>
      <c r="AF34" s="24">
        <v>0.625</v>
      </c>
      <c r="AG34" s="25" t="s">
        <v>1533</v>
      </c>
    </row>
    <row r="35" spans="1:37" x14ac:dyDescent="0.3">
      <c r="A35" t="s">
        <v>8</v>
      </c>
      <c r="B35" t="s">
        <v>48</v>
      </c>
      <c r="C35" t="s">
        <v>1150</v>
      </c>
      <c r="D35" t="s">
        <v>49</v>
      </c>
      <c r="E35" t="s">
        <v>34</v>
      </c>
      <c r="F35" t="s">
        <v>187</v>
      </c>
      <c r="G35" s="7">
        <f ca="1">X35</f>
        <v>46060</v>
      </c>
      <c r="H35" s="5" t="s">
        <v>858</v>
      </c>
      <c r="I35" t="s">
        <v>1048</v>
      </c>
      <c r="J35" s="36" t="s">
        <v>2547</v>
      </c>
      <c r="K35" t="s">
        <v>1894</v>
      </c>
      <c r="L35" t="s">
        <v>2497</v>
      </c>
      <c r="M35" s="16" t="s">
        <v>1850</v>
      </c>
      <c r="N35" s="16" t="s">
        <v>1851</v>
      </c>
      <c r="O35" s="7">
        <v>45295</v>
      </c>
      <c r="P35" s="7" t="s">
        <v>1853</v>
      </c>
      <c r="Q35" s="18">
        <v>2</v>
      </c>
      <c r="R35" s="18">
        <v>2</v>
      </c>
      <c r="S35" s="18">
        <v>1</v>
      </c>
      <c r="T35" s="4">
        <f>DATE(AI$2,$Q35,1+(($R35-($S35&gt;=WEEKDAY(DATE(AI$2,$Q35,1))))*7)+($S35-WEEKDAY(DATE(AI$2,$Q35,1))))</f>
        <v>45697</v>
      </c>
      <c r="U35" s="4">
        <f>DATE(AJ$2,$Q35,1+(($R35-($S35&gt;=WEEKDAY(DATE(AJ$2,$Q35,1))))*7)+($S35-WEEKDAY(DATE(AJ$2,$Q35,1))))</f>
        <v>46061</v>
      </c>
      <c r="V35" s="20">
        <v>-1</v>
      </c>
      <c r="W35" s="20">
        <v>1</v>
      </c>
      <c r="X35" s="4">
        <f ca="1">Y35-(W35-1)</f>
        <v>46060</v>
      </c>
      <c r="Y35" s="5">
        <f ca="1">IF(OR(T35+V35&lt;(NOW()-0.5),ISNUMBER(SEARCH("&lt;h4&gt;",K35))),U35+V35,T35+V35)</f>
        <v>46060</v>
      </c>
      <c r="Z35" t="str">
        <f ca="1">CONCATENATE(IF(OR(Y35=X35,ISBLANK(Y35)),TEXT(X35,"mmmm d"),CONCATENATE(TEXT(X35,"mmmm d"),"-",IF(TEXT(X35,"mmmm")=TEXT(Y35,"mmmm"),TEXT(Y35,"d"),TEXT(Y35,"mmmm d")))),", ",YEAR(Y35))</f>
        <v>February 7, 2026</v>
      </c>
      <c r="AA35" s="7">
        <f>O35</f>
        <v>45295</v>
      </c>
      <c r="AB35" s="14">
        <f>T35+V35-(W35-1)</f>
        <v>45696</v>
      </c>
      <c r="AC35" t="s">
        <v>1852</v>
      </c>
      <c r="AD35" s="23" t="str">
        <f ca="1">CONCATENATE("&lt;add-to-calendar-button  name=",CHAR(34),H35,CHAR(34),
IF(ISBLANK(M35),"",CONCATENATE("   location=",CHAR(34),RIGHT(M35,LEN(M35)-SEARCH("|",M35)-1),CHAR(34))),
"   description=",CHAR(34),IF(ISBLANK(I35),"",CONCATENATE(I35,"; ")),"shapenotesingings.com",CHAR(34),
"   options=",CHAR(34),"'Apple','Google','iCal','Outlook.com'",CHAR(34),"   styleLight=",CHAR(34),"--btn-background: #550000; --btn-text: #fff; --btn-shadow:#fff;",CHAR(34),
IF(W35=1,CONCATENATE(
"startDate=",CHAR(34),TEXT(G35,"yyyy-mm-dd"),CHAR(34),
"{endDate=",CHAR(34),TEXT(G35,"yyyy-mm-dd"),CHAR(34),
IF(OR(ISBLANK(AE35),ISBLANK(AF35)),"",(CONCATENATE(" startTime=",CHAR(34),TEXT(AE35,"hh:mm"),CHAR(34)," endTime=",CHAR(34),TEXT(AF35,"h:mm"),CHAR(34),
" timeZone=",CHAR(34),AG35,CHAR(34))))),
IF(W35=2,CONCATENATE(" dates='[{",
CHAR(34),"startDate",CHAR(34),":",CHAR(34),TEXT(G35,"yyyy-mm-dd"),CHAR(34),", ",
,CHAR(34),"endDate",CHAR(34),":",CHAR(34),TEXT(G35,"yyyy-mm-dd"),CHAR(34),
IF(OR(ISBLANK(AE35),ISBLANK(AF35)),"",(CONCATENATE(", ",CHAR(34),"startTime",CHAR(34),":",CHAR(34),TEXT(AE35,"hh:mm"),CHAR(34),", ",CHAR(34),"endTime",CHAR(34),":",CHAR(34),TEXT(AF35,"hh:mm"),CHAR(34),", ",CHAR(34),"timeZone",CHAR(34),":",CHAR(34),AG35,CHAR(34)))),"}, {",
,CHAR(34),"startDate",CHAR(34),":",CHAR(34),TEXT(G35+1,"yyyy-mm-dd"),CHAR(34),", ",
,CHAR(34),"endDate",CHAR(34),":",CHAR(34),TEXT(G35+W35-1,"yyyy-mm-dd"),CHAR(34),
IF(OR(ISBLANK(AE35),ISBLANK(AF35)),"",(CONCATENATE(", ",CHAR(34),"startTime",CHAR(34),":",CHAR(34),TEXT(AE35,"hh:mm"),CHAR(34),", ",CHAR(34),"endTime",CHAR(34),":",CHAR(34),TEXT(AF35,"hh:mm"),CHAR(34),", ",CHAR(34),"timeZone",CHAR(34),":",CHAR(34),AG35,CHAR(34)))),"}]'"),
CONCATENATE(
"{  startDate=",CHAR(34),TEXT(G35,"yyyy-mm-dd"),CHAR(34),
"  endDate=",CHAR(34),TEXT(G35+W35-1,"yyyy-mm-dd"),CHAR(34),"}"))),
" &gt;&lt;/add-to-calendar-button&gt;")</f>
        <v>&lt;add-to-calendar-button  name="Minnesota State Midwinter Singing"   location="Olivet Congregational Church, 1850 Iglehart Ave, St Paul, MN 55104"   description="9:30am-3pm; shapenotesingings.com"   options="'Apple','Google','iCal','Outlook.com'"   styleLight="--btn-background: #550000; --btn-text: #fff; --btn-shadow:#fff;"startDate="2026-02-07"{endDate="2026-02-07" startTime="09:30" endTime="15:00" timeZone="America/Chicago" &gt;&lt;/add-to-calendar-button&gt;</v>
      </c>
      <c r="AE35" s="24">
        <v>0.39583333333333331</v>
      </c>
      <c r="AF35" s="24">
        <v>0.625</v>
      </c>
      <c r="AG35" s="25" t="s">
        <v>1533</v>
      </c>
    </row>
    <row r="36" spans="1:37" x14ac:dyDescent="0.3">
      <c r="A36" t="s">
        <v>8</v>
      </c>
      <c r="B36" t="s">
        <v>11</v>
      </c>
      <c r="C36" t="s">
        <v>1134</v>
      </c>
      <c r="D36" t="s">
        <v>194</v>
      </c>
      <c r="E36" t="s">
        <v>2178</v>
      </c>
      <c r="F36" t="s">
        <v>193</v>
      </c>
      <c r="G36" s="7">
        <f ca="1">X36</f>
        <v>46061</v>
      </c>
      <c r="H36" s="5" t="s">
        <v>2070</v>
      </c>
      <c r="I36" t="s">
        <v>2204</v>
      </c>
      <c r="J36" s="36" t="s">
        <v>2548</v>
      </c>
      <c r="K36" t="s">
        <v>1066</v>
      </c>
      <c r="L36" t="s">
        <v>2769</v>
      </c>
      <c r="M36" s="16" t="s">
        <v>993</v>
      </c>
      <c r="N36" s="16" t="s">
        <v>900</v>
      </c>
      <c r="O36" s="7">
        <v>44936</v>
      </c>
      <c r="P36" s="7" t="s">
        <v>926</v>
      </c>
      <c r="Q36" s="18">
        <v>2</v>
      </c>
      <c r="R36" s="18">
        <v>2</v>
      </c>
      <c r="S36" s="18">
        <v>1</v>
      </c>
      <c r="T36" s="4">
        <f>DATE(AI$2,$Q36,1+(($R36-($S36&gt;=WEEKDAY(DATE(AI$2,$Q36,1))))*7)+($S36-WEEKDAY(DATE(AI$2,$Q36,1))))</f>
        <v>45697</v>
      </c>
      <c r="U36" s="4">
        <f>DATE(AJ$2,$Q36,1+(($R36-($S36&gt;=WEEKDAY(DATE(AJ$2,$Q36,1))))*7)+($S36-WEEKDAY(DATE(AJ$2,$Q36,1))))</f>
        <v>46061</v>
      </c>
      <c r="V36" s="20">
        <v>0</v>
      </c>
      <c r="W36" s="20">
        <v>1</v>
      </c>
      <c r="X36" s="4">
        <f ca="1">Y36-(W36-1)</f>
        <v>46061</v>
      </c>
      <c r="Y36" s="5">
        <f ca="1">IF(OR(T36+V36&lt;(NOW()-0.5),ISNUMBER(SEARCH("&lt;h4&gt;",K36))),U36+V36,T36+V36)</f>
        <v>46061</v>
      </c>
      <c r="Z36" t="str">
        <f ca="1">CONCATENATE(IF(OR(Y36=X36,ISBLANK(Y36)),TEXT(X36,"mmmm d"),CONCATENATE(TEXT(X36,"mmmm d"),"-",IF(TEXT(X36,"mmmm")=TEXT(Y36,"mmmm"),TEXT(Y36,"d"),TEXT(Y36,"mmmm d")))),", ",YEAR(Y36))</f>
        <v>February 8, 2026</v>
      </c>
      <c r="AA36" s="7">
        <f>O36</f>
        <v>44936</v>
      </c>
      <c r="AB36" s="14">
        <f>T36+V36-(W36-1)</f>
        <v>45697</v>
      </c>
      <c r="AC36" t="s">
        <v>1217</v>
      </c>
      <c r="AD36" s="23" t="str">
        <f ca="1">CONCATENATE("&lt;add-to-calendar-button  name=",CHAR(34),H36,CHAR(34),
IF(ISBLANK(M36),"",CONCATENATE("   location=",CHAR(34),RIGHT(M36,LEN(M36)-SEARCH("|",M36)-1),CHAR(34))),
"   description=",CHAR(34),IF(ISBLANK(I36),"",CONCATENATE(I36,"; ")),"shapenotesingings.com",CHAR(34),
"   options=",CHAR(34),"'Apple','Google','iCal','Outlook.com'",CHAR(34),"   styleLight=",CHAR(34),"--btn-background: #550000; --btn-text: #fff; --btn-shadow:#fff;",CHAR(34),
IF(W36=1,CONCATENATE(
"startDate=",CHAR(34),TEXT(G36,"yyyy-mm-dd"),CHAR(34),
"{endDate=",CHAR(34),TEXT(G36,"yyyy-mm-dd"),CHAR(34),
IF(OR(ISBLANK(AE36),ISBLANK(AF36)),"",(CONCATENATE(" startTime=",CHAR(34),TEXT(AE36,"hh:mm"),CHAR(34)," endTime=",CHAR(34),TEXT(AF36,"h:mm"),CHAR(34),
" timeZone=",CHAR(34),AG36,CHAR(34))))),
IF(W36=2,CONCATENATE(" dates='[{",
CHAR(34),"startDate",CHAR(34),":",CHAR(34),TEXT(G36,"yyyy-mm-dd"),CHAR(34),", ",
,CHAR(34),"endDate",CHAR(34),":",CHAR(34),TEXT(G36,"yyyy-mm-dd"),CHAR(34),
IF(OR(ISBLANK(AE36),ISBLANK(AF36)),"",(CONCATENATE(", ",CHAR(34),"startTime",CHAR(34),":",CHAR(34),TEXT(AE36,"hh:mm"),CHAR(34),", ",CHAR(34),"endTime",CHAR(34),":",CHAR(34),TEXT(AF36,"hh:mm"),CHAR(34),", ",CHAR(34),"timeZone",CHAR(34),":",CHAR(34),AG36,CHAR(34)))),"}, {",
,CHAR(34),"startDate",CHAR(34),":",CHAR(34),TEXT(G36+1,"yyyy-mm-dd"),CHAR(34),", ",
,CHAR(34),"endDate",CHAR(34),":",CHAR(34),TEXT(G36+W36-1,"yyyy-mm-dd"),CHAR(34),
IF(OR(ISBLANK(AE36),ISBLANK(AF36)),"",(CONCATENATE(", ",CHAR(34),"startTime",CHAR(34),":",CHAR(34),TEXT(AE36,"hh:mm"),CHAR(34),", ",CHAR(34),"endTime",CHAR(34),":",CHAR(34),TEXT(AF36,"hh:mm"),CHAR(34),", ",CHAR(34),"timeZone",CHAR(34),":",CHAR(34),AG36,CHAR(34)))),"}]'"),
CONCATENATE(
"{  startDate=",CHAR(34),TEXT(G36,"yyyy-mm-dd"),CHAR(34),
"  endDate=",CHAR(34),TEXT(G36+W36-1,"yyyy-mm-dd"),CHAR(34),"}"))),
" &gt;&lt;/add-to-calendar-button&gt;")</f>
        <v>&lt;add-to-calendar-button  name="H. R. Avery Memorial Singing"   location="Rocky Mount Primitive Baptist Church, Co Rd 79 &amp; Germanys Ferry Rd, Daviston AL"   description="10am-2pm; shapenotesingings.com"   options="'Apple','Google','iCal','Outlook.com'"   styleLight="--btn-background: #550000; --btn-text: #fff; --btn-shadow:#fff;"startDate="2026-02-08"{endDate="2026-02-08" startTime="10:00" endTime="14:00" timeZone="America/Chicago" &gt;&lt;/add-to-calendar-button&gt;</v>
      </c>
      <c r="AE36" s="24">
        <v>0.41666666666666669</v>
      </c>
      <c r="AF36" s="24">
        <v>0.58333333333333337</v>
      </c>
      <c r="AG36" s="25" t="s">
        <v>1533</v>
      </c>
      <c r="AI36" t="str">
        <f>IF(ISNUMBER(SEARCH("&lt;h4&gt;",K37)),K37,"")</f>
        <v/>
      </c>
    </row>
    <row r="37" spans="1:37" x14ac:dyDescent="0.3">
      <c r="A37" t="s">
        <v>8</v>
      </c>
      <c r="B37" t="s">
        <v>200</v>
      </c>
      <c r="C37" t="s">
        <v>395</v>
      </c>
      <c r="D37" t="s">
        <v>201</v>
      </c>
      <c r="E37" t="s">
        <v>2178</v>
      </c>
      <c r="F37" t="s">
        <v>199</v>
      </c>
      <c r="G37" s="7">
        <f ca="1">X37</f>
        <v>46067</v>
      </c>
      <c r="H37" s="5" t="s">
        <v>202</v>
      </c>
      <c r="I37" t="s">
        <v>1048</v>
      </c>
      <c r="J37" s="36" t="s">
        <v>2549</v>
      </c>
      <c r="L37" t="s">
        <v>2779</v>
      </c>
      <c r="M37" s="16" t="s">
        <v>2141</v>
      </c>
      <c r="N37" s="16" t="s">
        <v>2143</v>
      </c>
      <c r="O37" s="7">
        <v>45456</v>
      </c>
      <c r="P37" s="7" t="s">
        <v>2144</v>
      </c>
      <c r="Q37" s="18">
        <v>2</v>
      </c>
      <c r="R37" s="18">
        <v>3</v>
      </c>
      <c r="S37" s="18">
        <v>1</v>
      </c>
      <c r="T37" s="4">
        <f>DATE(AI$2,$Q37,1+(($R37-($S37&gt;=WEEKDAY(DATE(AI$2,$Q37,1))))*7)+($S37-WEEKDAY(DATE(AI$2,$Q37,1))))</f>
        <v>45704</v>
      </c>
      <c r="U37" s="4">
        <f>DATE(AJ$2,$Q37,1+(($R37-($S37&gt;=WEEKDAY(DATE(AJ$2,$Q37,1))))*7)+($S37-WEEKDAY(DATE(AJ$2,$Q37,1))))</f>
        <v>46068</v>
      </c>
      <c r="V37" s="20">
        <v>0</v>
      </c>
      <c r="W37" s="20">
        <v>2</v>
      </c>
      <c r="X37" s="4">
        <f ca="1">Y37-(W37-1)</f>
        <v>46067</v>
      </c>
      <c r="Y37" s="5">
        <f ca="1">IF(OR(T37+V37&lt;(NOW()-0.5),ISNUMBER(SEARCH("&lt;h4&gt;",K37))),U37+V37,T37+V37)</f>
        <v>46068</v>
      </c>
      <c r="Z37" t="str">
        <f ca="1">CONCATENATE(IF(OR(Y37=X37,ISBLANK(Y37)),TEXT(X37,"mmmm d"),CONCATENATE(TEXT(X37,"mmmm d"),"-",IF(TEXT(X37,"mmmm")=TEXT(Y37,"mmmm"),TEXT(Y37,"d"),TEXT(Y37,"mmmm d")))),", ",YEAR(Y37))</f>
        <v>February 14-15, 2026</v>
      </c>
      <c r="AA37" s="7">
        <f>O37</f>
        <v>45456</v>
      </c>
      <c r="AB37" s="14">
        <f>T37+V37-(W37-1)</f>
        <v>45703</v>
      </c>
      <c r="AC37" t="s">
        <v>2142</v>
      </c>
      <c r="AD37" s="23" t="str">
        <f ca="1">CONCATENATE("&lt;add-to-calendar-button  name=",CHAR(34),H37,CHAR(34),
IF(ISBLANK(M37),"",CONCATENATE("   location=",CHAR(34),RIGHT(M37,LEN(M37)-SEARCH("|",M37)-1),CHAR(34))),
"   description=",CHAR(34),IF(ISBLANK(I37),"",CONCATENATE(I37,"; ")),"shapenotesingings.com",CHAR(34),
"   options=",CHAR(34),"'Apple','Google','iCal','Outlook.com'",CHAR(34),"   styleLight=",CHAR(34),"--btn-background: #550000; --btn-text: #fff; --btn-shadow:#fff;",CHAR(34),
IF(W37=1,CONCATENATE(
"startDate=",CHAR(34),TEXT(G37,"yyyy-mm-dd"),CHAR(34),
"{endDate=",CHAR(34),TEXT(G37,"yyyy-mm-dd"),CHAR(34),
IF(OR(ISBLANK(AE37),ISBLANK(AF37)),"",(CONCATENATE(" startTime=",CHAR(34),TEXT(AE37,"hh:mm"),CHAR(34)," endTime=",CHAR(34),TEXT(AF37,"h:mm"),CHAR(34),
" timeZone=",CHAR(34),AG37,CHAR(34))))),
IF(W37=2,CONCATENATE(" dates='[{",
CHAR(34),"startDate",CHAR(34),":",CHAR(34),TEXT(G37,"yyyy-mm-dd"),CHAR(34),", ",
,CHAR(34),"endDate",CHAR(34),":",CHAR(34),TEXT(G37,"yyyy-mm-dd"),CHAR(34),
IF(OR(ISBLANK(AE37),ISBLANK(AF37)),"",(CONCATENATE(", ",CHAR(34),"startTime",CHAR(34),":",CHAR(34),TEXT(AE37,"hh:mm"),CHAR(34),", ",CHAR(34),"endTime",CHAR(34),":",CHAR(34),TEXT(AF37,"hh:mm"),CHAR(34),", ",CHAR(34),"timeZone",CHAR(34),":",CHAR(34),AG37,CHAR(34)))),"}, {",
,CHAR(34),"startDate",CHAR(34),":",CHAR(34),TEXT(G37+1,"yyyy-mm-dd"),CHAR(34),", ",
,CHAR(34),"endDate",CHAR(34),":",CHAR(34),TEXT(G37+W37-1,"yyyy-mm-dd"),CHAR(34),
IF(OR(ISBLANK(AE37),ISBLANK(AF37)),"",(CONCATENATE(", ",CHAR(34),"startTime",CHAR(34),":",CHAR(34),TEXT(AE37,"hh:mm"),CHAR(34),", ",CHAR(34),"endTime",CHAR(34),":",CHAR(34),TEXT(AF37,"hh:mm"),CHAR(34),", ",CHAR(34),"timeZone",CHAR(34),":",CHAR(34),AG37,CHAR(34)))),"}]'"),
CONCATENATE(
"{  startDate=",CHAR(34),TEXT(G37,"yyyy-mm-dd"),CHAR(34),
"  endDate=",CHAR(34),TEXT(G37+W37-1,"yyyy-mm-dd"),CHAR(34),"}"))),
" &gt;&lt;/add-to-calendar-button&gt;")</f>
        <v>&lt;add-to-calendar-button  name="Pacific Northwest Convention"   location="Sunset Hill Community Club, 3003 NW 66th St, Seattle, WA 98117"   description="9:30am-3pm; shapenotesingings.com"   options="'Apple','Google','iCal','Outlook.com'"   styleLight="--btn-background: #550000; --btn-text: #fff; --btn-shadow:#fff;" dates='[{"startDate":"2026-02-14", "endDate":"2026-02-14", "startTime":"09:30", "endTime":"15:00", "timeZone":"America/Los_Angeles"}, {"startDate":"2026-02-15", "endDate":"2026-02-15", "startTime":"09:30", "endTime":"15:00", "timeZone":"America/Los_Angeles"}]' &gt;&lt;/add-to-calendar-button&gt;</v>
      </c>
      <c r="AE37" s="24">
        <v>0.39583333333333331</v>
      </c>
      <c r="AF37" s="24">
        <v>0.625</v>
      </c>
      <c r="AG37" s="25" t="s">
        <v>1534</v>
      </c>
      <c r="AK37" s="4"/>
    </row>
    <row r="38" spans="1:37" x14ac:dyDescent="0.3">
      <c r="A38" t="s">
        <v>8</v>
      </c>
      <c r="B38" t="s">
        <v>102</v>
      </c>
      <c r="C38" t="s">
        <v>1064</v>
      </c>
      <c r="D38" t="s">
        <v>859</v>
      </c>
      <c r="E38" t="s">
        <v>34</v>
      </c>
      <c r="F38" t="s">
        <v>69</v>
      </c>
      <c r="G38" s="7">
        <f ca="1">X38</f>
        <v>46067</v>
      </c>
      <c r="H38" s="5" t="s">
        <v>860</v>
      </c>
      <c r="I38" t="s">
        <v>1028</v>
      </c>
      <c r="L38" t="s">
        <v>953</v>
      </c>
      <c r="M38" s="16" t="s">
        <v>861</v>
      </c>
      <c r="N38" s="16" t="s">
        <v>862</v>
      </c>
      <c r="O38" s="7">
        <v>44936</v>
      </c>
      <c r="P38" s="7" t="s">
        <v>936</v>
      </c>
      <c r="Q38" s="18">
        <v>2</v>
      </c>
      <c r="R38" s="18">
        <v>3</v>
      </c>
      <c r="S38" s="18">
        <v>1</v>
      </c>
      <c r="T38" s="4">
        <f>DATE(AI$2,$Q38,1+(($R38-($S38&gt;=WEEKDAY(DATE(AI$2,$Q38,1))))*7)+($S38-WEEKDAY(DATE(AI$2,$Q38,1))))</f>
        <v>45704</v>
      </c>
      <c r="U38" s="4">
        <f>DATE(AJ$2,$Q38,1+(($R38-($S38&gt;=WEEKDAY(DATE(AJ$2,$Q38,1))))*7)+($S38-WEEKDAY(DATE(AJ$2,$Q38,1))))</f>
        <v>46068</v>
      </c>
      <c r="V38" s="20">
        <v>-1</v>
      </c>
      <c r="W38" s="20">
        <v>1</v>
      </c>
      <c r="X38" s="4">
        <f ca="1">Y38-(W38-1)</f>
        <v>46067</v>
      </c>
      <c r="Y38" s="5">
        <f ca="1">IF(OR(T38+V38&lt;(NOW()-0.5),ISNUMBER(SEARCH("&lt;h4&gt;",K38))),U38+V38,T38+V38)</f>
        <v>46067</v>
      </c>
      <c r="Z38" t="str">
        <f ca="1">CONCATENATE(IF(OR(Y38=X38,ISBLANK(Y38)),TEXT(X38,"mmmm d"),CONCATENATE(TEXT(X38,"mmmm d"),"-",IF(TEXT(X38,"mmmm")=TEXT(Y38,"mmmm"),TEXT(Y38,"d"),TEXT(Y38,"mmmm d")))),", ",YEAR(Y38))</f>
        <v>February 14, 2026</v>
      </c>
      <c r="AA38" s="7">
        <f>O38</f>
        <v>44936</v>
      </c>
      <c r="AB38" s="14">
        <f>T38+V38-(W38-1)</f>
        <v>45703</v>
      </c>
      <c r="AC38" t="s">
        <v>1219</v>
      </c>
      <c r="AD38" s="23" t="str">
        <f ca="1">CONCATENATE("&lt;add-to-calendar-button  name=",CHAR(34),H38,CHAR(34),
IF(ISBLANK(M38),"",CONCATENATE("   location=",CHAR(34),RIGHT(M38,LEN(M38)-SEARCH("|",M38)-1),CHAR(34))),
"   description=",CHAR(34),IF(ISBLANK(I38),"",CONCATENATE(I38,"; ")),"shapenotesingings.com",CHAR(34),
"   options=",CHAR(34),"'Apple','Google','iCal','Outlook.com'",CHAR(34),"   styleLight=",CHAR(34),"--btn-background: #550000; --btn-text: #fff; --btn-shadow:#fff;",CHAR(34),
IF(W38=1,CONCATENATE(
"startDate=",CHAR(34),TEXT(G38,"yyyy-mm-dd"),CHAR(34),
"{endDate=",CHAR(34),TEXT(G38,"yyyy-mm-dd"),CHAR(34),
IF(OR(ISBLANK(AE38),ISBLANK(AF38)),"",(CONCATENATE(" startTime=",CHAR(34),TEXT(AE38,"hh:mm"),CHAR(34)," endTime=",CHAR(34),TEXT(AF38,"h:mm"),CHAR(34),
" timeZone=",CHAR(34),AG38,CHAR(34))))),
IF(W38=2,CONCATENATE(" dates='[{",
CHAR(34),"startDate",CHAR(34),":",CHAR(34),TEXT(G38,"yyyy-mm-dd"),CHAR(34),", ",
,CHAR(34),"endDate",CHAR(34),":",CHAR(34),TEXT(G38,"yyyy-mm-dd"),CHAR(34),
IF(OR(ISBLANK(AE38),ISBLANK(AF38)),"",(CONCATENATE(", ",CHAR(34),"startTime",CHAR(34),":",CHAR(34),TEXT(AE38,"hh:mm"),CHAR(34),", ",CHAR(34),"endTime",CHAR(34),":",CHAR(34),TEXT(AF38,"hh:mm"),CHAR(34),", ",CHAR(34),"timeZone",CHAR(34),":",CHAR(34),AG38,CHAR(34)))),"}, {",
,CHAR(34),"startDate",CHAR(34),":",CHAR(34),TEXT(G38+1,"yyyy-mm-dd"),CHAR(34),", ",
,CHAR(34),"endDate",CHAR(34),":",CHAR(34),TEXT(G38+W38-1,"yyyy-mm-dd"),CHAR(34),
IF(OR(ISBLANK(AE38),ISBLANK(AF38)),"",(CONCATENATE(", ",CHAR(34),"startTime",CHAR(34),":",CHAR(34),TEXT(AE38,"hh:mm"),CHAR(34),", ",CHAR(34),"endTime",CHAR(34),":",CHAR(34),TEXT(AF38,"hh:mm"),CHAR(34),", ",CHAR(34),"timeZone",CHAR(34),":",CHAR(34),AG38,CHAR(34)))),"}]'"),
CONCATENATE(
"{  startDate=",CHAR(34),TEXT(G38,"yyyy-mm-dd"),CHAR(34),
"  endDate=",CHAR(34),TEXT(G38+W38-1,"yyyy-mm-dd"),CHAR(34),"}"))),
" &gt;&lt;/add-to-calendar-button&gt;")</f>
        <v>&lt;add-to-calendar-button  name="Panhandle Pioneer Museum"   location="Panhandle Pioneer Settlement, NW Pioneer Settlement Rd, Blountstown, FL 32424"   description="10am; shapenotesingings.com"   options="'Apple','Google','iCal','Outlook.com'"   styleLight="--btn-background: #550000; --btn-text: #fff; --btn-shadow:#fff;"startDate="2026-02-14"{endDate="2026-02-14" startTime="10:00" endTime="15:00" timeZone="America/Chicago" &gt;&lt;/add-to-calendar-button&gt;</v>
      </c>
      <c r="AE38" s="24">
        <v>0.41666666666666669</v>
      </c>
      <c r="AF38" s="24">
        <v>0.625</v>
      </c>
      <c r="AG38" s="25" t="s">
        <v>1533</v>
      </c>
    </row>
    <row r="39" spans="1:37" x14ac:dyDescent="0.3">
      <c r="A39" t="s">
        <v>144</v>
      </c>
      <c r="B39" t="s">
        <v>144</v>
      </c>
      <c r="C39" t="s">
        <v>1162</v>
      </c>
      <c r="D39" t="s">
        <v>205</v>
      </c>
      <c r="E39" t="s">
        <v>2178</v>
      </c>
      <c r="F39" t="s">
        <v>203</v>
      </c>
      <c r="G39" s="7">
        <f ca="1">X39</f>
        <v>46074</v>
      </c>
      <c r="H39" s="5" t="s">
        <v>204</v>
      </c>
      <c r="I39" t="s">
        <v>1925</v>
      </c>
      <c r="J39" s="36" t="s">
        <v>2550</v>
      </c>
      <c r="K39" t="s">
        <v>1926</v>
      </c>
      <c r="L39" t="s">
        <v>1936</v>
      </c>
      <c r="M39" s="16" t="s">
        <v>206</v>
      </c>
      <c r="N39" s="16" t="s">
        <v>207</v>
      </c>
      <c r="O39" s="7">
        <v>44927</v>
      </c>
      <c r="P39" s="7" t="s">
        <v>938</v>
      </c>
      <c r="Q39" s="18">
        <v>2</v>
      </c>
      <c r="R39" s="18">
        <v>4</v>
      </c>
      <c r="S39" s="18">
        <v>1</v>
      </c>
      <c r="T39" s="4">
        <f>DATE(AI$2,$Q39,1+(($R39-($S39&gt;=WEEKDAY(DATE(AI$2,$Q39,1))))*7)+($S39-WEEKDAY(DATE(AI$2,$Q39,1))))</f>
        <v>45711</v>
      </c>
      <c r="U39" s="4">
        <f>DATE(AJ$2,$Q39,1+(($R39-($S39&gt;=WEEKDAY(DATE(AJ$2,$Q39,1))))*7)+($S39-WEEKDAY(DATE(AJ$2,$Q39,1))))</f>
        <v>46075</v>
      </c>
      <c r="V39" s="20">
        <v>-1</v>
      </c>
      <c r="W39" s="20">
        <v>1</v>
      </c>
      <c r="X39" s="4">
        <f ca="1">Y39-(W39-1)</f>
        <v>46074</v>
      </c>
      <c r="Y39" s="5">
        <f ca="1">IF(OR(T39+V39&lt;(NOW()-0.5),ISNUMBER(SEARCH("&lt;h4&gt;",K39))),U39+V39,T39+V39)</f>
        <v>46074</v>
      </c>
      <c r="Z39" t="str">
        <f ca="1">CONCATENATE(IF(OR(Y39=X39,ISBLANK(Y39)),TEXT(X39,"mmmm d"),CONCATENATE(TEXT(X39,"mmmm d"),"-",IF(TEXT(X39,"mmmm")=TEXT(Y39,"mmmm"),TEXT(Y39,"d"),TEXT(Y39,"mmmm d")))),", ",YEAR(Y39))</f>
        <v>February 21, 2026</v>
      </c>
      <c r="AA39" s="7">
        <f>O39</f>
        <v>44927</v>
      </c>
      <c r="AB39" s="14">
        <f>T39+V39-(W39-1)</f>
        <v>45710</v>
      </c>
      <c r="AC39" t="s">
        <v>1223</v>
      </c>
      <c r="AD39" s="23" t="str">
        <f ca="1">CONCATENATE("&lt;add-to-calendar-button  name=",CHAR(34),H39,CHAR(34),
IF(ISBLANK(M39),"",CONCATENATE("   location=",CHAR(34),RIGHT(M39,LEN(M39)-SEARCH("|",M39)-1),CHAR(34))),
"   description=",CHAR(34),IF(ISBLANK(I39),"",CONCATENATE(I39,"; ")),"shapenotesingings.com",CHAR(34),
"   options=",CHAR(34),"'Apple','Google','iCal','Outlook.com'",CHAR(34),"   styleLight=",CHAR(34),"--btn-background: #550000; --btn-text: #fff; --btn-shadow:#fff;",CHAR(34),
IF(W39=1,CONCATENATE(
"startDate=",CHAR(34),TEXT(G39,"yyyy-mm-dd"),CHAR(34),
"{endDate=",CHAR(34),TEXT(G39,"yyyy-mm-dd"),CHAR(34),
IF(OR(ISBLANK(AE39),ISBLANK(AF39)),"",(CONCATENATE(" startTime=",CHAR(34),TEXT(AE39,"hh:mm"),CHAR(34)," endTime=",CHAR(34),TEXT(AF39,"h:mm"),CHAR(34),
" timeZone=",CHAR(34),AG39,CHAR(34))))),
IF(W39=2,CONCATENATE(" dates='[{",
CHAR(34),"startDate",CHAR(34),":",CHAR(34),TEXT(G39,"yyyy-mm-dd"),CHAR(34),", ",
,CHAR(34),"endDate",CHAR(34),":",CHAR(34),TEXT(G39,"yyyy-mm-dd"),CHAR(34),
IF(OR(ISBLANK(AE39),ISBLANK(AF39)),"",(CONCATENATE(", ",CHAR(34),"startTime",CHAR(34),":",CHAR(34),TEXT(AE39,"hh:mm"),CHAR(34),", ",CHAR(34),"endTime",CHAR(34),":",CHAR(34),TEXT(AF39,"hh:mm"),CHAR(34),", ",CHAR(34),"timeZone",CHAR(34),":",CHAR(34),AG39,CHAR(34)))),"}, {",
,CHAR(34),"startDate",CHAR(34),":",CHAR(34),TEXT(G39+1,"yyyy-mm-dd"),CHAR(34),", ",
,CHAR(34),"endDate",CHAR(34),":",CHAR(34),TEXT(G39+W39-1,"yyyy-mm-dd"),CHAR(34),
IF(OR(ISBLANK(AE39),ISBLANK(AF39)),"",(CONCATENATE(", ",CHAR(34),"startTime",CHAR(34),":",CHAR(34),TEXT(AE39,"hh:mm"),CHAR(34),", ",CHAR(34),"endTime",CHAR(34),":",CHAR(34),TEXT(AF39,"hh:mm"),CHAR(34),", ",CHAR(34),"timeZone",CHAR(34),":",CHAR(34),AG39,CHAR(34)))),"}]'"),
CONCATENATE(
"{  startDate=",CHAR(34),TEXT(G39,"yyyy-mm-dd"),CHAR(34),
"  endDate=",CHAR(34),TEXT(G39+W39-1,"yyyy-mm-dd"),CHAR(34),"}"))),
" &gt;&lt;/add-to-calendar-button&gt;")</f>
        <v>&lt;add-to-calendar-button  name="South Yorkshire Singing"   location="Wisewood Methodist Church, Ben Lane Sheffield, S6 4SB, United Kingdom "   description="11am; shapenotesingings.com"   options="'Apple','Google','iCal','Outlook.com'"   styleLight="--btn-background: #550000; --btn-text: #fff; --btn-shadow:#fff;"startDate="2026-02-21"{endDate="2026-02-21" startTime="11:00" endTime="16:00" timeZone="Europe/London" &gt;&lt;/add-to-calendar-button&gt;</v>
      </c>
      <c r="AE39" s="24">
        <v>0.45833333333333331</v>
      </c>
      <c r="AF39" s="24">
        <v>0.66666666666666663</v>
      </c>
      <c r="AG39" s="25" t="s">
        <v>1535</v>
      </c>
    </row>
    <row r="40" spans="1:37" x14ac:dyDescent="0.3">
      <c r="A40" t="s">
        <v>8</v>
      </c>
      <c r="B40" t="s">
        <v>17</v>
      </c>
      <c r="C40" t="s">
        <v>1140</v>
      </c>
      <c r="D40" t="s">
        <v>30</v>
      </c>
      <c r="E40" t="s">
        <v>519</v>
      </c>
      <c r="F40" t="s">
        <v>203</v>
      </c>
      <c r="G40" s="7">
        <f ca="1">X40</f>
        <v>46074</v>
      </c>
      <c r="H40" s="5" t="s">
        <v>648</v>
      </c>
      <c r="I40" t="s">
        <v>1041</v>
      </c>
      <c r="J40" s="36" t="s">
        <v>2551</v>
      </c>
      <c r="L40" t="s">
        <v>2770</v>
      </c>
      <c r="M40" s="16" t="s">
        <v>994</v>
      </c>
      <c r="N40" s="16" t="s">
        <v>125</v>
      </c>
      <c r="O40" s="7">
        <v>45550</v>
      </c>
      <c r="P40" s="7" t="s">
        <v>2286</v>
      </c>
      <c r="Q40" s="18">
        <v>2</v>
      </c>
      <c r="R40" s="18">
        <v>4</v>
      </c>
      <c r="S40" s="18">
        <v>1</v>
      </c>
      <c r="T40" s="4">
        <f>DATE(AI$2,$Q40,1+(($R40-($S40&gt;=WEEKDAY(DATE(AI$2,$Q40,1))))*7)+($S40-WEEKDAY(DATE(AI$2,$Q40,1))))</f>
        <v>45711</v>
      </c>
      <c r="U40" s="4">
        <f>DATE(AJ$2,$Q40,1+(($R40-($S40&gt;=WEEKDAY(DATE(AJ$2,$Q40,1))))*7)+($S40-WEEKDAY(DATE(AJ$2,$Q40,1))))</f>
        <v>46075</v>
      </c>
      <c r="V40" s="20">
        <v>-1</v>
      </c>
      <c r="W40" s="20">
        <v>1</v>
      </c>
      <c r="X40" s="4">
        <f ca="1">Y40-(W40-1)</f>
        <v>46074</v>
      </c>
      <c r="Y40" s="5">
        <f ca="1">IF(OR(T40+V40&lt;(NOW()-0.5),ISNUMBER(SEARCH("&lt;h4&gt;",K40))),U40+V40,T40+V40)</f>
        <v>46074</v>
      </c>
      <c r="Z40" t="str">
        <f ca="1">CONCATENATE(IF(OR(Y40=X40,ISBLANK(Y40)),TEXT(X40,"mmmm d"),CONCATENATE(TEXT(X40,"mmmm d"),"-",IF(TEXT(X40,"mmmm")=TEXT(Y40,"mmmm"),TEXT(Y40,"d"),TEXT(Y40,"mmmm d")))),", ",YEAR(Y40))</f>
        <v>February 21, 2026</v>
      </c>
      <c r="AA40" s="7">
        <f>O40</f>
        <v>45550</v>
      </c>
      <c r="AB40" s="14">
        <f>T40+V40-(W40-1)</f>
        <v>45710</v>
      </c>
      <c r="AC40" t="s">
        <v>1221</v>
      </c>
      <c r="AD40" s="23" t="str">
        <f ca="1">CONCATENATE("&lt;add-to-calendar-button  name=",CHAR(34),H40,CHAR(34),
IF(ISBLANK(M40),"",CONCATENATE("   location=",CHAR(34),RIGHT(M40,LEN(M40)-SEARCH("|",M40)-1),CHAR(34))),
"   description=",CHAR(34),IF(ISBLANK(I40),"",CONCATENATE(I40,"; ")),"shapenotesingings.com",CHAR(34),
"   options=",CHAR(34),"'Apple','Google','iCal','Outlook.com'",CHAR(34),"   styleLight=",CHAR(34),"--btn-background: #550000; --btn-text: #fff; --btn-shadow:#fff;",CHAR(34),
IF(W40=1,CONCATENATE(
"startDate=",CHAR(34),TEXT(G40,"yyyy-mm-dd"),CHAR(34),
"{endDate=",CHAR(34),TEXT(G40,"yyyy-mm-dd"),CHAR(34),
IF(OR(ISBLANK(AE40),ISBLANK(AF40)),"",(CONCATENATE(" startTime=",CHAR(34),TEXT(AE40,"hh:mm"),CHAR(34)," endTime=",CHAR(34),TEXT(AF40,"h:mm"),CHAR(34),
" timeZone=",CHAR(34),AG40,CHAR(34))))),
IF(W40=2,CONCATENATE(" dates='[{",
CHAR(34),"startDate",CHAR(34),":",CHAR(34),TEXT(G40,"yyyy-mm-dd"),CHAR(34),", ",
,CHAR(34),"endDate",CHAR(34),":",CHAR(34),TEXT(G40,"yyyy-mm-dd"),CHAR(34),
IF(OR(ISBLANK(AE40),ISBLANK(AF40)),"",(CONCATENATE(", ",CHAR(34),"startTime",CHAR(34),":",CHAR(34),TEXT(AE40,"hh:mm"),CHAR(34),", ",CHAR(34),"endTime",CHAR(34),":",CHAR(34),TEXT(AF40,"hh:mm"),CHAR(34),", ",CHAR(34),"timeZone",CHAR(34),":",CHAR(34),AG40,CHAR(34)))),"}, {",
,CHAR(34),"startDate",CHAR(34),":",CHAR(34),TEXT(G40+1,"yyyy-mm-dd"),CHAR(34),", ",
,CHAR(34),"endDate",CHAR(34),":",CHAR(34),TEXT(G40+W40-1,"yyyy-mm-dd"),CHAR(34),
IF(OR(ISBLANK(AE40),ISBLANK(AF40)),"",(CONCATENATE(", ",CHAR(34),"startTime",CHAR(34),":",CHAR(34),TEXT(AE40,"hh:mm"),CHAR(34),", ",CHAR(34),"endTime",CHAR(34),":",CHAR(34),TEXT(AF40,"hh:mm"),CHAR(34),", ",CHAR(34),"timeZone",CHAR(34),":",CHAR(34),AG40,CHAR(34)))),"}]'"),
CONCATENATE(
"{  startDate=",CHAR(34),TEXT(G40,"yyyy-mm-dd"),CHAR(34),
"  endDate=",CHAR(34),TEXT(G40+W40-1,"yyyy-mm-dd"),CHAR(34),"}"))),
" &gt;&lt;/add-to-calendar-button&gt;")</f>
        <v>&lt;add-to-calendar-button  name="J.L. White Sacred Harp Singing"   location="Hardeman Primitive Baptist Church, 3965 Glenwood Rd, Decatur, GA 30032"   description="10:30am; shapenotesingings.com"   options="'Apple','Google','iCal','Outlook.com'"   styleLight="--btn-background: #550000; --btn-text: #fff; --btn-shadow:#fff;"startDate="2026-02-21"{endDate="2026-02-21" startTime="10:00" endTime="15:00" timeZone="America/New_York" &gt;&lt;/add-to-calendar-button&gt;</v>
      </c>
      <c r="AE40" s="24">
        <v>0.41666666666666669</v>
      </c>
      <c r="AF40" s="24">
        <v>0.625</v>
      </c>
      <c r="AG40" s="25" t="s">
        <v>1532</v>
      </c>
    </row>
    <row r="41" spans="1:37" x14ac:dyDescent="0.3">
      <c r="A41" t="s">
        <v>8</v>
      </c>
      <c r="B41" t="s">
        <v>11</v>
      </c>
      <c r="C41" t="s">
        <v>1134</v>
      </c>
      <c r="D41" t="s">
        <v>210</v>
      </c>
      <c r="E41" t="s">
        <v>34</v>
      </c>
      <c r="F41" t="s">
        <v>203</v>
      </c>
      <c r="G41" s="7">
        <f ca="1">X41</f>
        <v>46074</v>
      </c>
      <c r="H41" s="5" t="s">
        <v>211</v>
      </c>
      <c r="I41" t="s">
        <v>1051</v>
      </c>
      <c r="K41" t="s">
        <v>1067</v>
      </c>
      <c r="L41" t="s">
        <v>2765</v>
      </c>
      <c r="M41" s="16" t="s">
        <v>208</v>
      </c>
      <c r="N41" s="16" t="s">
        <v>209</v>
      </c>
      <c r="O41" s="7">
        <v>44943</v>
      </c>
      <c r="P41" s="7" t="s">
        <v>930</v>
      </c>
      <c r="Q41" s="18">
        <v>2</v>
      </c>
      <c r="R41" s="18">
        <v>4</v>
      </c>
      <c r="S41" s="18">
        <v>1</v>
      </c>
      <c r="T41" s="4">
        <f>DATE(AI$2,$Q41,1+(($R41-($S41&gt;=WEEKDAY(DATE(AI$2,$Q41,1))))*7)+($S41-WEEKDAY(DATE(AI$2,$Q41,1))))</f>
        <v>45711</v>
      </c>
      <c r="U41" s="4">
        <f>DATE(AJ$2,$Q41,1+(($R41-($S41&gt;=WEEKDAY(DATE(AJ$2,$Q41,1))))*7)+($S41-WEEKDAY(DATE(AJ$2,$Q41,1))))</f>
        <v>46075</v>
      </c>
      <c r="V41" s="20">
        <v>-1</v>
      </c>
      <c r="W41" s="20">
        <v>1</v>
      </c>
      <c r="X41" s="4">
        <f ca="1">Y41-(W41-1)</f>
        <v>46074</v>
      </c>
      <c r="Y41" s="5">
        <f ca="1">IF(OR(T41+V41&lt;(NOW()-0.5),ISNUMBER(SEARCH("&lt;h4&gt;",K41))),U41+V41,T41+V41)</f>
        <v>46074</v>
      </c>
      <c r="Z41" t="str">
        <f ca="1">CONCATENATE(IF(OR(Y41=X41,ISBLANK(Y41)),TEXT(X41,"mmmm d"),CONCATENATE(TEXT(X41,"mmmm d"),"-",IF(TEXT(X41,"mmmm")=TEXT(Y41,"mmmm"),TEXT(Y41,"d"),TEXT(Y41,"mmmm d")))),", ",YEAR(Y41))</f>
        <v>February 21, 2026</v>
      </c>
      <c r="AA41" s="7">
        <f>O41</f>
        <v>44943</v>
      </c>
      <c r="AB41" s="14">
        <f>T41+V41-(W41-1)</f>
        <v>45710</v>
      </c>
      <c r="AC41" t="s">
        <v>1220</v>
      </c>
      <c r="AD41" s="23" t="str">
        <f ca="1">CONCATENATE("&lt;add-to-calendar-button  name=",CHAR(34),H41,CHAR(34),
IF(ISBLANK(M41),"",CONCATENATE("   location=",CHAR(34),RIGHT(M41,LEN(M41)-SEARCH("|",M41)-1),CHAR(34))),
"   description=",CHAR(34),IF(ISBLANK(I41),"",CONCATENATE(I41,"; ")),"shapenotesingings.com",CHAR(34),
"   options=",CHAR(34),"'Apple','Google','iCal','Outlook.com'",CHAR(34),"   styleLight=",CHAR(34),"--btn-background: #550000; --btn-text: #fff; --btn-shadow:#fff;",CHAR(34),
IF(W41=1,CONCATENATE(
"startDate=",CHAR(34),TEXT(G41,"yyyy-mm-dd"),CHAR(34),
"{endDate=",CHAR(34),TEXT(G41,"yyyy-mm-dd"),CHAR(34),
IF(OR(ISBLANK(AE41),ISBLANK(AF41)),"",(CONCATENATE(" startTime=",CHAR(34),TEXT(AE41,"hh:mm"),CHAR(34)," endTime=",CHAR(34),TEXT(AF41,"h:mm"),CHAR(34),
" timeZone=",CHAR(34),AG41,CHAR(34))))),
IF(W41=2,CONCATENATE(" dates='[{",
CHAR(34),"startDate",CHAR(34),":",CHAR(34),TEXT(G41,"yyyy-mm-dd"),CHAR(34),", ",
,CHAR(34),"endDate",CHAR(34),":",CHAR(34),TEXT(G41,"yyyy-mm-dd"),CHAR(34),
IF(OR(ISBLANK(AE41),ISBLANK(AF41)),"",(CONCATENATE(", ",CHAR(34),"startTime",CHAR(34),":",CHAR(34),TEXT(AE41,"hh:mm"),CHAR(34),", ",CHAR(34),"endTime",CHAR(34),":",CHAR(34),TEXT(AF41,"hh:mm"),CHAR(34),", ",CHAR(34),"timeZone",CHAR(34),":",CHAR(34),AG41,CHAR(34)))),"}, {",
,CHAR(34),"startDate",CHAR(34),":",CHAR(34),TEXT(G41+1,"yyyy-mm-dd"),CHAR(34),", ",
,CHAR(34),"endDate",CHAR(34),":",CHAR(34),TEXT(G41+W41-1,"yyyy-mm-dd"),CHAR(34),
IF(OR(ISBLANK(AE41),ISBLANK(AF41)),"",(CONCATENATE(", ",CHAR(34),"startTime",CHAR(34),":",CHAR(34),TEXT(AE41,"hh:mm"),CHAR(34),", ",CHAR(34),"endTime",CHAR(34),":",CHAR(34),TEXT(AF41,"hh:mm"),CHAR(34),", ",CHAR(34),"timeZone",CHAR(34),":",CHAR(34),AG41,CHAR(34)))),"}]'"),
CONCATENATE(
"{  startDate=",CHAR(34),TEXT(G41,"yyyy-mm-dd"),CHAR(34),
"  endDate=",CHAR(34),TEXT(G41+W41-1,"yyyy-mm-dd"),CHAR(34),"}"))),
" &gt;&lt;/add-to-calendar-button&gt;")</f>
        <v>&lt;add-to-calendar-button  name="Troy All-Day Singing"   location="Pioneer Museum of Alabama, 248 US-231, Troy, AL 36081"   description="9:30am-2:30pm; shapenotesingings.com"   options="'Apple','Google','iCal','Outlook.com'"   styleLight="--btn-background: #550000; --btn-text: #fff; --btn-shadow:#fff;"startDate="2026-02-21"{endDate="2026-02-21" startTime="09:30" endTime="14:30" timeZone="America/Chicago" &gt;&lt;/add-to-calendar-button&gt;</v>
      </c>
      <c r="AE41" s="24">
        <v>0.39583333333333331</v>
      </c>
      <c r="AF41" s="24">
        <v>0.60416666666666663</v>
      </c>
      <c r="AG41" s="25" t="s">
        <v>1533</v>
      </c>
    </row>
    <row r="42" spans="1:37" x14ac:dyDescent="0.3">
      <c r="A42" t="s">
        <v>8</v>
      </c>
      <c r="B42" t="s">
        <v>17</v>
      </c>
      <c r="C42" t="s">
        <v>1140</v>
      </c>
      <c r="D42" t="s">
        <v>911</v>
      </c>
      <c r="E42" t="s">
        <v>2181</v>
      </c>
      <c r="F42" t="s">
        <v>214</v>
      </c>
      <c r="G42" s="7">
        <f ca="1">X42</f>
        <v>46075</v>
      </c>
      <c r="H42" s="5" t="s">
        <v>1877</v>
      </c>
      <c r="I42" t="s">
        <v>1037</v>
      </c>
      <c r="J42" s="36" t="s">
        <v>2552</v>
      </c>
      <c r="L42" t="s">
        <v>1730</v>
      </c>
      <c r="M42" s="16" t="s">
        <v>909</v>
      </c>
      <c r="N42" s="16" t="s">
        <v>910</v>
      </c>
      <c r="O42" s="7">
        <v>44955</v>
      </c>
      <c r="P42" s="7" t="s">
        <v>929</v>
      </c>
      <c r="Q42" s="18">
        <v>2</v>
      </c>
      <c r="R42" s="18">
        <v>4</v>
      </c>
      <c r="S42" s="18">
        <v>1</v>
      </c>
      <c r="T42" s="4">
        <f>DATE(AI$2,$Q42,1+(($R42-($S42&gt;=WEEKDAY(DATE(AI$2,$Q42,1))))*7)+($S42-WEEKDAY(DATE(AI$2,$Q42,1))))</f>
        <v>45711</v>
      </c>
      <c r="U42" s="4">
        <f>DATE(AJ$2,$Q42,1+(($R42-($S42&gt;=WEEKDAY(DATE(AJ$2,$Q42,1))))*7)+($S42-WEEKDAY(DATE(AJ$2,$Q42,1))))</f>
        <v>46075</v>
      </c>
      <c r="V42" s="20">
        <v>0</v>
      </c>
      <c r="W42" s="20">
        <v>1</v>
      </c>
      <c r="X42" s="4">
        <f ca="1">Y42-(W42-1)</f>
        <v>46075</v>
      </c>
      <c r="Y42" s="5">
        <f ca="1">IF(OR(T42+V42&lt;(NOW()-0.5),ISNUMBER(SEARCH("&lt;h4&gt;",K42))),U42+V42,T42+V42)</f>
        <v>46075</v>
      </c>
      <c r="Z42" t="str">
        <f ca="1">CONCATENATE(IF(OR(Y42=X42,ISBLANK(Y42)),TEXT(X42,"mmmm d"),CONCATENATE(TEXT(X42,"mmmm d"),"-",IF(TEXT(X42,"mmmm")=TEXT(Y42,"mmmm"),TEXT(Y42,"d"),TEXT(Y42,"mmmm d")))),", ",YEAR(Y42))</f>
        <v>February 22, 2026</v>
      </c>
      <c r="AA42" s="7">
        <f>O42</f>
        <v>44955</v>
      </c>
      <c r="AB42" s="14">
        <f>T42+V42-(W42-1)</f>
        <v>45711</v>
      </c>
      <c r="AC42" t="s">
        <v>1224</v>
      </c>
      <c r="AD42" s="23" t="str">
        <f ca="1">CONCATENATE("&lt;add-to-calendar-button  name=",CHAR(34),H42,CHAR(34),
IF(ISBLANK(M42),"",CONCATENATE("   location=",CHAR(34),RIGHT(M42,LEN(M42)-SEARCH("|",M42)-1),CHAR(34))),
"   description=",CHAR(34),IF(ISBLANK(I42),"",CONCATENATE(I42,"; ")),"shapenotesingings.com",CHAR(34),
"   options=",CHAR(34),"'Apple','Google','iCal','Outlook.com'",CHAR(34),"   styleLight=",CHAR(34),"--btn-background: #550000; --btn-text: #fff; --btn-shadow:#fff;",CHAR(34),
IF(W42=1,CONCATENATE(
"startDate=",CHAR(34),TEXT(G42,"yyyy-mm-dd"),CHAR(34),
"{endDate=",CHAR(34),TEXT(G42,"yyyy-mm-dd"),CHAR(34),
IF(OR(ISBLANK(AE42),ISBLANK(AF42)),"",(CONCATENATE(" startTime=",CHAR(34),TEXT(AE42,"hh:mm"),CHAR(34)," endTime=",CHAR(34),TEXT(AF42,"h:mm"),CHAR(34),
" timeZone=",CHAR(34),AG42,CHAR(34))))),
IF(W42=2,CONCATENATE(" dates='[{",
CHAR(34),"startDate",CHAR(34),":",CHAR(34),TEXT(G42,"yyyy-mm-dd"),CHAR(34),", ",
,CHAR(34),"endDate",CHAR(34),":",CHAR(34),TEXT(G42,"yyyy-mm-dd"),CHAR(34),
IF(OR(ISBLANK(AE42),ISBLANK(AF42)),"",(CONCATENATE(", ",CHAR(34),"startTime",CHAR(34),":",CHAR(34),TEXT(AE42,"hh:mm"),CHAR(34),", ",CHAR(34),"endTime",CHAR(34),":",CHAR(34),TEXT(AF42,"hh:mm"),CHAR(34),", ",CHAR(34),"timeZone",CHAR(34),":",CHAR(34),AG42,CHAR(34)))),"}, {",
,CHAR(34),"startDate",CHAR(34),":",CHAR(34),TEXT(G42+1,"yyyy-mm-dd"),CHAR(34),", ",
,CHAR(34),"endDate",CHAR(34),":",CHAR(34),TEXT(G42+W42-1,"yyyy-mm-dd"),CHAR(34),
IF(OR(ISBLANK(AE42),ISBLANK(AF42)),"",(CONCATENATE(", ",CHAR(34),"startTime",CHAR(34),":",CHAR(34),TEXT(AE42,"hh:mm"),CHAR(34),", ",CHAR(34),"endTime",CHAR(34),":",CHAR(34),TEXT(AF42,"hh:mm"),CHAR(34),", ",CHAR(34),"timeZone",CHAR(34),":",CHAR(34),AG42,CHAR(34)))),"}]'"),
CONCATENATE(
"{  startDate=",CHAR(34),TEXT(G42,"yyyy-mm-dd"),CHAR(34),
"  endDate=",CHAR(34),TEXT(G42+W42-1,"yyyy-mm-dd"),CHAR(34),"}"))),
" &gt;&lt;/add-to-calendar-button&gt;")</f>
        <v>&lt;add-to-calendar-button  name="The Social Harp and Sacred Harp Singing"   location="No. 3 Railroad Steet, Arnoldsville, GA 30619"   description="10am-3pm; shapenotesingings.com"   options="'Apple','Google','iCal','Outlook.com'"   styleLight="--btn-background: #550000; --btn-text: #fff; --btn-shadow:#fff;"startDate="2026-02-22"{endDate="2026-02-22" startTime="10:00" endTime="15:00" timeZone="America/New_York" &gt;&lt;/add-to-calendar-button&gt;</v>
      </c>
      <c r="AE42" s="24">
        <v>0.41666666666666669</v>
      </c>
      <c r="AF42" s="24">
        <v>0.625</v>
      </c>
      <c r="AG42" s="25" t="s">
        <v>1532</v>
      </c>
    </row>
    <row r="43" spans="1:37" ht="13.8" customHeight="1" x14ac:dyDescent="0.3">
      <c r="A43" t="s">
        <v>8</v>
      </c>
      <c r="B43" t="s">
        <v>114</v>
      </c>
      <c r="C43" t="s">
        <v>1153</v>
      </c>
      <c r="D43" t="s">
        <v>809</v>
      </c>
      <c r="E43" t="s">
        <v>781</v>
      </c>
      <c r="F43" t="s">
        <v>215</v>
      </c>
      <c r="G43" s="7">
        <f ca="1">X43</f>
        <v>46081</v>
      </c>
      <c r="H43" s="5" t="s">
        <v>886</v>
      </c>
      <c r="I43" t="s">
        <v>1037</v>
      </c>
      <c r="J43" s="36" t="s">
        <v>2553</v>
      </c>
      <c r="L43" t="s">
        <v>985</v>
      </c>
      <c r="M43" s="16" t="s">
        <v>884</v>
      </c>
      <c r="N43" s="16" t="s">
        <v>885</v>
      </c>
      <c r="O43" s="7">
        <v>44927</v>
      </c>
      <c r="P43" s="7" t="s">
        <v>934</v>
      </c>
      <c r="Q43" s="18">
        <v>3</v>
      </c>
      <c r="R43" s="18">
        <v>1</v>
      </c>
      <c r="S43" s="18">
        <v>1</v>
      </c>
      <c r="T43" s="4">
        <f>DATE(AI$2,$Q43,1+(($R43-($S43&gt;=WEEKDAY(DATE(AI$2,$Q43,1))))*7)+($S43-WEEKDAY(DATE(AI$2,$Q43,1))))</f>
        <v>45718</v>
      </c>
      <c r="U43" s="4">
        <f>DATE(AJ$2,$Q43,1+(($R43-($S43&gt;=WEEKDAY(DATE(AJ$2,$Q43,1))))*7)+($S43-WEEKDAY(DATE(AJ$2,$Q43,1))))</f>
        <v>46082</v>
      </c>
      <c r="V43" s="20">
        <v>-1</v>
      </c>
      <c r="W43" s="20">
        <v>1</v>
      </c>
      <c r="X43" s="4">
        <f ca="1">Y43-(W43-1)</f>
        <v>46081</v>
      </c>
      <c r="Y43" s="5">
        <f ca="1">IF(OR(T43+V43&lt;(NOW()-0.5),ISNUMBER(SEARCH("&lt;h4&gt;",K43))),U43+V43,T43+V43)</f>
        <v>46081</v>
      </c>
      <c r="Z43" t="str">
        <f ca="1">CONCATENATE(IF(OR(Y43=X43,ISBLANK(Y43)),TEXT(X43,"mmmm d"),CONCATENATE(TEXT(X43,"mmmm d"),"-",IF(TEXT(X43,"mmmm")=TEXT(Y43,"mmmm"),TEXT(Y43,"d"),TEXT(Y43,"mmmm d")))),", ",YEAR(Y43))</f>
        <v>February 28, 2026</v>
      </c>
      <c r="AA43" s="7">
        <f>O43</f>
        <v>44927</v>
      </c>
      <c r="AB43" s="14">
        <f>T43+V43-(W43-1)</f>
        <v>45717</v>
      </c>
      <c r="AC43" t="s">
        <v>1227</v>
      </c>
      <c r="AD43" s="23" t="str">
        <f ca="1">CONCATENATE("&lt;add-to-calendar-button  name=",CHAR(34),H43,CHAR(34),
IF(ISBLANK(M43),"",CONCATENATE("   location=",CHAR(34),RIGHT(M43,LEN(M43)-SEARCH("|",M43)-1),CHAR(34))),
"   description=",CHAR(34),IF(ISBLANK(I43),"",CONCATENATE(I43,"; ")),"shapenotesingings.com",CHAR(34),
"   options=",CHAR(34),"'Apple','Google','iCal','Outlook.com'",CHAR(34),"   styleLight=",CHAR(34),"--btn-background: #550000; --btn-text: #fff; --btn-shadow:#fff;",CHAR(34),
IF(W43=1,CONCATENATE(
"startDate=",CHAR(34),TEXT(G43,"yyyy-mm-dd"),CHAR(34),
"{endDate=",CHAR(34),TEXT(G43,"yyyy-mm-dd"),CHAR(34),
IF(OR(ISBLANK(AE43),ISBLANK(AF43)),"",(CONCATENATE(" startTime=",CHAR(34),TEXT(AE43,"hh:mm"),CHAR(34)," endTime=",CHAR(34),TEXT(AF43,"h:mm"),CHAR(34),
" timeZone=",CHAR(34),AG43,CHAR(34))))),
IF(W43=2,CONCATENATE(" dates='[{",
CHAR(34),"startDate",CHAR(34),":",CHAR(34),TEXT(G43,"yyyy-mm-dd"),CHAR(34),", ",
,CHAR(34),"endDate",CHAR(34),":",CHAR(34),TEXT(G43,"yyyy-mm-dd"),CHAR(34),
IF(OR(ISBLANK(AE43),ISBLANK(AF43)),"",(CONCATENATE(", ",CHAR(34),"startTime",CHAR(34),":",CHAR(34),TEXT(AE43,"hh:mm"),CHAR(34),", ",CHAR(34),"endTime",CHAR(34),":",CHAR(34),TEXT(AF43,"hh:mm"),CHAR(34),", ",CHAR(34),"timeZone",CHAR(34),":",CHAR(34),AG43,CHAR(34)))),"}, {",
,CHAR(34),"startDate",CHAR(34),":",CHAR(34),TEXT(G43+1,"yyyy-mm-dd"),CHAR(34),", ",
,CHAR(34),"endDate",CHAR(34),":",CHAR(34),TEXT(G43+W43-1,"yyyy-mm-dd"),CHAR(34),
IF(OR(ISBLANK(AE43),ISBLANK(AF43)),"",(CONCATENATE(", ",CHAR(34),"startTime",CHAR(34),":",CHAR(34),TEXT(AE43,"hh:mm"),CHAR(34),", ",CHAR(34),"endTime",CHAR(34),":",CHAR(34),TEXT(AF43,"hh:mm"),CHAR(34),", ",CHAR(34),"timeZone",CHAR(34),":",CHAR(34),AG43,CHAR(34)))),"}]'"),
CONCATENATE(
"{  startDate=",CHAR(34),TEXT(G43,"yyyy-mm-dd"),CHAR(34),
"  endDate=",CHAR(34),TEXT(G43+W43-1,"yyyy-mm-dd"),CHAR(34),"}"))),
" &gt;&lt;/add-to-calendar-button&gt;")</f>
        <v>&lt;add-to-calendar-button  name="Madison County Grapevine Singing "   location="Center Community Center, 1300 Grapevine Rd, Marshall, North Carolina 28753"   description="10am-3pm; shapenotesingings.com"   options="'Apple','Google','iCal','Outlook.com'"   styleLight="--btn-background: #550000; --btn-text: #fff; --btn-shadow:#fff;"startDate="2026-02-28"{endDate="2026-02-28" startTime="10:00" endTime="15:00" timeZone="America/New_York" &gt;&lt;/add-to-calendar-button&gt;</v>
      </c>
      <c r="AE43" s="24">
        <v>0.41666666666666669</v>
      </c>
      <c r="AF43" s="24">
        <v>0.625</v>
      </c>
      <c r="AG43" s="25" t="s">
        <v>1532</v>
      </c>
    </row>
    <row r="44" spans="1:37" x14ac:dyDescent="0.3">
      <c r="A44" t="s">
        <v>8</v>
      </c>
      <c r="B44" t="s">
        <v>2709</v>
      </c>
      <c r="C44" t="s">
        <v>2710</v>
      </c>
      <c r="D44" t="s">
        <v>2708</v>
      </c>
      <c r="E44" t="s">
        <v>2178</v>
      </c>
      <c r="F44" t="s">
        <v>222</v>
      </c>
      <c r="G44" s="7">
        <f ca="1">X44</f>
        <v>46081</v>
      </c>
      <c r="H44" s="5" t="s">
        <v>1921</v>
      </c>
      <c r="I44" t="s">
        <v>2714</v>
      </c>
      <c r="J44" s="36" t="s">
        <v>2554</v>
      </c>
      <c r="K44" t="s">
        <v>1068</v>
      </c>
      <c r="L44" t="s">
        <v>2705</v>
      </c>
      <c r="M44" s="16" t="s">
        <v>2712</v>
      </c>
      <c r="N44" s="16" t="s">
        <v>2713</v>
      </c>
      <c r="O44" s="7">
        <v>45670</v>
      </c>
      <c r="P44" s="7" t="s">
        <v>2711</v>
      </c>
      <c r="Q44" s="18">
        <v>3</v>
      </c>
      <c r="R44" s="18">
        <v>1</v>
      </c>
      <c r="S44" s="18">
        <v>1</v>
      </c>
      <c r="T44" s="4">
        <f>DATE(AI$2,$Q44,1+(($R44-($S44&gt;=WEEKDAY(DATE(AI$2,$Q44,1))))*7)+($S44-WEEKDAY(DATE(AI$2,$Q44,1))))</f>
        <v>45718</v>
      </c>
      <c r="U44" s="4">
        <f>DATE(AJ$2,$Q44,1+(($R44-($S44&gt;=WEEKDAY(DATE(AJ$2,$Q44,1))))*7)+($S44-WEEKDAY(DATE(AJ$2,$Q44,1))))</f>
        <v>46082</v>
      </c>
      <c r="V44" s="20">
        <v>0</v>
      </c>
      <c r="W44" s="20">
        <v>2</v>
      </c>
      <c r="X44" s="4">
        <f ca="1">Y44-(W44-1)</f>
        <v>46081</v>
      </c>
      <c r="Y44" s="5">
        <f ca="1">IF(OR(T44+V44&lt;(NOW()-0.5),ISNUMBER(SEARCH("&lt;h4&gt;",K44))),U44+V44,T44+V44)</f>
        <v>46082</v>
      </c>
      <c r="Z44" t="str">
        <f ca="1">CONCATENATE(IF(OR(Y44=X44,ISBLANK(Y44)),TEXT(X44,"mmmm d"),CONCATENATE(TEXT(X44,"mmmm d"),"-",IF(TEXT(X44,"mmmm")=TEXT(Y44,"mmmm"),TEXT(Y44,"d"),TEXT(Y44,"mmmm d")))),", ",YEAR(Y44))</f>
        <v>February 28-March 1, 2026</v>
      </c>
      <c r="AA44" s="7">
        <f>O44</f>
        <v>45670</v>
      </c>
      <c r="AB44" s="14">
        <f>T44+V44-(W44-1)</f>
        <v>45717</v>
      </c>
      <c r="AC44" t="s">
        <v>2715</v>
      </c>
      <c r="AD44" s="23" t="str">
        <f ca="1">CONCATENATE("&lt;add-to-calendar-button  name=",CHAR(34),H44,CHAR(34),
IF(ISBLANK(M44),"",CONCATENATE("   location=",CHAR(34),RIGHT(M44,LEN(M44)-SEARCH("|",M44)-1),CHAR(34))),
"   description=",CHAR(34),IF(ISBLANK(I44),"",CONCATENATE(I44,"; ")),"shapenotesingings.com",CHAR(34),
"   options=",CHAR(34),"'Apple','Google','iCal','Outlook.com'",CHAR(34),"   styleLight=",CHAR(34),"--btn-background: #550000; --btn-text: #fff; --btn-shadow:#fff;",CHAR(34),
IF(W44=1,CONCATENATE(
"startDate=",CHAR(34),TEXT(G44,"yyyy-mm-dd"),CHAR(34),
"{endDate=",CHAR(34),TEXT(G44,"yyyy-mm-dd"),CHAR(34),
IF(OR(ISBLANK(AE44),ISBLANK(AF44)),"",(CONCATENATE(" startTime=",CHAR(34),TEXT(AE44,"hh:mm"),CHAR(34)," endTime=",CHAR(34),TEXT(AF44,"h:mm"),CHAR(34),
" timeZone=",CHAR(34),AG44,CHAR(34))))),
IF(W44=2,CONCATENATE(" dates='[{",
CHAR(34),"startDate",CHAR(34),":",CHAR(34),TEXT(G44,"yyyy-mm-dd"),CHAR(34),", ",
,CHAR(34),"endDate",CHAR(34),":",CHAR(34),TEXT(G44,"yyyy-mm-dd"),CHAR(34),
IF(OR(ISBLANK(AE44),ISBLANK(AF44)),"",(CONCATENATE(", ",CHAR(34),"startTime",CHAR(34),":",CHAR(34),TEXT(AE44,"hh:mm"),CHAR(34),", ",CHAR(34),"endTime",CHAR(34),":",CHAR(34),TEXT(AF44,"hh:mm"),CHAR(34),", ",CHAR(34),"timeZone",CHAR(34),":",CHAR(34),AG44,CHAR(34)))),"}, {",
,CHAR(34),"startDate",CHAR(34),":",CHAR(34),TEXT(G44+1,"yyyy-mm-dd"),CHAR(34),", ",
,CHAR(34),"endDate",CHAR(34),":",CHAR(34),TEXT(G44+W44-1,"yyyy-mm-dd"),CHAR(34),
IF(OR(ISBLANK(AE44),ISBLANK(AF44)),"",(CONCATENATE(", ",CHAR(34),"startTime",CHAR(34),":",CHAR(34),TEXT(AE44,"hh:mm"),CHAR(34),", ",CHAR(34),"endTime",CHAR(34),":",CHAR(34),TEXT(AF44,"hh:mm"),CHAR(34),", ",CHAR(34),"timeZone",CHAR(34),":",CHAR(34),AG44,CHAR(34)))),"}]'"),
CONCATENATE(
"{  startDate=",CHAR(34),TEXT(G44,"yyyy-mm-dd"),CHAR(34),
"  endDate=",CHAR(34),TEXT(G44+W44-1,"yyyy-mm-dd"),CHAR(34),"}"))),
" &gt;&lt;/add-to-calendar-button&gt;")</f>
        <v>&lt;add-to-calendar-button  name="Elder Gerald Hand Memorial"   location="Sonora Cohousing Community, 501 E Roger Rd, Tucson, AZ 85705"   description="Saturday 9:00am-3:00pm, Sunday 9:30am-2:30pm; shapenotesingings.com"   options="'Apple','Google','iCal','Outlook.com'"   styleLight="--btn-background: #550000; --btn-text: #fff; --btn-shadow:#fff;" dates='[{"startDate":"2026-02-28", "endDate":"2026-02-28", "startTime":"09:00", "endTime":"15:00", "timeZone":"America/Phoenix"}, {"startDate":"2026-03-01", "endDate":"2026-03-01", "startTime":"09:00", "endTime":"15:00", "timeZone":"America/Phoenix"}]' &gt;&lt;/add-to-calendar-button&gt;</v>
      </c>
      <c r="AE44" s="24">
        <v>0.375</v>
      </c>
      <c r="AF44" s="24">
        <v>0.625</v>
      </c>
      <c r="AG44" s="25" t="s">
        <v>1536</v>
      </c>
    </row>
    <row r="45" spans="1:37" x14ac:dyDescent="0.3">
      <c r="A45" t="s">
        <v>824</v>
      </c>
      <c r="B45" t="s">
        <v>825</v>
      </c>
      <c r="D45" t="s">
        <v>826</v>
      </c>
      <c r="E45" t="s">
        <v>2178</v>
      </c>
      <c r="F45" t="s">
        <v>222</v>
      </c>
      <c r="G45" s="7">
        <f ca="1">X45</f>
        <v>46081</v>
      </c>
      <c r="H45" s="5" t="s">
        <v>1397</v>
      </c>
      <c r="I45" t="s">
        <v>1028</v>
      </c>
      <c r="J45" s="36" t="s">
        <v>2555</v>
      </c>
      <c r="L45" t="s">
        <v>2472</v>
      </c>
      <c r="M45" s="16" t="s">
        <v>2469</v>
      </c>
      <c r="N45" s="16" t="s">
        <v>2470</v>
      </c>
      <c r="O45" s="7">
        <v>45657</v>
      </c>
      <c r="P45" s="7" t="s">
        <v>2471</v>
      </c>
      <c r="Q45" s="18">
        <v>3</v>
      </c>
      <c r="R45" s="18">
        <v>1</v>
      </c>
      <c r="S45" s="18">
        <v>1</v>
      </c>
      <c r="T45" s="4">
        <f>DATE(AI$2,$Q45,1+(($R45-($S45&gt;=WEEKDAY(DATE(AI$2,$Q45,1))))*7)+($S45-WEEKDAY(DATE(AI$2,$Q45,1))))</f>
        <v>45718</v>
      </c>
      <c r="U45" s="4">
        <f>DATE(AJ$2,$Q45,1+(($R45-($S45&gt;=WEEKDAY(DATE(AJ$2,$Q45,1))))*7)+($S45-WEEKDAY(DATE(AJ$2,$Q45,1))))</f>
        <v>46082</v>
      </c>
      <c r="V45" s="20">
        <v>0</v>
      </c>
      <c r="W45" s="20">
        <v>2</v>
      </c>
      <c r="X45" s="4">
        <f ca="1">Y45-(W45-1)</f>
        <v>46081</v>
      </c>
      <c r="Y45" s="5">
        <f ca="1">IF(OR(T45+V45&lt;(NOW()-0.5),ISNUMBER(SEARCH("&lt;h4&gt;",K45))),U45+V45,T45+V45)</f>
        <v>46082</v>
      </c>
      <c r="Z45" t="str">
        <f ca="1">CONCATENATE(IF(OR(Y45=X45,ISBLANK(Y45)),TEXT(X45,"mmmm d"),CONCATENATE(TEXT(X45,"mmmm d"),"-",IF(TEXT(X45,"mmmm")=TEXT(Y45,"mmmm"),TEXT(Y45,"d"),TEXT(Y45,"mmmm d")))),", ",YEAR(Y45))</f>
        <v>February 28-March 1, 2026</v>
      </c>
      <c r="AA45" s="7">
        <f>O45</f>
        <v>45657</v>
      </c>
      <c r="AB45" s="14">
        <f>T45+V45-(W45-1)</f>
        <v>45717</v>
      </c>
      <c r="AC45" t="s">
        <v>1403</v>
      </c>
      <c r="AD45" s="23" t="str">
        <f ca="1">CONCATENATE("&lt;add-to-calendar-button  name=",CHAR(34),H45,CHAR(34),
IF(ISBLANK(M45),"",CONCATENATE("   location=",CHAR(34),RIGHT(M45,LEN(M45)-SEARCH("|",M45)-1),CHAR(34))),
"   description=",CHAR(34),IF(ISBLANK(I45),"",CONCATENATE(I45,"; ")),"shapenotesingings.com",CHAR(34),
"   options=",CHAR(34),"'Apple','Google','iCal','Outlook.com'",CHAR(34),"   styleLight=",CHAR(34),"--btn-background: #550000; --btn-text: #fff; --btn-shadow:#fff;",CHAR(34),
IF(W45=1,CONCATENATE(
"startDate=",CHAR(34),TEXT(G45,"yyyy-mm-dd"),CHAR(34),
"{endDate=",CHAR(34),TEXT(G45,"yyyy-mm-dd"),CHAR(34),
IF(OR(ISBLANK(AE45),ISBLANK(AF45)),"",(CONCATENATE(" startTime=",CHAR(34),TEXT(AE45,"hh:mm"),CHAR(34)," endTime=",CHAR(34),TEXT(AF45,"h:mm"),CHAR(34),
" timeZone=",CHAR(34),AG45,CHAR(34))))),
IF(W45=2,CONCATENATE(" dates='[{",
CHAR(34),"startDate",CHAR(34),":",CHAR(34),TEXT(G45,"yyyy-mm-dd"),CHAR(34),", ",
,CHAR(34),"endDate",CHAR(34),":",CHAR(34),TEXT(G45,"yyyy-mm-dd"),CHAR(34),
IF(OR(ISBLANK(AE45),ISBLANK(AF45)),"",(CONCATENATE(", ",CHAR(34),"startTime",CHAR(34),":",CHAR(34),TEXT(AE45,"hh:mm"),CHAR(34),", ",CHAR(34),"endTime",CHAR(34),":",CHAR(34),TEXT(AF45,"hh:mm"),CHAR(34),", ",CHAR(34),"timeZone",CHAR(34),":",CHAR(34),AG45,CHAR(34)))),"}, {",
,CHAR(34),"startDate",CHAR(34),":",CHAR(34),TEXT(G45+1,"yyyy-mm-dd"),CHAR(34),", ",
,CHAR(34),"endDate",CHAR(34),":",CHAR(34),TEXT(G45+W45-1,"yyyy-mm-dd"),CHAR(34),
IF(OR(ISBLANK(AE45),ISBLANK(AF45)),"",(CONCATENATE(", ",CHAR(34),"startTime",CHAR(34),":",CHAR(34),TEXT(AE45,"hh:mm"),CHAR(34),", ",CHAR(34),"endTime",CHAR(34),":",CHAR(34),TEXT(AF45,"hh:mm"),CHAR(34),", ",CHAR(34),"timeZone",CHAR(34),":",CHAR(34),AG45,CHAR(34)))),"}]'"),
CONCATENATE(
"{  startDate=",CHAR(34),TEXT(G45,"yyyy-mm-dd"),CHAR(34),
"  endDate=",CHAR(34),TEXT(G45+W45-1,"yyyy-mm-dd"),CHAR(34),"}"))),
" &gt;&lt;/add-to-calendar-button&gt;")</f>
        <v>&lt;add-to-calendar-button  name="Ireland Convention"   location="Greenmount National School, Green St, Green Street, Ballyphehane, Cork, T12 HE14, Ireland"   description="10am; shapenotesingings.com"   options="'Apple','Google','iCal','Outlook.com'"   styleLight="--btn-background: #550000; --btn-text: #fff; --btn-shadow:#fff;" dates='[{"startDate":"2026-02-28", "endDate":"2026-02-28", "startTime":"10:00", "endTime":"15:00", "timeZone":"Europe/London"}, {"startDate":"2026-03-01", "endDate":"2026-03-01", "startTime":"10:00", "endTime":"15:00", "timeZone":"Europe/London"}]' &gt;&lt;/add-to-calendar-button&gt;</v>
      </c>
      <c r="AE45" s="24">
        <v>0.41666666666666669</v>
      </c>
      <c r="AF45" s="24">
        <v>0.625</v>
      </c>
      <c r="AG45" s="25" t="s">
        <v>1535</v>
      </c>
    </row>
    <row r="46" spans="1:37" ht="13.2" customHeight="1" x14ac:dyDescent="0.3">
      <c r="A46" t="s">
        <v>8</v>
      </c>
      <c r="B46" t="s">
        <v>142</v>
      </c>
      <c r="C46" t="s">
        <v>1154</v>
      </c>
      <c r="D46" t="s">
        <v>2453</v>
      </c>
      <c r="E46" t="s">
        <v>2178</v>
      </c>
      <c r="F46" t="s">
        <v>215</v>
      </c>
      <c r="G46" s="7">
        <f ca="1">X46</f>
        <v>46081</v>
      </c>
      <c r="H46" s="5" t="s">
        <v>221</v>
      </c>
      <c r="I46" t="s">
        <v>1037</v>
      </c>
      <c r="J46" s="36" t="s">
        <v>2556</v>
      </c>
      <c r="L46" t="s">
        <v>2798</v>
      </c>
      <c r="M46" s="16" t="s">
        <v>2454</v>
      </c>
      <c r="N46" s="16" t="s">
        <v>2455</v>
      </c>
      <c r="O46" s="7">
        <v>45647</v>
      </c>
      <c r="P46" s="7" t="s">
        <v>2457</v>
      </c>
      <c r="Q46" s="18">
        <v>3</v>
      </c>
      <c r="R46" s="18">
        <v>1</v>
      </c>
      <c r="S46" s="18">
        <v>1</v>
      </c>
      <c r="T46" s="4">
        <f>DATE(AI$2,$Q46,1+(($R46-($S46&gt;=WEEKDAY(DATE(AI$2,$Q46,1))))*7)+($S46-WEEKDAY(DATE(AI$2,$Q46,1))))</f>
        <v>45718</v>
      </c>
      <c r="U46" s="4">
        <f>DATE(AJ$2,$Q46,1+(($R46-($S46&gt;=WEEKDAY(DATE(AJ$2,$Q46,1))))*7)+($S46-WEEKDAY(DATE(AJ$2,$Q46,1))))</f>
        <v>46082</v>
      </c>
      <c r="V46" s="20">
        <v>-1</v>
      </c>
      <c r="W46" s="20">
        <v>1</v>
      </c>
      <c r="X46" s="4">
        <f ca="1">Y46-(W46-1)</f>
        <v>46081</v>
      </c>
      <c r="Y46" s="5">
        <f ca="1">IF(OR(T46+V46&lt;(NOW()-0.5),ISNUMBER(SEARCH("&lt;h4&gt;",K46))),U46+V46,T46+V46)</f>
        <v>46081</v>
      </c>
      <c r="Z46" t="str">
        <f ca="1">CONCATENATE(IF(OR(Y46=X46,ISBLANK(Y46)),TEXT(X46,"mmmm d"),CONCATENATE(TEXT(X46,"mmmm d"),"-",IF(TEXT(X46,"mmmm")=TEXT(Y46,"mmmm"),TEXT(Y46,"d"),TEXT(Y46,"mmmm d")))),", ",YEAR(Y46))</f>
        <v>February 28, 2026</v>
      </c>
      <c r="AA46" s="7">
        <f>O46</f>
        <v>45647</v>
      </c>
      <c r="AB46" s="14">
        <f>T46+V46-(W46-1)</f>
        <v>45717</v>
      </c>
      <c r="AC46" t="s">
        <v>2456</v>
      </c>
      <c r="AD46" s="23" t="str">
        <f ca="1">CONCATENATE("&lt;add-to-calendar-button  name=",CHAR(34),H46,CHAR(34),
IF(ISBLANK(M46),"",CONCATENATE("   location=",CHAR(34),RIGHT(M46,LEN(M46)-SEARCH("|",M46)-1),CHAR(34))),
"   description=",CHAR(34),IF(ISBLANK(I46),"",CONCATENATE(I46,"; ")),"shapenotesingings.com",CHAR(34),
"   options=",CHAR(34),"'Apple','Google','iCal','Outlook.com'",CHAR(34),"   styleLight=",CHAR(34),"--btn-background: #550000; --btn-text: #fff; --btn-shadow:#fff;",CHAR(34),
IF(W46=1,CONCATENATE(
"startDate=",CHAR(34),TEXT(G46,"yyyy-mm-dd"),CHAR(34),
"{endDate=",CHAR(34),TEXT(G46,"yyyy-mm-dd"),CHAR(34),
IF(OR(ISBLANK(AE46),ISBLANK(AF46)),"",(CONCATENATE(" startTime=",CHAR(34),TEXT(AE46,"hh:mm"),CHAR(34)," endTime=",CHAR(34),TEXT(AF46,"h:mm"),CHAR(34),
" timeZone=",CHAR(34),AG46,CHAR(34))))),
IF(W46=2,CONCATENATE(" dates='[{",
CHAR(34),"startDate",CHAR(34),":",CHAR(34),TEXT(G46,"yyyy-mm-dd"),CHAR(34),", ",
,CHAR(34),"endDate",CHAR(34),":",CHAR(34),TEXT(G46,"yyyy-mm-dd"),CHAR(34),
IF(OR(ISBLANK(AE46),ISBLANK(AF46)),"",(CONCATENATE(", ",CHAR(34),"startTime",CHAR(34),":",CHAR(34),TEXT(AE46,"hh:mm"),CHAR(34),", ",CHAR(34),"endTime",CHAR(34),":",CHAR(34),TEXT(AF46,"hh:mm"),CHAR(34),", ",CHAR(34),"timeZone",CHAR(34),":",CHAR(34),AG46,CHAR(34)))),"}, {",
,CHAR(34),"startDate",CHAR(34),":",CHAR(34),TEXT(G46+1,"yyyy-mm-dd"),CHAR(34),", ",
,CHAR(34),"endDate",CHAR(34),":",CHAR(34),TEXT(G46+W46-1,"yyyy-mm-dd"),CHAR(34),
IF(OR(ISBLANK(AE46),ISBLANK(AF46)),"",(CONCATENATE(", ",CHAR(34),"startTime",CHAR(34),":",CHAR(34),TEXT(AE46,"hh:mm"),CHAR(34),", ",CHAR(34),"endTime",CHAR(34),":",CHAR(34),TEXT(AF46,"hh:mm"),CHAR(34),", ",CHAR(34),"timeZone",CHAR(34),":",CHAR(34),AG46,CHAR(34)))),"}]'"),
CONCATENATE(
"{  startDate=",CHAR(34),TEXT(G46,"yyyy-mm-dd"),CHAR(34),
"  endDate=",CHAR(34),TEXT(G46+W46-1,"yyyy-mm-dd"),CHAR(34),"}"))),
" &gt;&lt;/add-to-calendar-button&gt;")</f>
        <v>&lt;add-to-calendar-button  name="Ohio State Convention"   location="Calvary Bible Church, 3865 N High St, Columbus, OH 43214"   description="10am-3pm; shapenotesingings.com"   options="'Apple','Google','iCal','Outlook.com'"   styleLight="--btn-background: #550000; --btn-text: #fff; --btn-shadow:#fff;"startDate="2026-02-28"{endDate="2026-02-28" startTime="10:00" endTime="15:00" timeZone="America/New_York" &gt;&lt;/add-to-calendar-button&gt;</v>
      </c>
      <c r="AE46" s="24">
        <v>0.41666666666666669</v>
      </c>
      <c r="AF46" s="24">
        <v>0.625</v>
      </c>
      <c r="AG46" s="25" t="s">
        <v>1532</v>
      </c>
    </row>
    <row r="47" spans="1:37" x14ac:dyDescent="0.3">
      <c r="A47" t="s">
        <v>8</v>
      </c>
      <c r="B47" t="s">
        <v>11</v>
      </c>
      <c r="C47" t="s">
        <v>1134</v>
      </c>
      <c r="D47" t="s">
        <v>184</v>
      </c>
      <c r="E47" t="s">
        <v>34</v>
      </c>
      <c r="F47" t="s">
        <v>215</v>
      </c>
      <c r="G47" s="7">
        <f ca="1">X47</f>
        <v>46081</v>
      </c>
      <c r="H47" s="5" t="s">
        <v>220</v>
      </c>
      <c r="I47" t="s">
        <v>1028</v>
      </c>
      <c r="L47" t="s">
        <v>2797</v>
      </c>
      <c r="M47" s="16" t="s">
        <v>991</v>
      </c>
      <c r="N47" s="16" t="s">
        <v>186</v>
      </c>
      <c r="O47" s="7">
        <v>44936</v>
      </c>
      <c r="P47" s="7" t="s">
        <v>926</v>
      </c>
      <c r="Q47" s="18">
        <v>3</v>
      </c>
      <c r="R47" s="18">
        <v>1</v>
      </c>
      <c r="S47" s="18">
        <v>1</v>
      </c>
      <c r="T47" s="4">
        <f>DATE(AI$2,$Q47,1+(($R47-($S47&gt;=WEEKDAY(DATE(AI$2,$Q47,1))))*7)+($S47-WEEKDAY(DATE(AI$2,$Q47,1))))</f>
        <v>45718</v>
      </c>
      <c r="U47" s="4">
        <f>DATE(AJ$2,$Q47,1+(($R47-($S47&gt;=WEEKDAY(DATE(AJ$2,$Q47,1))))*7)+($S47-WEEKDAY(DATE(AJ$2,$Q47,1))))</f>
        <v>46082</v>
      </c>
      <c r="V47" s="20">
        <v>-1</v>
      </c>
      <c r="W47" s="20">
        <v>1</v>
      </c>
      <c r="X47" s="4">
        <f ca="1">Y47-(W47-1)</f>
        <v>46081</v>
      </c>
      <c r="Y47" s="5">
        <f ca="1">IF(OR(T47+V47&lt;(NOW()-0.5),ISNUMBER(SEARCH("&lt;h4&gt;",K47))),U47+V47,T47+V47)</f>
        <v>46081</v>
      </c>
      <c r="Z47" t="str">
        <f ca="1">CONCATENATE(IF(OR(Y47=X47,ISBLANK(Y47)),TEXT(X47,"mmmm d"),CONCATENATE(TEXT(X47,"mmmm d"),"-",IF(TEXT(X47,"mmmm")=TEXT(Y47,"mmmm"),TEXT(Y47,"d"),TEXT(Y47,"mmmm d")))),", ",YEAR(Y47))</f>
        <v>February 28, 2026</v>
      </c>
      <c r="AA47" s="7">
        <f>O47</f>
        <v>44936</v>
      </c>
      <c r="AB47" s="14">
        <f>T47+V47-(W47-1)</f>
        <v>45717</v>
      </c>
      <c r="AC47" t="s">
        <v>1226</v>
      </c>
      <c r="AD47" s="23" t="str">
        <f ca="1">CONCATENATE("&lt;add-to-calendar-button  name=",CHAR(34),H47,CHAR(34),
IF(ISBLANK(M47),"",CONCATENATE("   location=",CHAR(34),RIGHT(M47,LEN(M47)-SEARCH("|",M47)-1),CHAR(34))),
"   description=",CHAR(34),IF(ISBLANK(I47),"",CONCATENATE(I47,"; ")),"shapenotesingings.com",CHAR(34),
"   options=",CHAR(34),"'Apple','Google','iCal','Outlook.com'",CHAR(34),"   styleLight=",CHAR(34),"--btn-background: #550000; --btn-text: #fff; --btn-shadow:#fff;",CHAR(34),
IF(W47=1,CONCATENATE(
"startDate=",CHAR(34),TEXT(G47,"yyyy-mm-dd"),CHAR(34),
"{endDate=",CHAR(34),TEXT(G47,"yyyy-mm-dd"),CHAR(34),
IF(OR(ISBLANK(AE47),ISBLANK(AF47)),"",(CONCATENATE(" startTime=",CHAR(34),TEXT(AE47,"hh:mm"),CHAR(34)," endTime=",CHAR(34),TEXT(AF47,"h:mm"),CHAR(34),
" timeZone=",CHAR(34),AG47,CHAR(34))))),
IF(W47=2,CONCATENATE(" dates='[{",
CHAR(34),"startDate",CHAR(34),":",CHAR(34),TEXT(G47,"yyyy-mm-dd"),CHAR(34),", ",
,CHAR(34),"endDate",CHAR(34),":",CHAR(34),TEXT(G47,"yyyy-mm-dd"),CHAR(34),
IF(OR(ISBLANK(AE47),ISBLANK(AF47)),"",(CONCATENATE(", ",CHAR(34),"startTime",CHAR(34),":",CHAR(34),TEXT(AE47,"hh:mm"),CHAR(34),", ",CHAR(34),"endTime",CHAR(34),":",CHAR(34),TEXT(AF47,"hh:mm"),CHAR(34),", ",CHAR(34),"timeZone",CHAR(34),":",CHAR(34),AG47,CHAR(34)))),"}, {",
,CHAR(34),"startDate",CHAR(34),":",CHAR(34),TEXT(G47+1,"yyyy-mm-dd"),CHAR(34),", ",
,CHAR(34),"endDate",CHAR(34),":",CHAR(34),TEXT(G47+W47-1,"yyyy-mm-dd"),CHAR(34),
IF(OR(ISBLANK(AE47),ISBLANK(AF47)),"",(CONCATENATE(", ",CHAR(34),"startTime",CHAR(34),":",CHAR(34),TEXT(AE47,"hh:mm"),CHAR(34),", ",CHAR(34),"endTime",CHAR(34),":",CHAR(34),TEXT(AF47,"hh:mm"),CHAR(34),", ",CHAR(34),"timeZone",CHAR(34),":",CHAR(34),AG47,CHAR(34)))),"}]'"),
CONCATENATE(
"{  startDate=",CHAR(34),TEXT(G47,"yyyy-mm-dd"),CHAR(34),
"  endDate=",CHAR(34),TEXT(G47+W47-1,"yyyy-mm-dd"),CHAR(34),"}"))),
" &gt;&lt;/add-to-calendar-button&gt;")</f>
        <v>&lt;add-to-calendar-button  name="Arie and Mona Galloway Memorial"   location="Traveler’s Rest Church, 654 Traveler's Rest Rd, Samson, AL 36477"   description="10am; shapenotesingings.com"   options="'Apple','Google','iCal','Outlook.com'"   styleLight="--btn-background: #550000; --btn-text: #fff; --btn-shadow:#fff;"startDate="2026-02-28"{endDate="2026-02-28" &gt;&lt;/add-to-calendar-button&gt;</v>
      </c>
      <c r="AG47" s="25" t="s">
        <v>1533</v>
      </c>
    </row>
    <row r="48" spans="1:37" x14ac:dyDescent="0.3">
      <c r="A48" t="s">
        <v>8</v>
      </c>
      <c r="B48" t="s">
        <v>17</v>
      </c>
      <c r="C48" t="s">
        <v>1140</v>
      </c>
      <c r="D48" t="s">
        <v>226</v>
      </c>
      <c r="E48" t="s">
        <v>2178</v>
      </c>
      <c r="F48" t="s">
        <v>227</v>
      </c>
      <c r="G48" s="7">
        <f ca="1">X48</f>
        <v>46082</v>
      </c>
      <c r="H48" s="5" t="s">
        <v>228</v>
      </c>
      <c r="I48" t="s">
        <v>1028</v>
      </c>
      <c r="J48" s="36" t="s">
        <v>2557</v>
      </c>
      <c r="L48" t="s">
        <v>2771</v>
      </c>
      <c r="M48" s="16" t="s">
        <v>229</v>
      </c>
      <c r="N48" s="16" t="s">
        <v>230</v>
      </c>
      <c r="O48" s="7">
        <v>44936</v>
      </c>
      <c r="P48" s="7" t="s">
        <v>926</v>
      </c>
      <c r="Q48" s="18">
        <v>3</v>
      </c>
      <c r="R48" s="18">
        <v>1</v>
      </c>
      <c r="S48" s="18">
        <v>1</v>
      </c>
      <c r="T48" s="4">
        <f>DATE(AI$2,$Q48,1+(($R48-($S48&gt;=WEEKDAY(DATE(AI$2,$Q48,1))))*7)+($S48-WEEKDAY(DATE(AI$2,$Q48,1))))</f>
        <v>45718</v>
      </c>
      <c r="U48" s="4">
        <f>DATE(AJ$2,$Q48,1+(($R48-($S48&gt;=WEEKDAY(DATE(AJ$2,$Q48,1))))*7)+($S48-WEEKDAY(DATE(AJ$2,$Q48,1))))</f>
        <v>46082</v>
      </c>
      <c r="V48" s="20">
        <v>0</v>
      </c>
      <c r="W48" s="20">
        <v>1</v>
      </c>
      <c r="X48" s="4">
        <f ca="1">Y48-(W48-1)</f>
        <v>46082</v>
      </c>
      <c r="Y48" s="5">
        <f ca="1">IF(OR(T48+V48&lt;(NOW()-0.5),ISNUMBER(SEARCH("&lt;h4&gt;",K48))),U48+V48,T48+V48)</f>
        <v>46082</v>
      </c>
      <c r="Z48" t="str">
        <f ca="1">CONCATENATE(IF(OR(Y48=X48,ISBLANK(Y48)),TEXT(X48,"mmmm d"),CONCATENATE(TEXT(X48,"mmmm d"),"-",IF(TEXT(X48,"mmmm")=TEXT(Y48,"mmmm"),TEXT(Y48,"d"),TEXT(Y48,"mmmm d")))),", ",YEAR(Y48))</f>
        <v>March 1, 2026</v>
      </c>
      <c r="AA48" s="7">
        <f>O48</f>
        <v>44936</v>
      </c>
      <c r="AB48" s="14">
        <f>T48+V48-(W48-1)</f>
        <v>45718</v>
      </c>
      <c r="AC48" t="s">
        <v>1229</v>
      </c>
      <c r="AD48" s="23" t="str">
        <f ca="1">CONCATENATE("&lt;add-to-calendar-button  name=",CHAR(34),H48,CHAR(34),
IF(ISBLANK(M48),"",CONCATENATE("   location=",CHAR(34),RIGHT(M48,LEN(M48)-SEARCH("|",M48)-1),CHAR(34))),
"   description=",CHAR(34),IF(ISBLANK(I48),"",CONCATENATE(I48,"; ")),"shapenotesingings.com",CHAR(34),
"   options=",CHAR(34),"'Apple','Google','iCal','Outlook.com'",CHAR(34),"   styleLight=",CHAR(34),"--btn-background: #550000; --btn-text: #fff; --btn-shadow:#fff;",CHAR(34),
IF(W48=1,CONCATENATE(
"startDate=",CHAR(34),TEXT(G48,"yyyy-mm-dd"),CHAR(34),
"{endDate=",CHAR(34),TEXT(G48,"yyyy-mm-dd"),CHAR(34),
IF(OR(ISBLANK(AE48),ISBLANK(AF48)),"",(CONCATENATE(" startTime=",CHAR(34),TEXT(AE48,"hh:mm"),CHAR(34)," endTime=",CHAR(34),TEXT(AF48,"h:mm"),CHAR(34),
" timeZone=",CHAR(34),AG48,CHAR(34))))),
IF(W48=2,CONCATENATE(" dates='[{",
CHAR(34),"startDate",CHAR(34),":",CHAR(34),TEXT(G48,"yyyy-mm-dd"),CHAR(34),", ",
,CHAR(34),"endDate",CHAR(34),":",CHAR(34),TEXT(G48,"yyyy-mm-dd"),CHAR(34),
IF(OR(ISBLANK(AE48),ISBLANK(AF48)),"",(CONCATENATE(", ",CHAR(34),"startTime",CHAR(34),":",CHAR(34),TEXT(AE48,"hh:mm"),CHAR(34),", ",CHAR(34),"endTime",CHAR(34),":",CHAR(34),TEXT(AF48,"hh:mm"),CHAR(34),", ",CHAR(34),"timeZone",CHAR(34),":",CHAR(34),AG48,CHAR(34)))),"}, {",
,CHAR(34),"startDate",CHAR(34),":",CHAR(34),TEXT(G48+1,"yyyy-mm-dd"),CHAR(34),", ",
,CHAR(34),"endDate",CHAR(34),":",CHAR(34),TEXT(G48+W48-1,"yyyy-mm-dd"),CHAR(34),
IF(OR(ISBLANK(AE48),ISBLANK(AF48)),"",(CONCATENATE(", ",CHAR(34),"startTime",CHAR(34),":",CHAR(34),TEXT(AE48,"hh:mm"),CHAR(34),", ",CHAR(34),"endTime",CHAR(34),":",CHAR(34),TEXT(AF48,"hh:mm"),CHAR(34),", ",CHAR(34),"timeZone",CHAR(34),":",CHAR(34),AG48,CHAR(34)))),"}]'"),
CONCATENATE(
"{  startDate=",CHAR(34),TEXT(G48,"yyyy-mm-dd"),CHAR(34),
"  endDate=",CHAR(34),TEXT(G48+W48-1,"yyyy-mm-dd"),CHAR(34),"}"))),
" &gt;&lt;/add-to-calendar-button&gt;")</f>
        <v>&lt;add-to-calendar-button  name="Rogers Memorial"   location="Ephesus School, 24414 GA-100, Roopville, GA 30170"   description="10am; shapenotesingings.com"   options="'Apple','Google','iCal','Outlook.com'"   styleLight="--btn-background: #550000; --btn-text: #fff; --btn-shadow:#fff;"startDate="2026-03-01"{endDate="2026-03-01" startTime="10:00" endTime="15:00" timeZone="America/New_York" &gt;&lt;/add-to-calendar-button&gt;</v>
      </c>
      <c r="AE48" s="24">
        <v>0.41666666666666669</v>
      </c>
      <c r="AF48" s="24">
        <v>0.625</v>
      </c>
      <c r="AG48" s="25" t="s">
        <v>1532</v>
      </c>
    </row>
    <row r="49" spans="1:33" x14ac:dyDescent="0.3">
      <c r="A49" t="s">
        <v>8</v>
      </c>
      <c r="B49" t="s">
        <v>40</v>
      </c>
      <c r="C49" t="s">
        <v>1161</v>
      </c>
      <c r="D49" t="s">
        <v>212</v>
      </c>
      <c r="E49" t="s">
        <v>2178</v>
      </c>
      <c r="F49" t="s">
        <v>241</v>
      </c>
      <c r="G49" s="7">
        <f ca="1">X49</f>
        <v>46088</v>
      </c>
      <c r="H49" s="5" t="s">
        <v>231</v>
      </c>
      <c r="I49" t="s">
        <v>1040</v>
      </c>
      <c r="K49" t="s">
        <v>2435</v>
      </c>
      <c r="L49" t="s">
        <v>2796</v>
      </c>
      <c r="M49" s="16" t="s">
        <v>995</v>
      </c>
      <c r="N49" s="16" t="s">
        <v>213</v>
      </c>
      <c r="O49" s="7">
        <v>45644</v>
      </c>
      <c r="P49" s="7" t="s">
        <v>2436</v>
      </c>
      <c r="Q49" s="18">
        <v>3</v>
      </c>
      <c r="R49" s="18">
        <v>2</v>
      </c>
      <c r="S49" s="18">
        <v>1</v>
      </c>
      <c r="T49" s="4">
        <f>DATE(AI$2,$Q49,1+(($R49-($S49&gt;=WEEKDAY(DATE(AI$2,$Q49,1))))*7)+($S49-WEEKDAY(DATE(AI$2,$Q49,1))))</f>
        <v>45725</v>
      </c>
      <c r="U49" s="4">
        <f>DATE(AJ$2,$Q49,1+(($R49-($S49&gt;=WEEKDAY(DATE(AJ$2,$Q49,1))))*7)+($S49-WEEKDAY(DATE(AJ$2,$Q49,1))))</f>
        <v>46089</v>
      </c>
      <c r="V49" s="20">
        <v>0</v>
      </c>
      <c r="W49" s="20">
        <v>2</v>
      </c>
      <c r="X49" s="4">
        <f ca="1">Y49-(W49-1)</f>
        <v>46088</v>
      </c>
      <c r="Y49" s="5">
        <f ca="1">IF(OR(T49+V49&lt;(NOW()-0.5),ISNUMBER(SEARCH("&lt;h4&gt;",K49))),U49+V49,T49+V49)</f>
        <v>46089</v>
      </c>
      <c r="Z49" t="str">
        <f ca="1">CONCATENATE(IF(OR(Y49=X49,ISBLANK(Y49)),TEXT(X49,"mmmm d"),CONCATENATE(TEXT(X49,"mmmm d"),"-",IF(TEXT(X49,"mmmm")=TEXT(Y49,"mmmm"),TEXT(Y49,"d"),TEXT(Y49,"mmmm d")))),", ",YEAR(Y49))</f>
        <v>March 7-8, 2026</v>
      </c>
      <c r="AA49" s="7">
        <f>O49</f>
        <v>45644</v>
      </c>
      <c r="AB49" s="14">
        <f>T49+V49-(W49-1)</f>
        <v>45724</v>
      </c>
      <c r="AC49" t="s">
        <v>1222</v>
      </c>
      <c r="AD49" s="23" t="str">
        <f ca="1">CONCATENATE("&lt;add-to-calendar-button  name=",CHAR(34),H49,CHAR(34),
IF(ISBLANK(M49),"",CONCATENATE("   location=",CHAR(34),RIGHT(M49,LEN(M49)-SEARCH("|",M49)-1),CHAR(34))),
"   description=",CHAR(34),IF(ISBLANK(I49),"",CONCATENATE(I49,"; ")),"shapenotesingings.com",CHAR(34),
"   options=",CHAR(34),"'Apple','Google','iCal','Outlook.com'",CHAR(34),"   styleLight=",CHAR(34),"--btn-background: #550000; --btn-text: #fff; --btn-shadow:#fff;",CHAR(34),
IF(W49=1,CONCATENATE(
"startDate=",CHAR(34),TEXT(G49,"yyyy-mm-dd"),CHAR(34),
"{endDate=",CHAR(34),TEXT(G49,"yyyy-mm-dd"),CHAR(34),
IF(OR(ISBLANK(AE49),ISBLANK(AF49)),"",(CONCATENATE(" startTime=",CHAR(34),TEXT(AE49,"hh:mm"),CHAR(34)," endTime=",CHAR(34),TEXT(AF49,"h:mm"),CHAR(34),
" timeZone=",CHAR(34),AG49,CHAR(34))))),
IF(W49=2,CONCATENATE(" dates='[{",
CHAR(34),"startDate",CHAR(34),":",CHAR(34),TEXT(G49,"yyyy-mm-dd"),CHAR(34),", ",
,CHAR(34),"endDate",CHAR(34),":",CHAR(34),TEXT(G49,"yyyy-mm-dd"),CHAR(34),
IF(OR(ISBLANK(AE49),ISBLANK(AF49)),"",(CONCATENATE(", ",CHAR(34),"startTime",CHAR(34),":",CHAR(34),TEXT(AE49,"hh:mm"),CHAR(34),", ",CHAR(34),"endTime",CHAR(34),":",CHAR(34),TEXT(AF49,"hh:mm"),CHAR(34),", ",CHAR(34),"timeZone",CHAR(34),":",CHAR(34),AG49,CHAR(34)))),"}, {",
,CHAR(34),"startDate",CHAR(34),":",CHAR(34),TEXT(G49+1,"yyyy-mm-dd"),CHAR(34),", ",
,CHAR(34),"endDate",CHAR(34),":",CHAR(34),TEXT(G49+W49-1,"yyyy-mm-dd"),CHAR(34),
IF(OR(ISBLANK(AE49),ISBLANK(AF49)),"",(CONCATENATE(", ",CHAR(34),"startTime",CHAR(34),":",CHAR(34),TEXT(AE49,"hh:mm"),CHAR(34),", ",CHAR(34),"endTime",CHAR(34),":",CHAR(34),TEXT(AF49,"hh:mm"),CHAR(34),", ",CHAR(34),"timeZone",CHAR(34),":",CHAR(34),AG49,CHAR(34)))),"}]'"),
CONCATENATE(
"{  startDate=",CHAR(34),TEXT(G49,"yyyy-mm-dd"),CHAR(34),
"  endDate=",CHAR(34),TEXT(G49+W49-1,"yyyy-mm-dd"),CHAR(34),"}"))),
" &gt;&lt;/add-to-calendar-button&gt;")</f>
        <v>&lt;add-to-calendar-button  name="Texas State Convention"   location="Coker United Methodist Church, 231 E. North Loop Road, San Antonio, Texas"   description="9:30am; shapenotesingings.com"   options="'Apple','Google','iCal','Outlook.com'"   styleLight="--btn-background: #550000; --btn-text: #fff; --btn-shadow:#fff;" dates='[{"startDate":"2026-03-07", "endDate":"2026-03-07", "startTime":"09:30", "endTime":"15:00", "timeZone":"America/Chicago"}, {"startDate":"2026-03-08", "endDate":"2026-03-08", "startTime":"09:30", "endTime":"15:00", "timeZone":"America/Chicago"}]' &gt;&lt;/add-to-calendar-button&gt;</v>
      </c>
      <c r="AE49" s="24">
        <v>0.39583333333333331</v>
      </c>
      <c r="AF49" s="24">
        <v>0.625</v>
      </c>
      <c r="AG49" s="25" t="s">
        <v>1533</v>
      </c>
    </row>
    <row r="50" spans="1:33" x14ac:dyDescent="0.3">
      <c r="A50" t="s">
        <v>8</v>
      </c>
      <c r="B50" t="s">
        <v>114</v>
      </c>
      <c r="C50" t="s">
        <v>1153</v>
      </c>
      <c r="D50" t="s">
        <v>225</v>
      </c>
      <c r="E50" t="s">
        <v>2176</v>
      </c>
      <c r="F50" t="s">
        <v>233</v>
      </c>
      <c r="G50" s="7">
        <f ca="1">X50</f>
        <v>46088</v>
      </c>
      <c r="H50" s="5" t="s">
        <v>2558</v>
      </c>
      <c r="I50" t="s">
        <v>1045</v>
      </c>
      <c r="J50" s="36" t="s">
        <v>2559</v>
      </c>
      <c r="L50" t="s">
        <v>2511</v>
      </c>
      <c r="M50" s="16" t="s">
        <v>223</v>
      </c>
      <c r="N50" s="16" t="s">
        <v>224</v>
      </c>
      <c r="O50" s="7">
        <v>45335</v>
      </c>
      <c r="P50" s="7" t="s">
        <v>1927</v>
      </c>
      <c r="Q50" s="18">
        <v>3</v>
      </c>
      <c r="R50" s="18">
        <v>2</v>
      </c>
      <c r="S50" s="18">
        <v>1</v>
      </c>
      <c r="T50" s="4">
        <f>DATE(AI$2,$Q50,1+(($R50-($S50&gt;=WEEKDAY(DATE(AI$2,$Q50,1))))*7)+($S50-WEEKDAY(DATE(AI$2,$Q50,1))))</f>
        <v>45725</v>
      </c>
      <c r="U50" s="4">
        <f>DATE(AJ$2,$Q50,1+(($R50-($S50&gt;=WEEKDAY(DATE(AJ$2,$Q50,1))))*7)+($S50-WEEKDAY(DATE(AJ$2,$Q50,1))))</f>
        <v>46089</v>
      </c>
      <c r="V50" s="20">
        <v>-1</v>
      </c>
      <c r="W50" s="20">
        <v>1</v>
      </c>
      <c r="X50" s="4">
        <f ca="1">Y50-(W50-1)</f>
        <v>46088</v>
      </c>
      <c r="Y50" s="5">
        <f ca="1">IF(OR(T50+V50&lt;(NOW()-0.5),ISNUMBER(SEARCH("&lt;h4&gt;",K50))),U50+V50,T50+V50)</f>
        <v>46088</v>
      </c>
      <c r="Z50" t="str">
        <f ca="1">CONCATENATE(IF(OR(Y50=X50,ISBLANK(Y50)),TEXT(X50,"mmmm d"),CONCATENATE(TEXT(X50,"mmmm d"),"-",IF(TEXT(X50,"mmmm")=TEXT(Y50,"mmmm"),TEXT(Y50,"d"),TEXT(Y50,"mmmm d")))),", ",YEAR(Y50))</f>
        <v>March 7, 2026</v>
      </c>
      <c r="AA50" s="7">
        <f>O50</f>
        <v>45335</v>
      </c>
      <c r="AB50" s="14">
        <f>T50+V50-(W50-1)</f>
        <v>45724</v>
      </c>
      <c r="AC50" t="s">
        <v>1228</v>
      </c>
      <c r="AD50" s="23" t="str">
        <f ca="1">CONCATENATE("&lt;add-to-calendar-button  name=",CHAR(34),H50,CHAR(34),
IF(ISBLANK(M50),"",CONCATENATE("   location=",CHAR(34),RIGHT(M50,LEN(M50)-SEARCH("|",M50)-1),CHAR(34))),
"   description=",CHAR(34),IF(ISBLANK(I50),"",CONCATENATE(I50,"; ")),"shapenotesingings.com",CHAR(34),
"   options=",CHAR(34),"'Apple','Google','iCal','Outlook.com'",CHAR(34),"   styleLight=",CHAR(34),"--btn-background: #550000; --btn-text: #fff; --btn-shadow:#fff;",CHAR(34),
IF(W50=1,CONCATENATE(
"startDate=",CHAR(34),TEXT(G50,"yyyy-mm-dd"),CHAR(34),
"{endDate=",CHAR(34),TEXT(G50,"yyyy-mm-dd"),CHAR(34),
IF(OR(ISBLANK(AE50),ISBLANK(AF50)),"",(CONCATENATE(" startTime=",CHAR(34),TEXT(AE50,"hh:mm"),CHAR(34)," endTime=",CHAR(34),TEXT(AF50,"h:mm"),CHAR(34),
" timeZone=",CHAR(34),AG50,CHAR(34))))),
IF(W50=2,CONCATENATE(" dates='[{",
CHAR(34),"startDate",CHAR(34),":",CHAR(34),TEXT(G50,"yyyy-mm-dd"),CHAR(34),", ",
,CHAR(34),"endDate",CHAR(34),":",CHAR(34),TEXT(G50,"yyyy-mm-dd"),CHAR(34),
IF(OR(ISBLANK(AE50),ISBLANK(AF50)),"",(CONCATENATE(", ",CHAR(34),"startTime",CHAR(34),":",CHAR(34),TEXT(AE50,"hh:mm"),CHAR(34),", ",CHAR(34),"endTime",CHAR(34),":",CHAR(34),TEXT(AF50,"hh:mm"),CHAR(34),", ",CHAR(34),"timeZone",CHAR(34),":",CHAR(34),AG50,CHAR(34)))),"}, {",
,CHAR(34),"startDate",CHAR(34),":",CHAR(34),TEXT(G50+1,"yyyy-mm-dd"),CHAR(34),", ",
,CHAR(34),"endDate",CHAR(34),":",CHAR(34),TEXT(G50+W50-1,"yyyy-mm-dd"),CHAR(34),
IF(OR(ISBLANK(AE50),ISBLANK(AF50)),"",(CONCATENATE(", ",CHAR(34),"startTime",CHAR(34),":",CHAR(34),TEXT(AE50,"hh:mm"),CHAR(34),", ",CHAR(34),"endTime",CHAR(34),":",CHAR(34),TEXT(AF50,"hh:mm"),CHAR(34),", ",CHAR(34),"timeZone",CHAR(34),":",CHAR(34),AG50,CHAR(34)))),"}]'"),
CONCATENATE(
"{  startDate=",CHAR(34),TEXT(G50,"yyyy-mm-dd"),CHAR(34),
"  endDate=",CHAR(34),TEXT(G50+W50-1,"yyyy-mm-dd"),CHAR(34),"}"))),
" &gt;&lt;/add-to-calendar-button&gt;")</f>
        <v>&lt;add-to-calendar-button  name="North Carolina Sacred Harp Singing"   location="Pullen Memorial Baptist Chapel, 1801 Hillsborough St., Raleigh, NC 27605"   description="9:30am-3:30pm; shapenotesingings.com"   options="'Apple','Google','iCal','Outlook.com'"   styleLight="--btn-background: #550000; --btn-text: #fff; --btn-shadow:#fff;"startDate="2026-03-07"{endDate="2026-03-07" startTime="09:30" endTime="15:30" timeZone="America/New_York" &gt;&lt;/add-to-calendar-button&gt;</v>
      </c>
      <c r="AE50" s="24">
        <v>0.39583333333333331</v>
      </c>
      <c r="AF50" s="24">
        <v>0.64583333333333337</v>
      </c>
      <c r="AG50" s="25" t="s">
        <v>1532</v>
      </c>
    </row>
    <row r="51" spans="1:33" x14ac:dyDescent="0.3">
      <c r="A51" t="s">
        <v>8</v>
      </c>
      <c r="B51" t="s">
        <v>41</v>
      </c>
      <c r="C51" t="s">
        <v>1148</v>
      </c>
      <c r="D51" t="s">
        <v>244</v>
      </c>
      <c r="E51" t="s">
        <v>2178</v>
      </c>
      <c r="F51" t="s">
        <v>241</v>
      </c>
      <c r="G51" s="7">
        <f ca="1">X51</f>
        <v>46088</v>
      </c>
      <c r="H51" s="5" t="s">
        <v>243</v>
      </c>
      <c r="I51" t="s">
        <v>1039</v>
      </c>
      <c r="J51" s="36" t="s">
        <v>2560</v>
      </c>
      <c r="L51" t="s">
        <v>2777</v>
      </c>
      <c r="M51" s="16" t="s">
        <v>1854</v>
      </c>
      <c r="N51" s="16" t="s">
        <v>1855</v>
      </c>
      <c r="O51" s="7">
        <v>45299</v>
      </c>
      <c r="P51" s="7" t="s">
        <v>1856</v>
      </c>
      <c r="Q51" s="18">
        <v>3</v>
      </c>
      <c r="R51" s="18">
        <v>2</v>
      </c>
      <c r="S51" s="18">
        <v>1</v>
      </c>
      <c r="T51" s="4">
        <f>DATE(AI$2,$Q51,1+(($R51-($S51&gt;=WEEKDAY(DATE(AI$2,$Q51,1))))*7)+($S51-WEEKDAY(DATE(AI$2,$Q51,1))))</f>
        <v>45725</v>
      </c>
      <c r="U51" s="4">
        <f>DATE(AJ$2,$Q51,1+(($R51-($S51&gt;=WEEKDAY(DATE(AJ$2,$Q51,1))))*7)+($S51-WEEKDAY(DATE(AJ$2,$Q51,1))))</f>
        <v>46089</v>
      </c>
      <c r="V51" s="20">
        <v>0</v>
      </c>
      <c r="W51" s="20">
        <v>2</v>
      </c>
      <c r="X51" s="4">
        <f ca="1">Y51-(W51-1)</f>
        <v>46088</v>
      </c>
      <c r="Y51" s="5">
        <f ca="1">IF(OR(T51+V51&lt;(NOW()-0.5),ISNUMBER(SEARCH("&lt;h4&gt;",K51))),U51+V51,T51+V51)</f>
        <v>46089</v>
      </c>
      <c r="Z51" t="str">
        <f ca="1">CONCATENATE(IF(OR(Y51=X51,ISBLANK(Y51)),TEXT(X51,"mmmm d"),CONCATENATE(TEXT(X51,"mmmm d"),"-",IF(TEXT(X51,"mmmm")=TEXT(Y51,"mmmm"),TEXT(Y51,"d"),TEXT(Y51,"mmmm d")))),", ",YEAR(Y51))</f>
        <v>March 7-8, 2026</v>
      </c>
      <c r="AA51" s="7">
        <f>O51</f>
        <v>45299</v>
      </c>
      <c r="AB51" s="14">
        <f>T51+V51-(W51-1)</f>
        <v>45724</v>
      </c>
      <c r="AC51" t="s">
        <v>1857</v>
      </c>
      <c r="AD51" s="23" t="str">
        <f ca="1">CONCATENATE("&lt;add-to-calendar-button  name=",CHAR(34),H51,CHAR(34),
IF(ISBLANK(M51),"",CONCATENATE("   location=",CHAR(34),RIGHT(M51,LEN(M51)-SEARCH("|",M51)-1),CHAR(34))),
"   description=",CHAR(34),IF(ISBLANK(I51),"",CONCATENATE(I51,"; ")),"shapenotesingings.com",CHAR(34),
"   options=",CHAR(34),"'Apple','Google','iCal','Outlook.com'",CHAR(34),"   styleLight=",CHAR(34),"--btn-background: #550000; --btn-text: #fff; --btn-shadow:#fff;",CHAR(34),
IF(W51=1,CONCATENATE(
"startDate=",CHAR(34),TEXT(G51,"yyyy-mm-dd"),CHAR(34),
"{endDate=",CHAR(34),TEXT(G51,"yyyy-mm-dd"),CHAR(34),
IF(OR(ISBLANK(AE51),ISBLANK(AF51)),"",(CONCATENATE(" startTime=",CHAR(34),TEXT(AE51,"hh:mm"),CHAR(34)," endTime=",CHAR(34),TEXT(AF51,"h:mm"),CHAR(34),
" timeZone=",CHAR(34),AG51,CHAR(34))))),
IF(W51=2,CONCATENATE(" dates='[{",
CHAR(34),"startDate",CHAR(34),":",CHAR(34),TEXT(G51,"yyyy-mm-dd"),CHAR(34),", ",
,CHAR(34),"endDate",CHAR(34),":",CHAR(34),TEXT(G51,"yyyy-mm-dd"),CHAR(34),
IF(OR(ISBLANK(AE51),ISBLANK(AF51)),"",(CONCATENATE(", ",CHAR(34),"startTime",CHAR(34),":",CHAR(34),TEXT(AE51,"hh:mm"),CHAR(34),", ",CHAR(34),"endTime",CHAR(34),":",CHAR(34),TEXT(AF51,"hh:mm"),CHAR(34),", ",CHAR(34),"timeZone",CHAR(34),":",CHAR(34),AG51,CHAR(34)))),"}, {",
,CHAR(34),"startDate",CHAR(34),":",CHAR(34),TEXT(G51+1,"yyyy-mm-dd"),CHAR(34),", ",
,CHAR(34),"endDate",CHAR(34),":",CHAR(34),TEXT(G51+W51-1,"yyyy-mm-dd"),CHAR(34),
IF(OR(ISBLANK(AE51),ISBLANK(AF51)),"",(CONCATENATE(", ",CHAR(34),"startTime",CHAR(34),":",CHAR(34),TEXT(AE51,"hh:mm"),CHAR(34),", ",CHAR(34),"endTime",CHAR(34),":",CHAR(34),TEXT(AF51,"hh:mm"),CHAR(34),", ",CHAR(34),"timeZone",CHAR(34),":",CHAR(34),AG51,CHAR(34)))),"}]'"),
CONCATENATE(
"{  startDate=",CHAR(34),TEXT(G51,"yyyy-mm-dd"),CHAR(34),
"  endDate=",CHAR(34),TEXT(G51+W51-1,"yyyy-mm-dd"),CHAR(34),"}"))),
" &gt;&lt;/add-to-calendar-button&gt;")</f>
        <v>&lt;add-to-calendar-button  name="Western Massachusetts Sacred Harp Convention"   location="BOMBYX Center for Arts &amp; Equity, 130 Pine Street, Florence, MA 01062"   description="10am-3:30pm; shapenotesingings.com"   options="'Apple','Google','iCal','Outlook.com'"   styleLight="--btn-background: #550000; --btn-text: #fff; --btn-shadow:#fff;" dates='[{"startDate":"2026-03-07", "endDate":"2026-03-07", "startTime":"10:00", "endTime":"15:30", "timeZone":"America/New_York"}, {"startDate":"2026-03-08", "endDate":"2026-03-08", "startTime":"10:00", "endTime":"15:30", "timeZone":"America/New_York"}]' &gt;&lt;/add-to-calendar-button&gt;</v>
      </c>
      <c r="AE51" s="24">
        <v>0.41666666666666669</v>
      </c>
      <c r="AF51" s="24">
        <v>0.64583333333333337</v>
      </c>
      <c r="AG51" s="25" t="s">
        <v>1532</v>
      </c>
    </row>
    <row r="52" spans="1:33" x14ac:dyDescent="0.3">
      <c r="A52" t="s">
        <v>8</v>
      </c>
      <c r="B52" t="s">
        <v>87</v>
      </c>
      <c r="C52" t="s">
        <v>1151</v>
      </c>
      <c r="D52" t="s">
        <v>863</v>
      </c>
      <c r="E52" t="s">
        <v>2182</v>
      </c>
      <c r="F52" t="s">
        <v>241</v>
      </c>
      <c r="G52" s="7">
        <f ca="1">X52</f>
        <v>46088</v>
      </c>
      <c r="H52" s="5" t="s">
        <v>242</v>
      </c>
      <c r="I52" t="s">
        <v>1048</v>
      </c>
      <c r="J52" s="36" t="s">
        <v>2561</v>
      </c>
      <c r="L52" t="s">
        <v>2778</v>
      </c>
      <c r="M52" s="16" t="s">
        <v>1777</v>
      </c>
      <c r="N52" s="16" t="s">
        <v>1778</v>
      </c>
      <c r="O52" s="7">
        <v>45237</v>
      </c>
      <c r="P52" s="7" t="s">
        <v>1776</v>
      </c>
      <c r="Q52" s="18">
        <v>3</v>
      </c>
      <c r="R52" s="18">
        <v>2</v>
      </c>
      <c r="S52" s="18">
        <v>1</v>
      </c>
      <c r="T52" s="4">
        <f>DATE(AI$2,$Q52,1+(($R52-($S52&gt;=WEEKDAY(DATE(AI$2,$Q52,1))))*7)+($S52-WEEKDAY(DATE(AI$2,$Q52,1))))</f>
        <v>45725</v>
      </c>
      <c r="U52" s="4">
        <f>DATE(AJ$2,$Q52,1+(($R52-($S52&gt;=WEEKDAY(DATE(AJ$2,$Q52,1))))*7)+($S52-WEEKDAY(DATE(AJ$2,$Q52,1))))</f>
        <v>46089</v>
      </c>
      <c r="V52" s="20">
        <v>0</v>
      </c>
      <c r="W52" s="20">
        <v>2</v>
      </c>
      <c r="X52" s="4">
        <f ca="1">Y52-(W52-1)</f>
        <v>46088</v>
      </c>
      <c r="Y52" s="5">
        <f ca="1">IF(OR(T52+V52&lt;(NOW()-0.5),ISNUMBER(SEARCH("&lt;h4&gt;",K52))),U52+V52,T52+V52)</f>
        <v>46089</v>
      </c>
      <c r="Z52" t="str">
        <f ca="1">CONCATENATE(IF(OR(Y52=X52,ISBLANK(Y52)),TEXT(X52,"mmmm d"),CONCATENATE(TEXT(X52,"mmmm d"),"-",IF(TEXT(X52,"mmmm")=TEXT(Y52,"mmmm"),TEXT(Y52,"d"),TEXT(Y52,"mmmm d")))),", ",YEAR(Y52))</f>
        <v>March 7-8, 2026</v>
      </c>
      <c r="AA52" s="7">
        <f>O52</f>
        <v>45237</v>
      </c>
      <c r="AB52" s="14">
        <f>T52+V52-(W52-1)</f>
        <v>45724</v>
      </c>
      <c r="AC52" t="s">
        <v>1775</v>
      </c>
      <c r="AD52" s="23" t="str">
        <f ca="1">CONCATENATE("&lt;add-to-calendar-button  name=",CHAR(34),H52,CHAR(34),
IF(ISBLANK(M52),"",CONCATENATE("   location=",CHAR(34),RIGHT(M52,LEN(M52)-SEARCH("|",M52)-1),CHAR(34))),
"   description=",CHAR(34),IF(ISBLANK(I52),"",CONCATENATE(I52,"; ")),"shapenotesingings.com",CHAR(34),
"   options=",CHAR(34),"'Apple','Google','iCal','Outlook.com'",CHAR(34),"   styleLight=",CHAR(34),"--btn-background: #550000; --btn-text: #fff; --btn-shadow:#fff;",CHAR(34),
IF(W52=1,CONCATENATE(
"startDate=",CHAR(34),TEXT(G52,"yyyy-mm-dd"),CHAR(34),
"{endDate=",CHAR(34),TEXT(G52,"yyyy-mm-dd"),CHAR(34),
IF(OR(ISBLANK(AE52),ISBLANK(AF52)),"",(CONCATENATE(" startTime=",CHAR(34),TEXT(AE52,"hh:mm"),CHAR(34)," endTime=",CHAR(34),TEXT(AF52,"h:mm"),CHAR(34),
" timeZone=",CHAR(34),AG52,CHAR(34))))),
IF(W52=2,CONCATENATE(" dates='[{",
CHAR(34),"startDate",CHAR(34),":",CHAR(34),TEXT(G52,"yyyy-mm-dd"),CHAR(34),", ",
,CHAR(34),"endDate",CHAR(34),":",CHAR(34),TEXT(G52,"yyyy-mm-dd"),CHAR(34),
IF(OR(ISBLANK(AE52),ISBLANK(AF52)),"",(CONCATENATE(", ",CHAR(34),"startTime",CHAR(34),":",CHAR(34),TEXT(AE52,"hh:mm"),CHAR(34),", ",CHAR(34),"endTime",CHAR(34),":",CHAR(34),TEXT(AF52,"hh:mm"),CHAR(34),", ",CHAR(34),"timeZone",CHAR(34),":",CHAR(34),AG52,CHAR(34)))),"}, {",
,CHAR(34),"startDate",CHAR(34),":",CHAR(34),TEXT(G52+1,"yyyy-mm-dd"),CHAR(34),", ",
,CHAR(34),"endDate",CHAR(34),":",CHAR(34),TEXT(G52+W52-1,"yyyy-mm-dd"),CHAR(34),
IF(OR(ISBLANK(AE52),ISBLANK(AF52)),"",(CONCATENATE(", ",CHAR(34),"startTime",CHAR(34),":",CHAR(34),TEXT(AE52,"hh:mm"),CHAR(34),", ",CHAR(34),"endTime",CHAR(34),":",CHAR(34),TEXT(AF52,"hh:mm"),CHAR(34),", ",CHAR(34),"timeZone",CHAR(34),":",CHAR(34),AG52,CHAR(34)))),"}]'"),
CONCATENATE(
"{  startDate=",CHAR(34),TEXT(G52,"yyyy-mm-dd"),CHAR(34),
"  endDate=",CHAR(34),TEXT(G52+W52-1,"yyyy-mm-dd"),CHAR(34),"}"))),
" &gt;&lt;/add-to-calendar-button&gt;")</f>
        <v>&lt;add-to-calendar-button  name="Missouri State Convention"   location="The Monday Club, 37 South Maple Avenue, Webster Groves, MO 63119 (corner of South Maple and East Cedar Avenues)"   description="9:30am-3pm; shapenotesingings.com"   options="'Apple','Google','iCal','Outlook.com'"   styleLight="--btn-background: #550000; --btn-text: #fff; --btn-shadow:#fff;" dates='[{"startDate":"2026-03-07", "endDate":"2026-03-07", "startTime":"09:30", "endTime":"15:00", "timeZone":"America/Chicago"}, {"startDate":"2026-03-08", "endDate":"2026-03-08", "startTime":"09:30", "endTime":"15:00", "timeZone":"America/Chicago"}]' &gt;&lt;/add-to-calendar-button&gt;</v>
      </c>
      <c r="AE52" s="24">
        <v>0.39583333333333331</v>
      </c>
      <c r="AF52" s="24">
        <v>0.625</v>
      </c>
      <c r="AG52" s="25" t="s">
        <v>1533</v>
      </c>
    </row>
    <row r="53" spans="1:33" x14ac:dyDescent="0.3">
      <c r="A53" t="s">
        <v>8</v>
      </c>
      <c r="B53" t="s">
        <v>200</v>
      </c>
      <c r="C53" t="s">
        <v>395</v>
      </c>
      <c r="D53" t="s">
        <v>906</v>
      </c>
      <c r="E53" t="s">
        <v>2178</v>
      </c>
      <c r="F53" t="s">
        <v>241</v>
      </c>
      <c r="G53" s="7">
        <f ca="1">X53</f>
        <v>46088</v>
      </c>
      <c r="H53" s="5" t="s">
        <v>1820</v>
      </c>
      <c r="I53" t="s">
        <v>1040</v>
      </c>
      <c r="J53" s="36" t="s">
        <v>2562</v>
      </c>
      <c r="L53" t="s">
        <v>1940</v>
      </c>
      <c r="M53" s="16" t="s">
        <v>996</v>
      </c>
      <c r="N53" s="16" t="s">
        <v>907</v>
      </c>
      <c r="O53" s="7">
        <v>45348</v>
      </c>
      <c r="P53" s="7" t="s">
        <v>1941</v>
      </c>
      <c r="Q53" s="18">
        <v>3</v>
      </c>
      <c r="R53" s="18">
        <v>2</v>
      </c>
      <c r="S53" s="18">
        <v>1</v>
      </c>
      <c r="T53" s="4">
        <f>DATE(AI$2,$Q53,1+(($R53-($S53&gt;=WEEKDAY(DATE(AI$2,$Q53,1))))*7)+($S53-WEEKDAY(DATE(AI$2,$Q53,1))))</f>
        <v>45725</v>
      </c>
      <c r="U53" s="4">
        <f>DATE(AJ$2,$Q53,1+(($R53-($S53&gt;=WEEKDAY(DATE(AJ$2,$Q53,1))))*7)+($S53-WEEKDAY(DATE(AJ$2,$Q53,1))))</f>
        <v>46089</v>
      </c>
      <c r="V53" s="20">
        <v>0</v>
      </c>
      <c r="W53" s="20">
        <v>2</v>
      </c>
      <c r="X53" s="4">
        <f ca="1">Y53-(W53-1)</f>
        <v>46088</v>
      </c>
      <c r="Y53" s="5">
        <f ca="1">IF(OR(T53+V53&lt;(NOW()-0.5),ISNUMBER(SEARCH("&lt;h4&gt;",K53))),U53+V53,T53+V53)</f>
        <v>46089</v>
      </c>
      <c r="Z53" t="str">
        <f ca="1">CONCATENATE(IF(OR(Y53=X53,ISBLANK(Y53)),TEXT(X53,"mmmm d"),CONCATENATE(TEXT(X53,"mmmm d"),"-",IF(TEXT(X53,"mmmm")=TEXT(Y53,"mmmm"),TEXT(Y53,"d"),TEXT(Y53,"mmmm d")))),", ",YEAR(Y53))</f>
        <v>March 7-8, 2026</v>
      </c>
      <c r="AA53" s="7">
        <f>O53</f>
        <v>45348</v>
      </c>
      <c r="AB53" s="14">
        <f>T53+V53-(W53-1)</f>
        <v>45724</v>
      </c>
      <c r="AC53" t="s">
        <v>1231</v>
      </c>
      <c r="AD53" s="23" t="str">
        <f ca="1">CONCATENATE("&lt;add-to-calendar-button  name=",CHAR(34),H53,CHAR(34),
IF(ISBLANK(M53),"",CONCATENATE("   location=",CHAR(34),RIGHT(M53,LEN(M53)-SEARCH("|",M53)-1),CHAR(34))),
"   description=",CHAR(34),IF(ISBLANK(I53),"",CONCATENATE(I53,"; ")),"shapenotesingings.com",CHAR(34),
"   options=",CHAR(34),"'Apple','Google','iCal','Outlook.com'",CHAR(34),"   styleLight=",CHAR(34),"--btn-background: #550000; --btn-text: #fff; --btn-shadow:#fff;",CHAR(34),
IF(W53=1,CONCATENATE(
"startDate=",CHAR(34),TEXT(G53,"yyyy-mm-dd"),CHAR(34),
"{endDate=",CHAR(34),TEXT(G53,"yyyy-mm-dd"),CHAR(34),
IF(OR(ISBLANK(AE53),ISBLANK(AF53)),"",(CONCATENATE(" startTime=",CHAR(34),TEXT(AE53,"hh:mm"),CHAR(34)," endTime=",CHAR(34),TEXT(AF53,"h:mm"),CHAR(34),
" timeZone=",CHAR(34),AG53,CHAR(34))))),
IF(W53=2,CONCATENATE(" dates='[{",
CHAR(34),"startDate",CHAR(34),":",CHAR(34),TEXT(G53,"yyyy-mm-dd"),CHAR(34),", ",
,CHAR(34),"endDate",CHAR(34),":",CHAR(34),TEXT(G53,"yyyy-mm-dd"),CHAR(34),
IF(OR(ISBLANK(AE53),ISBLANK(AF53)),"",(CONCATENATE(", ",CHAR(34),"startTime",CHAR(34),":",CHAR(34),TEXT(AE53,"hh:mm"),CHAR(34),", ",CHAR(34),"endTime",CHAR(34),":",CHAR(34),TEXT(AF53,"hh:mm"),CHAR(34),", ",CHAR(34),"timeZone",CHAR(34),":",CHAR(34),AG53,CHAR(34)))),"}, {",
,CHAR(34),"startDate",CHAR(34),":",CHAR(34),TEXT(G53+1,"yyyy-mm-dd"),CHAR(34),", ",
,CHAR(34),"endDate",CHAR(34),":",CHAR(34),TEXT(G53+W53-1,"yyyy-mm-dd"),CHAR(34),
IF(OR(ISBLANK(AE53),ISBLANK(AF53)),"",(CONCATENATE(", ",CHAR(34),"startTime",CHAR(34),":",CHAR(34),TEXT(AE53,"hh:mm"),CHAR(34),", ",CHAR(34),"endTime",CHAR(34),":",CHAR(34),TEXT(AF53,"hh:mm"),CHAR(34),", ",CHAR(34),"timeZone",CHAR(34),":",CHAR(34),AG53,CHAR(34)))),"}]'"),
CONCATENATE(
"{  startDate=",CHAR(34),TEXT(G53,"yyyy-mm-dd"),CHAR(34),
"  endDate=",CHAR(34),TEXT(G53+W53-1,"yyyy-mm-dd"),CHAR(34),"}"))),
" &gt;&lt;/add-to-calendar-button&gt;")</f>
        <v>&lt;add-to-calendar-button  name="Olympia All Day"   location="Prosperity Grange, 3701 Steamboat Island Rd NW, Olympia, WA"   description="9:30am; shapenotesingings.com"   options="'Apple','Google','iCal','Outlook.com'"   styleLight="--btn-background: #550000; --btn-text: #fff; --btn-shadow:#fff;" dates='[{"startDate":"2026-03-07", "endDate":"2026-03-07", "startTime":"09:30", "endTime":"15:00", "timeZone":"America/Los_Angeles"}, {"startDate":"2026-03-08", "endDate":"2026-03-08", "startTime":"09:30", "endTime":"15:00", "timeZone":"America/Los_Angeles"}]' &gt;&lt;/add-to-calendar-button&gt;</v>
      </c>
      <c r="AE53" s="24">
        <v>0.39583333333333331</v>
      </c>
      <c r="AF53" s="24">
        <v>0.625</v>
      </c>
      <c r="AG53" s="25" t="s">
        <v>1534</v>
      </c>
    </row>
    <row r="54" spans="1:33" x14ac:dyDescent="0.3">
      <c r="A54" t="s">
        <v>8</v>
      </c>
      <c r="B54" t="s">
        <v>11</v>
      </c>
      <c r="C54" t="s">
        <v>1134</v>
      </c>
      <c r="D54" t="s">
        <v>232</v>
      </c>
      <c r="E54" t="s">
        <v>34</v>
      </c>
      <c r="F54" t="s">
        <v>233</v>
      </c>
      <c r="G54" s="7">
        <f ca="1">X54</f>
        <v>46088</v>
      </c>
      <c r="H54" s="5" t="s">
        <v>234</v>
      </c>
      <c r="L54" t="s">
        <v>2815</v>
      </c>
      <c r="M54" s="16" t="s">
        <v>235</v>
      </c>
      <c r="N54" s="16" t="s">
        <v>236</v>
      </c>
      <c r="O54" s="7">
        <v>44936</v>
      </c>
      <c r="P54" s="7" t="s">
        <v>926</v>
      </c>
      <c r="Q54" s="18">
        <v>3</v>
      </c>
      <c r="R54" s="18">
        <v>2</v>
      </c>
      <c r="S54" s="18">
        <v>1</v>
      </c>
      <c r="T54" s="4">
        <f>DATE(AI$2,$Q54,1+(($R54-($S54&gt;=WEEKDAY(DATE(AI$2,$Q54,1))))*7)+($S54-WEEKDAY(DATE(AI$2,$Q54,1))))</f>
        <v>45725</v>
      </c>
      <c r="U54" s="4">
        <f>DATE(AJ$2,$Q54,1+(($R54-($S54&gt;=WEEKDAY(DATE(AJ$2,$Q54,1))))*7)+($S54-WEEKDAY(DATE(AJ$2,$Q54,1))))</f>
        <v>46089</v>
      </c>
      <c r="V54" s="20">
        <v>-1</v>
      </c>
      <c r="W54" s="20">
        <v>1</v>
      </c>
      <c r="X54" s="4">
        <f ca="1">Y54-(W54-1)</f>
        <v>46088</v>
      </c>
      <c r="Y54" s="5">
        <f ca="1">IF(OR(T54+V54&lt;(NOW()-0.5),ISNUMBER(SEARCH("&lt;h4&gt;",K54))),U54+V54,T54+V54)</f>
        <v>46088</v>
      </c>
      <c r="Z54" t="str">
        <f ca="1">CONCATENATE(IF(OR(Y54=X54,ISBLANK(Y54)),TEXT(X54,"mmmm d"),CONCATENATE(TEXT(X54,"mmmm d"),"-",IF(TEXT(X54,"mmmm")=TEXT(Y54,"mmmm"),TEXT(Y54,"d"),TEXT(Y54,"mmmm d")))),", ",YEAR(Y54))</f>
        <v>March 7, 2026</v>
      </c>
      <c r="AA54" s="7">
        <f>O54</f>
        <v>44936</v>
      </c>
      <c r="AB54" s="14">
        <f>T54+V54-(W54-1)</f>
        <v>45724</v>
      </c>
      <c r="AC54" t="s">
        <v>1230</v>
      </c>
      <c r="AD54" s="23" t="str">
        <f ca="1">CONCATENATE("&lt;add-to-calendar-button  name=",CHAR(34),H54,CHAR(34),
IF(ISBLANK(M54),"",CONCATENATE("   location=",CHAR(34),RIGHT(M54,LEN(M54)-SEARCH("|",M54)-1),CHAR(34))),
"   description=",CHAR(34),IF(ISBLANK(I54),"",CONCATENATE(I54,"; ")),"shapenotesingings.com",CHAR(34),
"   options=",CHAR(34),"'Apple','Google','iCal','Outlook.com'",CHAR(34),"   styleLight=",CHAR(34),"--btn-background: #550000; --btn-text: #fff; --btn-shadow:#fff;",CHAR(34),
IF(W54=1,CONCATENATE(
"startDate=",CHAR(34),TEXT(G54,"yyyy-mm-dd"),CHAR(34),
"{endDate=",CHAR(34),TEXT(G54,"yyyy-mm-dd"),CHAR(34),
IF(OR(ISBLANK(AE54),ISBLANK(AF54)),"",(CONCATENATE(" startTime=",CHAR(34),TEXT(AE54,"hh:mm"),CHAR(34)," endTime=",CHAR(34),TEXT(AF54,"h:mm"),CHAR(34),
" timeZone=",CHAR(34),AG54,CHAR(34))))),
IF(W54=2,CONCATENATE(" dates='[{",
CHAR(34),"startDate",CHAR(34),":",CHAR(34),TEXT(G54,"yyyy-mm-dd"),CHAR(34),", ",
,CHAR(34),"endDate",CHAR(34),":",CHAR(34),TEXT(G54,"yyyy-mm-dd"),CHAR(34),
IF(OR(ISBLANK(AE54),ISBLANK(AF54)),"",(CONCATENATE(", ",CHAR(34),"startTime",CHAR(34),":",CHAR(34),TEXT(AE54,"hh:mm"),CHAR(34),", ",CHAR(34),"endTime",CHAR(34),":",CHAR(34),TEXT(AF54,"hh:mm"),CHAR(34),", ",CHAR(34),"timeZone",CHAR(34),":",CHAR(34),AG54,CHAR(34)))),"}, {",
,CHAR(34),"startDate",CHAR(34),":",CHAR(34),TEXT(G54+1,"yyyy-mm-dd"),CHAR(34),", ",
,CHAR(34),"endDate",CHAR(34),":",CHAR(34),TEXT(G54+W54-1,"yyyy-mm-dd"),CHAR(34),
IF(OR(ISBLANK(AE54),ISBLANK(AF54)),"",(CONCATENATE(", ",CHAR(34),"startTime",CHAR(34),":",CHAR(34),TEXT(AE54,"hh:mm"),CHAR(34),", ",CHAR(34),"endTime",CHAR(34),":",CHAR(34),TEXT(AF54,"hh:mm"),CHAR(34),", ",CHAR(34),"timeZone",CHAR(34),":",CHAR(34),AG54,CHAR(34)))),"}]'"),
CONCATENATE(
"{  startDate=",CHAR(34),TEXT(G54,"yyyy-mm-dd"),CHAR(34),
"  endDate=",CHAR(34),TEXT(G54+W54-1,"yyyy-mm-dd"),CHAR(34),"}"))),
" &gt;&lt;/add-to-calendar-button&gt;")</f>
        <v>&lt;add-to-calendar-button  name="John Etheridge Singing"   location="Valley Grove Primitive Baptist Church, 27952 US-331, Opp, AL 36467"   description="shapenotesingings.com"   options="'Apple','Google','iCal','Outlook.com'"   styleLight="--btn-background: #550000; --btn-text: #fff; --btn-shadow:#fff;"startDate="2026-03-07"{endDate="2026-03-07" &gt;&lt;/add-to-calendar-button&gt;</v>
      </c>
      <c r="AG54" s="25" t="s">
        <v>1533</v>
      </c>
    </row>
    <row r="55" spans="1:33" x14ac:dyDescent="0.3">
      <c r="A55" t="s">
        <v>144</v>
      </c>
      <c r="B55" t="s">
        <v>144</v>
      </c>
      <c r="C55" t="s">
        <v>1162</v>
      </c>
      <c r="D55" t="s">
        <v>239</v>
      </c>
      <c r="E55" t="s">
        <v>2178</v>
      </c>
      <c r="F55" t="s">
        <v>233</v>
      </c>
      <c r="G55" s="7">
        <f ca="1">X55</f>
        <v>46088</v>
      </c>
      <c r="H55" s="5" t="s">
        <v>237</v>
      </c>
      <c r="J55" s="36" t="s">
        <v>2563</v>
      </c>
      <c r="L55" t="s">
        <v>1942</v>
      </c>
      <c r="M55" s="16" t="s">
        <v>238</v>
      </c>
      <c r="N55" s="16" t="s">
        <v>240</v>
      </c>
      <c r="O55" s="7">
        <v>44927</v>
      </c>
      <c r="P55" s="7" t="s">
        <v>938</v>
      </c>
      <c r="Q55" s="18">
        <v>3</v>
      </c>
      <c r="R55" s="18">
        <v>2</v>
      </c>
      <c r="S55" s="18">
        <v>1</v>
      </c>
      <c r="T55" s="4">
        <f>DATE(AI$2,$Q55,1+(($R55-($S55&gt;=WEEKDAY(DATE(AI$2,$Q55,1))))*7)+($S55-WEEKDAY(DATE(AI$2,$Q55,1))))</f>
        <v>45725</v>
      </c>
      <c r="U55" s="4">
        <f>DATE(AJ$2,$Q55,1+(($R55-($S55&gt;=WEEKDAY(DATE(AJ$2,$Q55,1))))*7)+($S55-WEEKDAY(DATE(AJ$2,$Q55,1))))</f>
        <v>46089</v>
      </c>
      <c r="V55" s="20">
        <v>-1</v>
      </c>
      <c r="W55" s="20">
        <v>1</v>
      </c>
      <c r="X55" s="4">
        <f ca="1">Y55-(W55-1)</f>
        <v>46088</v>
      </c>
      <c r="Y55" s="5">
        <f ca="1">IF(OR(T55+V55&lt;(NOW()-0.5),ISNUMBER(SEARCH("&lt;h4&gt;",K55))),U55+V55,T55+V55)</f>
        <v>46088</v>
      </c>
      <c r="Z55" t="str">
        <f ca="1">CONCATENATE(IF(OR(Y55=X55,ISBLANK(Y55)),TEXT(X55,"mmmm d"),CONCATENATE(TEXT(X55,"mmmm d"),"-",IF(TEXT(X55,"mmmm")=TEXT(Y55,"mmmm"),TEXT(Y55,"d"),TEXT(Y55,"mmmm d")))),", ",YEAR(Y55))</f>
        <v>March 7, 2026</v>
      </c>
      <c r="AA55" s="7">
        <f>O55</f>
        <v>44927</v>
      </c>
      <c r="AB55" s="14">
        <f>T55+V55-(W55-1)</f>
        <v>45724</v>
      </c>
      <c r="AC55" t="s">
        <v>1188</v>
      </c>
      <c r="AD55" s="23" t="str">
        <f ca="1">CONCATENATE("&lt;add-to-calendar-button  name=",CHAR(34),H55,CHAR(34),
IF(ISBLANK(M55),"",CONCATENATE("   location=",CHAR(34),RIGHT(M55,LEN(M55)-SEARCH("|",M55)-1),CHAR(34))),
"   description=",CHAR(34),IF(ISBLANK(I55),"",CONCATENATE(I55,"; ")),"shapenotesingings.com",CHAR(34),
"   options=",CHAR(34),"'Apple','Google','iCal','Outlook.com'",CHAR(34),"   styleLight=",CHAR(34),"--btn-background: #550000; --btn-text: #fff; --btn-shadow:#fff;",CHAR(34),
IF(W55=1,CONCATENATE(
"startDate=",CHAR(34),TEXT(G55,"yyyy-mm-dd"),CHAR(34),
"{endDate=",CHAR(34),TEXT(G55,"yyyy-mm-dd"),CHAR(34),
IF(OR(ISBLANK(AE55),ISBLANK(AF55)),"",(CONCATENATE(" startTime=",CHAR(34),TEXT(AE55,"hh:mm"),CHAR(34)," endTime=",CHAR(34),TEXT(AF55,"h:mm"),CHAR(34),
" timeZone=",CHAR(34),AG55,CHAR(34))))),
IF(W55=2,CONCATENATE(" dates='[{",
CHAR(34),"startDate",CHAR(34),":",CHAR(34),TEXT(G55,"yyyy-mm-dd"),CHAR(34),", ",
,CHAR(34),"endDate",CHAR(34),":",CHAR(34),TEXT(G55,"yyyy-mm-dd"),CHAR(34),
IF(OR(ISBLANK(AE55),ISBLANK(AF55)),"",(CONCATENATE(", ",CHAR(34),"startTime",CHAR(34),":",CHAR(34),TEXT(AE55,"hh:mm"),CHAR(34),", ",CHAR(34),"endTime",CHAR(34),":",CHAR(34),TEXT(AF55,"hh:mm"),CHAR(34),", ",CHAR(34),"timeZone",CHAR(34),":",CHAR(34),AG55,CHAR(34)))),"}, {",
,CHAR(34),"startDate",CHAR(34),":",CHAR(34),TEXT(G55+1,"yyyy-mm-dd"),CHAR(34),", ",
,CHAR(34),"endDate",CHAR(34),":",CHAR(34),TEXT(G55+W55-1,"yyyy-mm-dd"),CHAR(34),
IF(OR(ISBLANK(AE55),ISBLANK(AF55)),"",(CONCATENATE(", ",CHAR(34),"startTime",CHAR(34),":",CHAR(34),TEXT(AE55,"hh:mm"),CHAR(34),", ",CHAR(34),"endTime",CHAR(34),":",CHAR(34),TEXT(AF55,"hh:mm"),CHAR(34),", ",CHAR(34),"timeZone",CHAR(34),":",CHAR(34),AG55,CHAR(34)))),"}]'"),
CONCATENATE(
"{  startDate=",CHAR(34),TEXT(G55,"yyyy-mm-dd"),CHAR(34),
"  endDate=",CHAR(34),TEXT(G55+W55-1,"yyyy-mm-dd"),CHAR(34),"}"))),
" &gt;&lt;/add-to-calendar-button&gt;")</f>
        <v>&lt;add-to-calendar-button  name="Sussex Shape Note Singing"   location="Staplefield Village Hall, Cuckfield Rd, Staplefield, Haywards Heath RH17 6ET, United Kingdom"   description="shapenotesingings.com"   options="'Apple','Google','iCal','Outlook.com'"   styleLight="--btn-background: #550000; --btn-text: #fff; --btn-shadow:#fff;"startDate="2026-03-07"{endDate="2026-03-07" &gt;&lt;/add-to-calendar-button&gt;</v>
      </c>
      <c r="AG55" s="25" t="s">
        <v>1535</v>
      </c>
    </row>
    <row r="56" spans="1:33" x14ac:dyDescent="0.3">
      <c r="A56" t="s">
        <v>8</v>
      </c>
      <c r="B56" t="s">
        <v>250</v>
      </c>
      <c r="C56" t="s">
        <v>1152</v>
      </c>
      <c r="D56" t="s">
        <v>251</v>
      </c>
      <c r="E56" t="s">
        <v>2178</v>
      </c>
      <c r="F56" t="s">
        <v>246</v>
      </c>
      <c r="G56" s="7">
        <f ca="1">X56</f>
        <v>46089</v>
      </c>
      <c r="H56" s="5" t="s">
        <v>252</v>
      </c>
      <c r="I56" t="s">
        <v>1069</v>
      </c>
      <c r="J56" s="36" t="s">
        <v>2564</v>
      </c>
      <c r="K56" t="s">
        <v>1070</v>
      </c>
      <c r="L56" t="s">
        <v>2792</v>
      </c>
      <c r="M56" s="16" t="s">
        <v>942</v>
      </c>
      <c r="N56" s="16" t="s">
        <v>941</v>
      </c>
      <c r="O56" s="7">
        <v>44962</v>
      </c>
      <c r="P56" s="7" t="s">
        <v>943</v>
      </c>
      <c r="Q56" s="18">
        <v>3</v>
      </c>
      <c r="R56" s="18">
        <v>2</v>
      </c>
      <c r="S56" s="18">
        <v>1</v>
      </c>
      <c r="T56" s="4">
        <f>DATE(AI$2,$Q56,1+(($R56-($S56&gt;=WEEKDAY(DATE(AI$2,$Q56,1))))*7)+($S56-WEEKDAY(DATE(AI$2,$Q56,1))))</f>
        <v>45725</v>
      </c>
      <c r="U56" s="4">
        <f>DATE(AJ$2,$Q56,1+(($R56-($S56&gt;=WEEKDAY(DATE(AJ$2,$Q56,1))))*7)+($S56-WEEKDAY(DATE(AJ$2,$Q56,1))))</f>
        <v>46089</v>
      </c>
      <c r="V56" s="20">
        <v>0</v>
      </c>
      <c r="W56" s="20">
        <v>1</v>
      </c>
      <c r="X56" s="4">
        <f ca="1">Y56-(W56-1)</f>
        <v>46089</v>
      </c>
      <c r="Y56" s="5">
        <f ca="1">IF(OR(T56+V56&lt;(NOW()-0.5),ISNUMBER(SEARCH("&lt;h4&gt;",K56))),U56+V56,T56+V56)</f>
        <v>46089</v>
      </c>
      <c r="Z56" t="str">
        <f ca="1">CONCATENATE(IF(OR(Y56=X56,ISBLANK(Y56)),TEXT(X56,"mmmm d"),CONCATENATE(TEXT(X56,"mmmm d"),"-",IF(TEXT(X56,"mmmm")=TEXT(Y56,"mmmm"),TEXT(Y56,"d"),TEXT(Y56,"mmmm d")))),", ",YEAR(Y56))</f>
        <v>March 8, 2026</v>
      </c>
      <c r="AA56" s="7">
        <f>O56</f>
        <v>44962</v>
      </c>
      <c r="AB56" s="14">
        <f>T56+V56-(W56-1)</f>
        <v>45725</v>
      </c>
      <c r="AC56" t="s">
        <v>1233</v>
      </c>
      <c r="AD56" s="23" t="str">
        <f ca="1">CONCATENATE("&lt;add-to-calendar-button  name=",CHAR(34),H56,CHAR(34),
IF(ISBLANK(M56),"",CONCATENATE("   location=",CHAR(34),RIGHT(M56,LEN(M56)-SEARCH("|",M56)-1),CHAR(34))),
"   description=",CHAR(34),IF(ISBLANK(I56),"",CONCATENATE(I56,"; ")),"shapenotesingings.com",CHAR(34),
"   options=",CHAR(34),"'Apple','Google','iCal','Outlook.com'",CHAR(34),"   styleLight=",CHAR(34),"--btn-background: #550000; --btn-text: #fff; --btn-shadow:#fff;",CHAR(34),
IF(W56=1,CONCATENATE(
"startDate=",CHAR(34),TEXT(G56,"yyyy-mm-dd"),CHAR(34),
"{endDate=",CHAR(34),TEXT(G56,"yyyy-mm-dd"),CHAR(34),
IF(OR(ISBLANK(AE56),ISBLANK(AF56)),"",(CONCATENATE(" startTime=",CHAR(34),TEXT(AE56,"hh:mm"),CHAR(34)," endTime=",CHAR(34),TEXT(AF56,"h:mm"),CHAR(34),
" timeZone=",CHAR(34),AG56,CHAR(34))))),
IF(W56=2,CONCATENATE(" dates='[{",
CHAR(34),"startDate",CHAR(34),":",CHAR(34),TEXT(G56,"yyyy-mm-dd"),CHAR(34),", ",
,CHAR(34),"endDate",CHAR(34),":",CHAR(34),TEXT(G56,"yyyy-mm-dd"),CHAR(34),
IF(OR(ISBLANK(AE56),ISBLANK(AF56)),"",(CONCATENATE(", ",CHAR(34),"startTime",CHAR(34),":",CHAR(34),TEXT(AE56,"hh:mm"),CHAR(34),", ",CHAR(34),"endTime",CHAR(34),":",CHAR(34),TEXT(AF56,"hh:mm"),CHAR(34),", ",CHAR(34),"timeZone",CHAR(34),":",CHAR(34),AG56,CHAR(34)))),"}, {",
,CHAR(34),"startDate",CHAR(34),":",CHAR(34),TEXT(G56+1,"yyyy-mm-dd"),CHAR(34),", ",
,CHAR(34),"endDate",CHAR(34),":",CHAR(34),TEXT(G56+W56-1,"yyyy-mm-dd"),CHAR(34),
IF(OR(ISBLANK(AE56),ISBLANK(AF56)),"",(CONCATENATE(", ",CHAR(34),"startTime",CHAR(34),":",CHAR(34),TEXT(AE56,"hh:mm"),CHAR(34),", ",CHAR(34),"endTime",CHAR(34),":",CHAR(34),TEXT(AF56,"hh:mm"),CHAR(34),", ",CHAR(34),"timeZone",CHAR(34),":",CHAR(34),AG56,CHAR(34)))),"}]'"),
CONCATENATE(
"{  startDate=",CHAR(34),TEXT(G56,"yyyy-mm-dd"),CHAR(34),
"  endDate=",CHAR(34),TEXT(G56+W56-1,"yyyy-mm-dd"),CHAR(34),"}"))),
" &gt;&lt;/add-to-calendar-button&gt;")</f>
        <v>&lt;add-to-calendar-button  name="Oxford Singing"   location="Lafayette County Arena, 70 F.D. Buddy E Pkwy, Oxford, MS 38655"   description="9:45am; shapenotesingings.com"   options="'Apple','Google','iCal','Outlook.com'"   styleLight="--btn-background: #550000; --btn-text: #fff; --btn-shadow:#fff;"startDate="2026-03-08"{endDate="2026-03-08" startTime="09:45" endTime="15:00" timeZone="America/Chicago" &gt;&lt;/add-to-calendar-button&gt;</v>
      </c>
      <c r="AE56" s="24">
        <v>0.40625</v>
      </c>
      <c r="AF56" s="24">
        <v>0.625</v>
      </c>
      <c r="AG56" s="25" t="s">
        <v>1533</v>
      </c>
    </row>
    <row r="57" spans="1:33" x14ac:dyDescent="0.3">
      <c r="A57" t="s">
        <v>8</v>
      </c>
      <c r="B57" t="s">
        <v>2</v>
      </c>
      <c r="C57" t="s">
        <v>1159</v>
      </c>
      <c r="D57" t="s">
        <v>10</v>
      </c>
      <c r="E57" t="s">
        <v>2183</v>
      </c>
      <c r="F57" t="s">
        <v>64</v>
      </c>
      <c r="G57" s="7">
        <f ca="1">X57</f>
        <v>46095</v>
      </c>
      <c r="H57" s="5" t="s">
        <v>15</v>
      </c>
      <c r="I57" t="s">
        <v>1037</v>
      </c>
      <c r="J57" s="36" t="s">
        <v>2538</v>
      </c>
      <c r="K57" t="s">
        <v>1072</v>
      </c>
      <c r="L57" s="11" t="s">
        <v>2831</v>
      </c>
      <c r="M57" s="16" t="s">
        <v>997</v>
      </c>
      <c r="N57" s="16" t="s">
        <v>126</v>
      </c>
      <c r="O57" s="7">
        <v>44936</v>
      </c>
      <c r="P57" s="7" t="s">
        <v>926</v>
      </c>
      <c r="Q57" s="18">
        <v>3</v>
      </c>
      <c r="R57" s="18">
        <v>3</v>
      </c>
      <c r="S57" s="18">
        <v>1</v>
      </c>
      <c r="T57" s="4">
        <f>DATE(AI$2,$Q57,1+(($R57-($S57&gt;=WEEKDAY(DATE(AI$2,$Q57,1))))*7)+($S57-WEEKDAY(DATE(AI$2,$Q57,1))))</f>
        <v>45732</v>
      </c>
      <c r="U57" s="4">
        <f>DATE(AJ$2,$Q57,1+(($R57-($S57&gt;=WEEKDAY(DATE(AJ$2,$Q57,1))))*7)+($S57-WEEKDAY(DATE(AJ$2,$Q57,1))))</f>
        <v>46096</v>
      </c>
      <c r="V57" s="20">
        <v>-1</v>
      </c>
      <c r="W57" s="20">
        <v>1</v>
      </c>
      <c r="X57" s="4">
        <f ca="1">Y57-(W57-1)</f>
        <v>46095</v>
      </c>
      <c r="Y57" s="5">
        <f ca="1">IF(OR(T57+V57&lt;(NOW()-0.5),ISNUMBER(SEARCH("&lt;h4&gt;",K57))),U57+V57,T57+V57)</f>
        <v>46095</v>
      </c>
      <c r="Z57" t="str">
        <f ca="1">CONCATENATE(IF(OR(Y57=X57,ISBLANK(Y57)),TEXT(X57,"mmmm d"),CONCATENATE(TEXT(X57,"mmmm d"),"-",IF(TEXT(X57,"mmmm")=TEXT(Y57,"mmmm"),TEXT(Y57,"d"),TEXT(Y57,"mmmm d")))),", ",YEAR(Y57))</f>
        <v>March 14, 2026</v>
      </c>
      <c r="AA57" s="7">
        <f>O57</f>
        <v>44936</v>
      </c>
      <c r="AB57" s="14">
        <f>T57+V57-(W57-1)</f>
        <v>45731</v>
      </c>
      <c r="AC57" t="s">
        <v>1235</v>
      </c>
      <c r="AD57" s="23" t="str">
        <f ca="1">CONCATENATE("&lt;add-to-calendar-button  name=",CHAR(34),H57,CHAR(34),
IF(ISBLANK(M57),"",CONCATENATE("   location=",CHAR(34),RIGHT(M57,LEN(M57)-SEARCH("|",M57)-1),CHAR(34))),
"   description=",CHAR(34),IF(ISBLANK(I57),"",CONCATENATE(I57,"; ")),"shapenotesingings.com",CHAR(34),
"   options=",CHAR(34),"'Apple','Google','iCal','Outlook.com'",CHAR(34),"   styleLight=",CHAR(34),"--btn-background: #550000; --btn-text: #fff; --btn-shadow:#fff;",CHAR(34),
IF(W57=1,CONCATENATE(
"startDate=",CHAR(34),TEXT(G57,"yyyy-mm-dd"),CHAR(34),
"{endDate=",CHAR(34),TEXT(G57,"yyyy-mm-dd"),CHAR(34),
IF(OR(ISBLANK(AE57),ISBLANK(AF57)),"",(CONCATENATE(" startTime=",CHAR(34),TEXT(AE57,"hh:mm"),CHAR(34)," endTime=",CHAR(34),TEXT(AF57,"h:mm"),CHAR(34),
" timeZone=",CHAR(34),AG57,CHAR(34))))),
IF(W57=2,CONCATENATE(" dates='[{",
CHAR(34),"startDate",CHAR(34),":",CHAR(34),TEXT(G57,"yyyy-mm-dd"),CHAR(34),", ",
,CHAR(34),"endDate",CHAR(34),":",CHAR(34),TEXT(G57,"yyyy-mm-dd"),CHAR(34),
IF(OR(ISBLANK(AE57),ISBLANK(AF57)),"",(CONCATENATE(", ",CHAR(34),"startTime",CHAR(34),":",CHAR(34),TEXT(AE57,"hh:mm"),CHAR(34),", ",CHAR(34),"endTime",CHAR(34),":",CHAR(34),TEXT(AF57,"hh:mm"),CHAR(34),", ",CHAR(34),"timeZone",CHAR(34),":",CHAR(34),AG57,CHAR(34)))),"}, {",
,CHAR(34),"startDate",CHAR(34),":",CHAR(34),TEXT(G57+1,"yyyy-mm-dd"),CHAR(34),", ",
,CHAR(34),"endDate",CHAR(34),":",CHAR(34),TEXT(G57+W57-1,"yyyy-mm-dd"),CHAR(34),
IF(OR(ISBLANK(AE57),ISBLANK(AF57)),"",(CONCATENATE(", ",CHAR(34),"startTime",CHAR(34),":",CHAR(34),TEXT(AE57,"hh:mm"),CHAR(34),", ",CHAR(34),"endTime",CHAR(34),":",CHAR(34),TEXT(AF57,"hh:mm"),CHAR(34),", ",CHAR(34),"timeZone",CHAR(34),":",CHAR(34),AG57,CHAR(34)))),"}]'"),
CONCATENATE(
"{  startDate=",CHAR(34),TEXT(G57,"yyyy-mm-dd"),CHAR(34),
"  endDate=",CHAR(34),TEXT(G57+W57-1,"yyyy-mm-dd"),CHAR(34),"}"))),
" &gt;&lt;/add-to-calendar-button&gt;")</f>
        <v>&lt;add-to-calendar-button  name="William Walker Memorial"   location="Second Presbyterian Church, 438 N Church St, Spartanburg, SC 29303"   description="10am-3pm; shapenotesingings.com"   options="'Apple','Google','iCal','Outlook.com'"   styleLight="--btn-background: #550000; --btn-text: #fff; --btn-shadow:#fff;"startDate="2026-03-14"{endDate="2026-03-14" startTime="10:00" endTime="15:00" timeZone="America/New_York" &gt;&lt;/add-to-calendar-button&gt;</v>
      </c>
      <c r="AE57" s="24">
        <v>0.41666666666666669</v>
      </c>
      <c r="AF57" s="24">
        <v>0.625</v>
      </c>
      <c r="AG57" s="25" t="s">
        <v>1532</v>
      </c>
    </row>
    <row r="58" spans="1:33" x14ac:dyDescent="0.3">
      <c r="A58" t="s">
        <v>144</v>
      </c>
      <c r="B58" t="s">
        <v>144</v>
      </c>
      <c r="C58" t="s">
        <v>1162</v>
      </c>
      <c r="D58" t="s">
        <v>1873</v>
      </c>
      <c r="E58" t="s">
        <v>2178</v>
      </c>
      <c r="F58" t="s">
        <v>64</v>
      </c>
      <c r="G58" s="7">
        <f ca="1">X58</f>
        <v>46095</v>
      </c>
      <c r="H58" s="5" t="s">
        <v>1871</v>
      </c>
      <c r="I58" t="s">
        <v>1043</v>
      </c>
      <c r="L58" t="s">
        <v>952</v>
      </c>
      <c r="M58" s="16" t="s">
        <v>2235</v>
      </c>
      <c r="N58" s="16" t="s">
        <v>2236</v>
      </c>
      <c r="O58" s="7">
        <v>45531</v>
      </c>
      <c r="P58" s="7" t="s">
        <v>1695</v>
      </c>
      <c r="Q58" s="18">
        <v>3</v>
      </c>
      <c r="R58" s="18">
        <v>3</v>
      </c>
      <c r="S58" s="18">
        <v>1</v>
      </c>
      <c r="T58" s="4">
        <f>DATE(AI$2,$Q58,1+(($R58-($S58&gt;=WEEKDAY(DATE(AI$2,$Q58,1))))*7)+($S58-WEEKDAY(DATE(AI$2,$Q58,1))))</f>
        <v>45732</v>
      </c>
      <c r="U58" s="4">
        <f>DATE(AJ$2,$Q58,1+(($R58-($S58&gt;=WEEKDAY(DATE(AJ$2,$Q58,1))))*7)+($S58-WEEKDAY(DATE(AJ$2,$Q58,1))))</f>
        <v>46096</v>
      </c>
      <c r="V58" s="20">
        <v>-1</v>
      </c>
      <c r="W58" s="20">
        <v>1</v>
      </c>
      <c r="X58" s="4">
        <f ca="1">Y58-(W58-1)</f>
        <v>46095</v>
      </c>
      <c r="Y58" s="5">
        <f ca="1">IF(OR(T58+V58&lt;(NOW()-0.5),ISNUMBER(SEARCH("&lt;h4&gt;",K58))),U58+V58,T58+V58)</f>
        <v>46095</v>
      </c>
      <c r="Z58" t="str">
        <f ca="1">CONCATENATE(IF(OR(Y58=X58,ISBLANK(Y58)),TEXT(X58,"mmmm d"),CONCATENATE(TEXT(X58,"mmmm d"),"-",IF(TEXT(X58,"mmmm")=TEXT(Y58,"mmmm"),TEXT(Y58,"d"),TEXT(Y58,"mmmm d")))),", ",YEAR(Y58))</f>
        <v>March 14, 2026</v>
      </c>
      <c r="AA58" s="7">
        <f>O58</f>
        <v>45531</v>
      </c>
      <c r="AB58" s="14">
        <f>T58+V58-(W58-1)</f>
        <v>45731</v>
      </c>
      <c r="AC58" t="s">
        <v>2240</v>
      </c>
      <c r="AD58" s="23" t="str">
        <f ca="1">CONCATENATE("&lt;add-to-calendar-button  name=",CHAR(34),H58,CHAR(34),
IF(ISBLANK(M58),"",CONCATENATE("   location=",CHAR(34),RIGHT(M58,LEN(M58)-SEARCH("|",M58)-1),CHAR(34))),
"   description=",CHAR(34),IF(ISBLANK(I58),"",CONCATENATE(I58,"; ")),"shapenotesingings.com",CHAR(34),
"   options=",CHAR(34),"'Apple','Google','iCal','Outlook.com'",CHAR(34),"   styleLight=",CHAR(34),"--btn-background: #550000; --btn-text: #fff; --btn-shadow:#fff;",CHAR(34),
IF(W58=1,CONCATENATE(
"startDate=",CHAR(34),TEXT(G58,"yyyy-mm-dd"),CHAR(34),
"{endDate=",CHAR(34),TEXT(G58,"yyyy-mm-dd"),CHAR(34),
IF(OR(ISBLANK(AE58),ISBLANK(AF58)),"",(CONCATENATE(" startTime=",CHAR(34),TEXT(AE58,"hh:mm"),CHAR(34)," endTime=",CHAR(34),TEXT(AF58,"h:mm"),CHAR(34),
" timeZone=",CHAR(34),AG58,CHAR(34))))),
IF(W58=2,CONCATENATE(" dates='[{",
CHAR(34),"startDate",CHAR(34),":",CHAR(34),TEXT(G58,"yyyy-mm-dd"),CHAR(34),", ",
,CHAR(34),"endDate",CHAR(34),":",CHAR(34),TEXT(G58,"yyyy-mm-dd"),CHAR(34),
IF(OR(ISBLANK(AE58),ISBLANK(AF58)),"",(CONCATENATE(", ",CHAR(34),"startTime",CHAR(34),":",CHAR(34),TEXT(AE58,"hh:mm"),CHAR(34),", ",CHAR(34),"endTime",CHAR(34),":",CHAR(34),TEXT(AF58,"hh:mm"),CHAR(34),", ",CHAR(34),"timeZone",CHAR(34),":",CHAR(34),AG58,CHAR(34)))),"}, {",
,CHAR(34),"startDate",CHAR(34),":",CHAR(34),TEXT(G58+1,"yyyy-mm-dd"),CHAR(34),", ",
,CHAR(34),"endDate",CHAR(34),":",CHAR(34),TEXT(G58+W58-1,"yyyy-mm-dd"),CHAR(34),
IF(OR(ISBLANK(AE58),ISBLANK(AF58)),"",(CONCATENATE(", ",CHAR(34),"startTime",CHAR(34),":",CHAR(34),TEXT(AE58,"hh:mm"),CHAR(34),", ",CHAR(34),"endTime",CHAR(34),":",CHAR(34),TEXT(AF58,"hh:mm"),CHAR(34),", ",CHAR(34),"timeZone",CHAR(34),":",CHAR(34),AG58,CHAR(34)))),"}]'"),
CONCATENATE(
"{  startDate=",CHAR(34),TEXT(G58,"yyyy-mm-dd"),CHAR(34),
"  endDate=",CHAR(34),TEXT(G58+W58-1,"yyyy-mm-dd"),CHAR(34),"}"))),
" &gt;&lt;/add-to-calendar-button&gt;")</f>
        <v>&lt;add-to-calendar-button  name="West Midlands Singing"   location="Fairfield Village Hall, Stourbridge Rd, Fairfield
Bromsgrove, B61 9LZ, United Kingdom "   description="10:30am-4pm; shapenotesingings.com"   options="'Apple','Google','iCal','Outlook.com'"   styleLight="--btn-background: #550000; --btn-text: #fff; --btn-shadow:#fff;"startDate="2026-03-14"{endDate="2026-03-14" startTime="10:30" endTime="16:00" timeZone="Europe/London" &gt;&lt;/add-to-calendar-button&gt;</v>
      </c>
      <c r="AE58" s="24">
        <v>0.4375</v>
      </c>
      <c r="AF58" s="24">
        <v>0.66666666666666663</v>
      </c>
      <c r="AG58" s="25" t="s">
        <v>1535</v>
      </c>
    </row>
    <row r="59" spans="1:33" x14ac:dyDescent="0.3">
      <c r="A59" t="s">
        <v>8</v>
      </c>
      <c r="B59" t="s">
        <v>11</v>
      </c>
      <c r="C59" t="s">
        <v>1134</v>
      </c>
      <c r="D59" t="s">
        <v>160</v>
      </c>
      <c r="E59" t="s">
        <v>2183</v>
      </c>
      <c r="F59" t="s">
        <v>64</v>
      </c>
      <c r="G59" s="7">
        <f ca="1">X59</f>
        <v>46095</v>
      </c>
      <c r="H59" s="5" t="s">
        <v>254</v>
      </c>
      <c r="I59" t="s">
        <v>1040</v>
      </c>
      <c r="J59" s="36" t="s">
        <v>2565</v>
      </c>
      <c r="L59" t="s">
        <v>2886</v>
      </c>
      <c r="M59" s="16" t="s">
        <v>2878</v>
      </c>
      <c r="N59" s="16" t="s">
        <v>2879</v>
      </c>
      <c r="O59" s="7">
        <v>45729</v>
      </c>
      <c r="P59" s="7" t="s">
        <v>2880</v>
      </c>
      <c r="Q59" s="18">
        <v>3</v>
      </c>
      <c r="R59" s="18">
        <v>3</v>
      </c>
      <c r="S59" s="18">
        <v>1</v>
      </c>
      <c r="T59" s="4">
        <f>DATE(AI$2,$Q59,1+(($R59-($S59&gt;=WEEKDAY(DATE(AI$2,$Q59,1))))*7)+($S59-WEEKDAY(DATE(AI$2,$Q59,1))))</f>
        <v>45732</v>
      </c>
      <c r="U59" s="4">
        <f>DATE(AJ$2,$Q59,1+(($R59-($S59&gt;=WEEKDAY(DATE(AJ$2,$Q59,1))))*7)+($S59-WEEKDAY(DATE(AJ$2,$Q59,1))))</f>
        <v>46096</v>
      </c>
      <c r="V59" s="20">
        <v>-1</v>
      </c>
      <c r="W59" s="20">
        <v>1</v>
      </c>
      <c r="X59" s="4">
        <f ca="1">Y59-(W59-1)</f>
        <v>46095</v>
      </c>
      <c r="Y59" s="5">
        <f ca="1">IF(OR(T59+V59&lt;(NOW()-0.5),ISNUMBER(SEARCH("&lt;h4&gt;",K59))),U59+V59,T59+V59)</f>
        <v>46095</v>
      </c>
      <c r="Z59" t="str">
        <f ca="1">CONCATENATE(IF(OR(Y59=X59,ISBLANK(Y59)),TEXT(X59,"mmmm d"),CONCATENATE(TEXT(X59,"mmmm d"),"-",IF(TEXT(X59,"mmmm")=TEXT(Y59,"mmmm"),TEXT(Y59,"d"),TEXT(Y59,"mmmm d")))),", ",YEAR(Y59))</f>
        <v>March 14, 2026</v>
      </c>
      <c r="AA59" s="7">
        <f>O59</f>
        <v>45729</v>
      </c>
      <c r="AB59" s="14">
        <f>T59+V59-(W59-1)</f>
        <v>45731</v>
      </c>
      <c r="AC59" t="s">
        <v>2881</v>
      </c>
      <c r="AD59" s="23" t="str">
        <f ca="1">CONCATENATE("&lt;add-to-calendar-button  name=",CHAR(34),H59,CHAR(34),
IF(ISBLANK(M59),"",CONCATENATE("   location=",CHAR(34),RIGHT(M59,LEN(M59)-SEARCH("|",M59)-1),CHAR(34))),
"   description=",CHAR(34),IF(ISBLANK(I59),"",CONCATENATE(I59,"; ")),"shapenotesingings.com",CHAR(34),
"   options=",CHAR(34),"'Apple','Google','iCal','Outlook.com'",CHAR(34),"   styleLight=",CHAR(34),"--btn-background: #550000; --btn-text: #fff; --btn-shadow:#fff;",CHAR(34),
IF(W59=1,CONCATENATE(
"startDate=",CHAR(34),TEXT(G59,"yyyy-mm-dd"),CHAR(34),
"{endDate=",CHAR(34),TEXT(G59,"yyyy-mm-dd"),CHAR(34),
IF(OR(ISBLANK(AE59),ISBLANK(AF59)),"",(CONCATENATE(" startTime=",CHAR(34),TEXT(AE59,"hh:mm"),CHAR(34)," endTime=",CHAR(34),TEXT(AF59,"h:mm"),CHAR(34),
" timeZone=",CHAR(34),AG59,CHAR(34))))),
IF(W59=2,CONCATENATE(" dates='[{",
CHAR(34),"startDate",CHAR(34),":",CHAR(34),TEXT(G59,"yyyy-mm-dd"),CHAR(34),", ",
,CHAR(34),"endDate",CHAR(34),":",CHAR(34),TEXT(G59,"yyyy-mm-dd"),CHAR(34),
IF(OR(ISBLANK(AE59),ISBLANK(AF59)),"",(CONCATENATE(", ",CHAR(34),"startTime",CHAR(34),":",CHAR(34),TEXT(AE59,"hh:mm"),CHAR(34),", ",CHAR(34),"endTime",CHAR(34),":",CHAR(34),TEXT(AF59,"hh:mm"),CHAR(34),", ",CHAR(34),"timeZone",CHAR(34),":",CHAR(34),AG59,CHAR(34)))),"}, {",
,CHAR(34),"startDate",CHAR(34),":",CHAR(34),TEXT(G59+1,"yyyy-mm-dd"),CHAR(34),", ",
,CHAR(34),"endDate",CHAR(34),":",CHAR(34),TEXT(G59+W59-1,"yyyy-mm-dd"),CHAR(34),
IF(OR(ISBLANK(AE59),ISBLANK(AF59)),"",(CONCATENATE(", ",CHAR(34),"startTime",CHAR(34),":",CHAR(34),TEXT(AE59,"hh:mm"),CHAR(34),", ",CHAR(34),"endTime",CHAR(34),":",CHAR(34),TEXT(AF59,"hh:mm"),CHAR(34),", ",CHAR(34),"timeZone",CHAR(34),":",CHAR(34),AG59,CHAR(34)))),"}]'"),
CONCATENATE(
"{  startDate=",CHAR(34),TEXT(G59,"yyyy-mm-dd"),CHAR(34),
"  endDate=",CHAR(34),TEXT(G59+W59-1,"yyyy-mm-dd"),CHAR(34),"}"))),
" &gt;&lt;/add-to-calendar-button&gt;")</f>
        <v>&lt;add-to-calendar-button  name="Stephenson, Wall and Hocutt Memorial Singing"   location="Pleasant Grove Primitive Baptist Church. Boldo Cemetery Road, Walker County Alabama"   description="9:30am; shapenotesingings.com"   options="'Apple','Google','iCal','Outlook.com'"   styleLight="--btn-background: #550000; --btn-text: #fff; --btn-shadow:#fff;"startDate="2026-03-14"{endDate="2026-03-14" startTime="09:30" endTime="15:00" timeZone="America/Chicago" &gt;&lt;/add-to-calendar-button&gt;</v>
      </c>
      <c r="AE59" s="24">
        <v>0.39583333333333331</v>
      </c>
      <c r="AF59" s="24">
        <v>0.625</v>
      </c>
      <c r="AG59" s="25" t="s">
        <v>1533</v>
      </c>
    </row>
    <row r="60" spans="1:33" x14ac:dyDescent="0.3">
      <c r="A60" t="s">
        <v>8</v>
      </c>
      <c r="B60" t="s">
        <v>17</v>
      </c>
      <c r="C60" t="s">
        <v>1140</v>
      </c>
      <c r="D60" t="s">
        <v>253</v>
      </c>
      <c r="E60" t="s">
        <v>34</v>
      </c>
      <c r="F60" t="s">
        <v>64</v>
      </c>
      <c r="G60" s="7">
        <f ca="1">X60</f>
        <v>46095</v>
      </c>
      <c r="H60" s="5" t="s">
        <v>922</v>
      </c>
      <c r="I60" t="s">
        <v>1724</v>
      </c>
      <c r="J60" s="36" t="s">
        <v>2566</v>
      </c>
      <c r="L60" t="s">
        <v>1972</v>
      </c>
      <c r="M60" s="16" t="s">
        <v>920</v>
      </c>
      <c r="N60" s="16" t="s">
        <v>921</v>
      </c>
      <c r="O60" s="7">
        <v>44961</v>
      </c>
      <c r="P60" s="7" t="s">
        <v>931</v>
      </c>
      <c r="Q60" s="18">
        <v>3</v>
      </c>
      <c r="R60" s="18">
        <v>3</v>
      </c>
      <c r="S60" s="18">
        <v>1</v>
      </c>
      <c r="T60" s="4">
        <f>DATE(AI$2,$Q60,1+(($R60-($S60&gt;=WEEKDAY(DATE(AI$2,$Q60,1))))*7)+($S60-WEEKDAY(DATE(AI$2,$Q60,1))))</f>
        <v>45732</v>
      </c>
      <c r="U60" s="4">
        <f>DATE(AJ$2,$Q60,1+(($R60-($S60&gt;=WEEKDAY(DATE(AJ$2,$Q60,1))))*7)+($S60-WEEKDAY(DATE(AJ$2,$Q60,1))))</f>
        <v>46096</v>
      </c>
      <c r="V60" s="20">
        <v>-1</v>
      </c>
      <c r="W60" s="20">
        <v>1</v>
      </c>
      <c r="X60" s="4">
        <f ca="1">Y60-(W60-1)</f>
        <v>46095</v>
      </c>
      <c r="Y60" s="5">
        <f ca="1">IF(OR(T60+V60&lt;(NOW()-0.5),ISNUMBER(SEARCH("&lt;h4&gt;",K60))),U60+V60,T60+V60)</f>
        <v>46095</v>
      </c>
      <c r="Z60" t="str">
        <f ca="1">CONCATENATE(IF(OR(Y60=X60,ISBLANK(Y60)),TEXT(X60,"mmmm d"),CONCATENATE(TEXT(X60,"mmmm d"),"-",IF(TEXT(X60,"mmmm")=TEXT(Y60,"mmmm"),TEXT(Y60,"d"),TEXT(Y60,"mmmm d")))),", ",YEAR(Y60))</f>
        <v>March 14, 2026</v>
      </c>
      <c r="AA60" s="7">
        <f>O60</f>
        <v>44961</v>
      </c>
      <c r="AB60" s="14">
        <f>T60+V60-(W60-1)</f>
        <v>45731</v>
      </c>
      <c r="AC60" t="s">
        <v>1234</v>
      </c>
      <c r="AD60" s="23" t="str">
        <f ca="1">CONCATENATE("&lt;add-to-calendar-button  name=",CHAR(34),H60,CHAR(34),
IF(ISBLANK(M60),"",CONCATENATE("   location=",CHAR(34),RIGHT(M60,LEN(M60)-SEARCH("|",M60)-1),CHAR(34))),
"   description=",CHAR(34),IF(ISBLANK(I60),"",CONCATENATE(I60,"; ")),"shapenotesingings.com",CHAR(34),
"   options=",CHAR(34),"'Apple','Google','iCal','Outlook.com'",CHAR(34),"   styleLight=",CHAR(34),"--btn-background: #550000; --btn-text: #fff; --btn-shadow:#fff;",CHAR(34),
IF(W60=1,CONCATENATE(
"startDate=",CHAR(34),TEXT(G60,"yyyy-mm-dd"),CHAR(34),
"{endDate=",CHAR(34),TEXT(G60,"yyyy-mm-dd"),CHAR(34),
IF(OR(ISBLANK(AE60),ISBLANK(AF60)),"",(CONCATENATE(" startTime=",CHAR(34),TEXT(AE60,"hh:mm"),CHAR(34)," endTime=",CHAR(34),TEXT(AF60,"h:mm"),CHAR(34),
" timeZone=",CHAR(34),AG60,CHAR(34))))),
IF(W60=2,CONCATENATE(" dates='[{",
CHAR(34),"startDate",CHAR(34),":",CHAR(34),TEXT(G60,"yyyy-mm-dd"),CHAR(34),", ",
,CHAR(34),"endDate",CHAR(34),":",CHAR(34),TEXT(G60,"yyyy-mm-dd"),CHAR(34),
IF(OR(ISBLANK(AE60),ISBLANK(AF60)),"",(CONCATENATE(", ",CHAR(34),"startTime",CHAR(34),":",CHAR(34),TEXT(AE60,"hh:mm"),CHAR(34),", ",CHAR(34),"endTime",CHAR(34),":",CHAR(34),TEXT(AF60,"hh:mm"),CHAR(34),", ",CHAR(34),"timeZone",CHAR(34),":",CHAR(34),AG60,CHAR(34)))),"}, {",
,CHAR(34),"startDate",CHAR(34),":",CHAR(34),TEXT(G60+1,"yyyy-mm-dd"),CHAR(34),", ",
,CHAR(34),"endDate",CHAR(34),":",CHAR(34),TEXT(G60+W60-1,"yyyy-mm-dd"),CHAR(34),
IF(OR(ISBLANK(AE60),ISBLANK(AF60)),"",(CONCATENATE(", ",CHAR(34),"startTime",CHAR(34),":",CHAR(34),TEXT(AE60,"hh:mm"),CHAR(34),", ",CHAR(34),"endTime",CHAR(34),":",CHAR(34),TEXT(AF60,"hh:mm"),CHAR(34),", ",CHAR(34),"timeZone",CHAR(34),":",CHAR(34),AG60,CHAR(34)))),"}]'"),
CONCATENATE(
"{  startDate=",CHAR(34),TEXT(G60,"yyyy-mm-dd"),CHAR(34),
"  endDate=",CHAR(34),TEXT(G60+W60-1,"yyyy-mm-dd"),CHAR(34),"}"))),
" &gt;&lt;/add-to-calendar-button&gt;")</f>
        <v>&lt;add-to-calendar-button  name="Hoboken All Day Singing"   location="Mars Hill Primitive Baptist Church, 9 Mars Hill Road Central Ave Exd, Hoboken, GA 31542"   description="9am-3pm; shapenotesingings.com"   options="'Apple','Google','iCal','Outlook.com'"   styleLight="--btn-background: #550000; --btn-text: #fff; --btn-shadow:#fff;"startDate="2026-03-14"{endDate="2026-03-14" startTime="09:00" endTime="15:00" timeZone="America/New_York" &gt;&lt;/add-to-calendar-button&gt;</v>
      </c>
      <c r="AE60" s="24">
        <v>0.375</v>
      </c>
      <c r="AF60" s="24">
        <v>0.625</v>
      </c>
      <c r="AG60" s="25" t="s">
        <v>1532</v>
      </c>
    </row>
    <row r="61" spans="1:33" x14ac:dyDescent="0.3">
      <c r="A61" t="s">
        <v>8</v>
      </c>
      <c r="B61" t="s">
        <v>11</v>
      </c>
      <c r="C61" t="s">
        <v>1134</v>
      </c>
      <c r="D61" t="s">
        <v>2577</v>
      </c>
      <c r="E61" t="s">
        <v>1435</v>
      </c>
      <c r="F61" t="s">
        <v>256</v>
      </c>
      <c r="G61" s="7">
        <f ca="1">X61</f>
        <v>46096</v>
      </c>
      <c r="H61" s="5" t="s">
        <v>2579</v>
      </c>
      <c r="I61" t="s">
        <v>1037</v>
      </c>
      <c r="J61" s="36" t="s">
        <v>2578</v>
      </c>
      <c r="L61" t="s">
        <v>2580</v>
      </c>
      <c r="M61" s="16" t="s">
        <v>2582</v>
      </c>
      <c r="N61" s="16" t="s">
        <v>2583</v>
      </c>
      <c r="O61" s="7">
        <v>45667</v>
      </c>
      <c r="P61" s="7" t="s">
        <v>2581</v>
      </c>
      <c r="Q61" s="18">
        <v>3</v>
      </c>
      <c r="R61" s="18">
        <v>3</v>
      </c>
      <c r="S61" s="18">
        <v>1</v>
      </c>
      <c r="T61" s="4">
        <f>DATE(AI$2,$Q61,1+(($R61-($S61&gt;=WEEKDAY(DATE(AI$2,$Q61,1))))*7)+($S61-WEEKDAY(DATE(AI$2,$Q61,1))))</f>
        <v>45732</v>
      </c>
      <c r="U61" s="4">
        <f>DATE(AJ$2,$Q61,1+(($R61-($S61&gt;=WEEKDAY(DATE(AJ$2,$Q61,1))))*7)+($S61-WEEKDAY(DATE(AJ$2,$Q61,1))))</f>
        <v>46096</v>
      </c>
      <c r="V61" s="20">
        <v>0</v>
      </c>
      <c r="W61" s="20">
        <v>1</v>
      </c>
      <c r="X61" s="4">
        <f ca="1">Y61-(W61-1)</f>
        <v>46096</v>
      </c>
      <c r="Y61" s="5">
        <f ca="1">IF(OR(T61+V61&lt;(NOW()-0.5),ISNUMBER(SEARCH("&lt;h4&gt;",K61))),U61+V61,T61+V61)</f>
        <v>46096</v>
      </c>
      <c r="Z61" t="str">
        <f ca="1">CONCATENATE(IF(OR(Y61=X61,ISBLANK(Y61)),TEXT(X61,"mmmm d"),CONCATENATE(TEXT(X61,"mmmm d"),"-",IF(TEXT(X61,"mmmm")=TEXT(Y61,"mmmm"),TEXT(Y61,"d"),TEXT(Y61,"mmmm d")))),", ",YEAR(Y61))</f>
        <v>March 15, 2026</v>
      </c>
      <c r="AA61" s="7">
        <f>O61</f>
        <v>45667</v>
      </c>
      <c r="AB61" s="14">
        <f>T61+V61-(W61-1)</f>
        <v>45732</v>
      </c>
      <c r="AC61" t="s">
        <v>2584</v>
      </c>
      <c r="AD61" s="23" t="str">
        <f ca="1">CONCATENATE("&lt;add-to-calendar-button  name=",CHAR(34),H61,CHAR(34),
IF(ISBLANK(M61),"",CONCATENATE("   location=",CHAR(34),RIGHT(M61,LEN(M61)-SEARCH("|",M61)-1),CHAR(34))),
"   description=",CHAR(34),IF(ISBLANK(I61),"",CONCATENATE(I61,"; ")),"shapenotesingings.com",CHAR(34),
"   options=",CHAR(34),"'Apple','Google','iCal','Outlook.com'",CHAR(34),"   styleLight=",CHAR(34),"--btn-background: #550000; --btn-text: #fff; --btn-shadow:#fff;",CHAR(34),
IF(W61=1,CONCATENATE(
"startDate=",CHAR(34),TEXT(G61,"yyyy-mm-dd"),CHAR(34),
"{endDate=",CHAR(34),TEXT(G61,"yyyy-mm-dd"),CHAR(34),
IF(OR(ISBLANK(AE61),ISBLANK(AF61)),"",(CONCATENATE(" startTime=",CHAR(34),TEXT(AE61,"hh:mm"),CHAR(34)," endTime=",CHAR(34),TEXT(AF61,"h:mm"),CHAR(34),
" timeZone=",CHAR(34),AG61,CHAR(34))))),
IF(W61=2,CONCATENATE(" dates='[{",
CHAR(34),"startDate",CHAR(34),":",CHAR(34),TEXT(G61,"yyyy-mm-dd"),CHAR(34),", ",
,CHAR(34),"endDate",CHAR(34),":",CHAR(34),TEXT(G61,"yyyy-mm-dd"),CHAR(34),
IF(OR(ISBLANK(AE61),ISBLANK(AF61)),"",(CONCATENATE(", ",CHAR(34),"startTime",CHAR(34),":",CHAR(34),TEXT(AE61,"hh:mm"),CHAR(34),", ",CHAR(34),"endTime",CHAR(34),":",CHAR(34),TEXT(AF61,"hh:mm"),CHAR(34),", ",CHAR(34),"timeZone",CHAR(34),":",CHAR(34),AG61,CHAR(34)))),"}, {",
,CHAR(34),"startDate",CHAR(34),":",CHAR(34),TEXT(G61+1,"yyyy-mm-dd"),CHAR(34),", ",
,CHAR(34),"endDate",CHAR(34),":",CHAR(34),TEXT(G61+W61-1,"yyyy-mm-dd"),CHAR(34),
IF(OR(ISBLANK(AE61),ISBLANK(AF61)),"",(CONCATENATE(", ",CHAR(34),"startTime",CHAR(34),":",CHAR(34),TEXT(AE61,"hh:mm"),CHAR(34),", ",CHAR(34),"endTime",CHAR(34),":",CHAR(34),TEXT(AF61,"hh:mm"),CHAR(34),", ",CHAR(34),"timeZone",CHAR(34),":",CHAR(34),AG61,CHAR(34)))),"}]'"),
CONCATENATE(
"{  startDate=",CHAR(34),TEXT(G61,"yyyy-mm-dd"),CHAR(34),
"  endDate=",CHAR(34),TEXT(G61+W61-1,"yyyy-mm-dd"),CHAR(34),"}"))),
" &gt;&lt;/add-to-calendar-button&gt;")</f>
        <v>&lt;add-to-calendar-button  name="Deason Memorial Christian Harmony Singing"   location="Little Hope Primitive Baptist Church, Little Hope Rd, Brent AL 35034"   description="10am-3pm; shapenotesingings.com"   options="'Apple','Google','iCal','Outlook.com'"   styleLight="--btn-background: #550000; --btn-text: #fff; --btn-shadow:#fff;"startDate="2026-03-15"{endDate="2026-03-15" startTime="10:00" endTime="15:00" timeZone="America/Chicago" &gt;&lt;/add-to-calendar-button&gt;</v>
      </c>
      <c r="AE61" s="24">
        <v>0.41666666666666669</v>
      </c>
      <c r="AF61" s="24">
        <v>0.625</v>
      </c>
      <c r="AG61" s="25" t="s">
        <v>1533</v>
      </c>
    </row>
    <row r="62" spans="1:33" x14ac:dyDescent="0.3">
      <c r="A62" t="s">
        <v>8</v>
      </c>
      <c r="B62" t="s">
        <v>11</v>
      </c>
      <c r="C62" t="s">
        <v>1134</v>
      </c>
      <c r="D62" t="s">
        <v>255</v>
      </c>
      <c r="E62" t="s">
        <v>2178</v>
      </c>
      <c r="F62" t="s">
        <v>256</v>
      </c>
      <c r="G62" s="7">
        <f ca="1">X62</f>
        <v>46096</v>
      </c>
      <c r="H62" s="5" t="s">
        <v>257</v>
      </c>
      <c r="I62" t="s">
        <v>1028</v>
      </c>
      <c r="J62" s="36" t="s">
        <v>2567</v>
      </c>
      <c r="L62" t="s">
        <v>1987</v>
      </c>
      <c r="M62" s="16" t="s">
        <v>656</v>
      </c>
      <c r="N62" s="16" t="s">
        <v>657</v>
      </c>
      <c r="O62" s="7">
        <v>45303</v>
      </c>
      <c r="P62" s="7" t="s">
        <v>1878</v>
      </c>
      <c r="Q62" s="18">
        <v>3</v>
      </c>
      <c r="R62" s="18">
        <v>3</v>
      </c>
      <c r="S62" s="18">
        <v>1</v>
      </c>
      <c r="T62" s="4">
        <f>DATE(AI$2,$Q62,1+(($R62-($S62&gt;=WEEKDAY(DATE(AI$2,$Q62,1))))*7)+($S62-WEEKDAY(DATE(AI$2,$Q62,1))))</f>
        <v>45732</v>
      </c>
      <c r="U62" s="4">
        <f>DATE(AJ$2,$Q62,1+(($R62-($S62&gt;=WEEKDAY(DATE(AJ$2,$Q62,1))))*7)+($S62-WEEKDAY(DATE(AJ$2,$Q62,1))))</f>
        <v>46096</v>
      </c>
      <c r="V62" s="20">
        <v>0</v>
      </c>
      <c r="W62" s="20">
        <v>1</v>
      </c>
      <c r="X62" s="4">
        <f ca="1">Y62-(W62-1)</f>
        <v>46096</v>
      </c>
      <c r="Y62" s="5">
        <f ca="1">IF(OR(T62+V62&lt;(NOW()-0.5),ISNUMBER(SEARCH("&lt;h4&gt;",K62))),U62+V62,T62+V62)</f>
        <v>46096</v>
      </c>
      <c r="Z62" t="str">
        <f ca="1">CONCATENATE(IF(OR(Y62=X62,ISBLANK(Y62)),TEXT(X62,"mmmm d"),CONCATENATE(TEXT(X62,"mmmm d"),"-",IF(TEXT(X62,"mmmm")=TEXT(Y62,"mmmm"),TEXT(Y62,"d"),TEXT(Y62,"mmmm d")))),", ",YEAR(Y62))</f>
        <v>March 15, 2026</v>
      </c>
      <c r="AA62" s="7">
        <f>O62</f>
        <v>45303</v>
      </c>
      <c r="AB62" s="14">
        <f>T62+V62-(W62-1)</f>
        <v>45732</v>
      </c>
      <c r="AC62" t="s">
        <v>1304</v>
      </c>
      <c r="AD62" s="23" t="str">
        <f ca="1">CONCATENATE("&lt;add-to-calendar-button  name=",CHAR(34),H62,CHAR(34),
IF(ISBLANK(M62),"",CONCATENATE("   location=",CHAR(34),RIGHT(M62,LEN(M62)-SEARCH("|",M62)-1),CHAR(34))),
"   description=",CHAR(34),IF(ISBLANK(I62),"",CONCATENATE(I62,"; ")),"shapenotesingings.com",CHAR(34),
"   options=",CHAR(34),"'Apple','Google','iCal','Outlook.com'",CHAR(34),"   styleLight=",CHAR(34),"--btn-background: #550000; --btn-text: #fff; --btn-shadow:#fff;",CHAR(34),
IF(W62=1,CONCATENATE(
"startDate=",CHAR(34),TEXT(G62,"yyyy-mm-dd"),CHAR(34),
"{endDate=",CHAR(34),TEXT(G62,"yyyy-mm-dd"),CHAR(34),
IF(OR(ISBLANK(AE62),ISBLANK(AF62)),"",(CONCATENATE(" startTime=",CHAR(34),TEXT(AE62,"hh:mm"),CHAR(34)," endTime=",CHAR(34),TEXT(AF62,"h:mm"),CHAR(34),
" timeZone=",CHAR(34),AG62,CHAR(34))))),
IF(W62=2,CONCATENATE(" dates='[{",
CHAR(34),"startDate",CHAR(34),":",CHAR(34),TEXT(G62,"yyyy-mm-dd"),CHAR(34),", ",
,CHAR(34),"endDate",CHAR(34),":",CHAR(34),TEXT(G62,"yyyy-mm-dd"),CHAR(34),
IF(OR(ISBLANK(AE62),ISBLANK(AF62)),"",(CONCATENATE(", ",CHAR(34),"startTime",CHAR(34),":",CHAR(34),TEXT(AE62,"hh:mm"),CHAR(34),", ",CHAR(34),"endTime",CHAR(34),":",CHAR(34),TEXT(AF62,"hh:mm"),CHAR(34),", ",CHAR(34),"timeZone",CHAR(34),":",CHAR(34),AG62,CHAR(34)))),"}, {",
,CHAR(34),"startDate",CHAR(34),":",CHAR(34),TEXT(G62+1,"yyyy-mm-dd"),CHAR(34),", ",
,CHAR(34),"endDate",CHAR(34),":",CHAR(34),TEXT(G62+W62-1,"yyyy-mm-dd"),CHAR(34),
IF(OR(ISBLANK(AE62),ISBLANK(AF62)),"",(CONCATENATE(", ",CHAR(34),"startTime",CHAR(34),":",CHAR(34),TEXT(AE62,"hh:mm"),CHAR(34),", ",CHAR(34),"endTime",CHAR(34),":",CHAR(34),TEXT(AF62,"hh:mm"),CHAR(34),", ",CHAR(34),"timeZone",CHAR(34),":",CHAR(34),AG62,CHAR(34)))),"}]'"),
CONCATENATE(
"{  startDate=",CHAR(34),TEXT(G62,"yyyy-mm-dd"),CHAR(34),
"  endDate=",CHAR(34),TEXT(G62+W62-1,"yyyy-mm-dd"),CHAR(34),"}"))),
" &gt;&lt;/add-to-calendar-button&gt;")</f>
        <v>&lt;add-to-calendar-button  name="Godsey Sisters and Sandra Spradlin Memorial"   location="Shady Grove Primitive Baptist Church, Double Springs AL - 34.18892986800541, -87.42600710374485"   description="10am; shapenotesingings.com"   options="'Apple','Google','iCal','Outlook.com'"   styleLight="--btn-background: #550000; --btn-text: #fff; --btn-shadow:#fff;"startDate="2026-03-15"{endDate="2026-03-15" startTime="10:00" endTime="15:00" timeZone="America/Chicago" &gt;&lt;/add-to-calendar-button&gt;</v>
      </c>
      <c r="AE62" s="24">
        <v>0.41666666666666669</v>
      </c>
      <c r="AF62" s="24">
        <v>0.625</v>
      </c>
      <c r="AG62" s="25" t="s">
        <v>1533</v>
      </c>
    </row>
    <row r="63" spans="1:33" x14ac:dyDescent="0.3">
      <c r="A63" t="s">
        <v>407</v>
      </c>
      <c r="B63" t="s">
        <v>408</v>
      </c>
      <c r="C63" t="s">
        <v>407</v>
      </c>
      <c r="D63" t="s">
        <v>2466</v>
      </c>
      <c r="E63" t="s">
        <v>2176</v>
      </c>
      <c r="F63" t="s">
        <v>259</v>
      </c>
      <c r="G63" s="7">
        <f ca="1">X63</f>
        <v>46102</v>
      </c>
      <c r="H63" s="5" t="s">
        <v>2467</v>
      </c>
      <c r="I63" t="s">
        <v>2919</v>
      </c>
      <c r="L63" t="s">
        <v>2468</v>
      </c>
      <c r="M63" s="16" t="s">
        <v>2921</v>
      </c>
      <c r="N63" s="16" t="s">
        <v>2920</v>
      </c>
      <c r="O63" s="7">
        <v>45753</v>
      </c>
      <c r="P63" s="7" t="s">
        <v>2238</v>
      </c>
      <c r="Q63" s="18">
        <v>3</v>
      </c>
      <c r="R63" s="18">
        <v>4</v>
      </c>
      <c r="S63" s="18">
        <v>1</v>
      </c>
      <c r="T63" s="4">
        <f>DATE(AI$2,$Q63,1+(($R63-($S63&gt;=WEEKDAY(DATE(AI$2,$Q63,1))))*7)+($S63-WEEKDAY(DATE(AI$2,$Q63,1))))</f>
        <v>45739</v>
      </c>
      <c r="U63" s="4">
        <f>DATE(AJ$2,$Q63,1+(($R63-($S63&gt;=WEEKDAY(DATE(AJ$2,$Q63,1))))*7)+($S63-WEEKDAY(DATE(AJ$2,$Q63,1))))</f>
        <v>46103</v>
      </c>
      <c r="V63" s="20">
        <v>-1</v>
      </c>
      <c r="W63" s="20">
        <v>1</v>
      </c>
      <c r="X63" s="4">
        <f ca="1">Y63-(W63-1)</f>
        <v>46102</v>
      </c>
      <c r="Y63" s="5">
        <f ca="1">IF(OR(T63+V63&lt;(NOW()-0.5),ISNUMBER(SEARCH("&lt;h4&gt;",K63))),U63+V63,T63+V63)</f>
        <v>46102</v>
      </c>
      <c r="Z63" t="str">
        <f ca="1">CONCATENATE(IF(OR(Y63=X63,ISBLANK(Y63)),TEXT(X63,"mmmm d"),CONCATENATE(TEXT(X63,"mmmm d"),"-",IF(TEXT(X63,"mmmm")=TEXT(Y63,"mmmm"),TEXT(Y63,"d"),TEXT(Y63,"mmmm d")))),", ",YEAR(Y63))</f>
        <v>March 21, 2026</v>
      </c>
      <c r="AA63" s="7">
        <f>O63</f>
        <v>45753</v>
      </c>
      <c r="AB63" s="14">
        <f>T63+V63-(W63-1)</f>
        <v>45738</v>
      </c>
      <c r="AC63" t="s">
        <v>2922</v>
      </c>
      <c r="AD63" s="23" t="str">
        <f ca="1">CONCATENATE("&lt;add-to-calendar-button  name=",CHAR(34),H63,CHAR(34),
IF(ISBLANK(M63),"",CONCATENATE("   location=",CHAR(34),RIGHT(M63,LEN(M63)-SEARCH("|",M63)-1),CHAR(34))),
"   description=",CHAR(34),IF(ISBLANK(I63),"",CONCATENATE(I63,"; ")),"shapenotesingings.com",CHAR(34),
"   options=",CHAR(34),"'Apple','Google','iCal','Outlook.com'",CHAR(34),"   styleLight=",CHAR(34),"--btn-background: #550000; --btn-text: #fff; --btn-shadow:#fff;",CHAR(34),
IF(W63=1,CONCATENATE(
"startDate=",CHAR(34),TEXT(G63,"yyyy-mm-dd"),CHAR(34),
"{endDate=",CHAR(34),TEXT(G63,"yyyy-mm-dd"),CHAR(34),
IF(OR(ISBLANK(AE63),ISBLANK(AF63)),"",(CONCATENATE(" startTime=",CHAR(34),TEXT(AE63,"hh:mm"),CHAR(34)," endTime=",CHAR(34),TEXT(AF63,"h:mm"),CHAR(34),
" timeZone=",CHAR(34),AG63,CHAR(34))))),
IF(W63=2,CONCATENATE(" dates='[{",
CHAR(34),"startDate",CHAR(34),":",CHAR(34),TEXT(G63,"yyyy-mm-dd"),CHAR(34),", ",
,CHAR(34),"endDate",CHAR(34),":",CHAR(34),TEXT(G63,"yyyy-mm-dd"),CHAR(34),
IF(OR(ISBLANK(AE63),ISBLANK(AF63)),"",(CONCATENATE(", ",CHAR(34),"startTime",CHAR(34),":",CHAR(34),TEXT(AE63,"hh:mm"),CHAR(34),", ",CHAR(34),"endTime",CHAR(34),":",CHAR(34),TEXT(AF63,"hh:mm"),CHAR(34),", ",CHAR(34),"timeZone",CHAR(34),":",CHAR(34),AG63,CHAR(34)))),"}, {",
,CHAR(34),"startDate",CHAR(34),":",CHAR(34),TEXT(G63+1,"yyyy-mm-dd"),CHAR(34),", ",
,CHAR(34),"endDate",CHAR(34),":",CHAR(34),TEXT(G63+W63-1,"yyyy-mm-dd"),CHAR(34),
IF(OR(ISBLANK(AE63),ISBLANK(AF63)),"",(CONCATENATE(", ",CHAR(34),"startTime",CHAR(34),":",CHAR(34),TEXT(AE63,"hh:mm"),CHAR(34),", ",CHAR(34),"endTime",CHAR(34),":",CHAR(34),TEXT(AF63,"hh:mm"),CHAR(34),", ",CHAR(34),"timeZone",CHAR(34),":",CHAR(34),AG63,CHAR(34)))),"}]'"),
CONCATENATE(
"{  startDate=",CHAR(34),TEXT(G63,"yyyy-mm-dd"),CHAR(34),
"  endDate=",CHAR(34),TEXT(G63+W63-1,"yyyy-mm-dd"),CHAR(34),"}"))),
" &gt;&lt;/add-to-calendar-button&gt;")</f>
        <v>&lt;add-to-calendar-button  name="Cologne Singing"   location="Domforum, Domkloster 3, 50667 Köln, Germany"   description="10:30am-5pm; shapenotesingings.com"   options="'Apple','Google','iCal','Outlook.com'"   styleLight="--btn-background: #550000; --btn-text: #fff; --btn-shadow:#fff;"startDate="2026-03-21"{endDate="2026-03-21" startTime="10:30" endTime="17:00" timeZone="Europe/Berlin" &gt;&lt;/add-to-calendar-button&gt;</v>
      </c>
      <c r="AE63" s="24">
        <v>0.4375</v>
      </c>
      <c r="AF63" s="24">
        <v>0.70833333333333337</v>
      </c>
      <c r="AG63" s="25" t="s">
        <v>1540</v>
      </c>
    </row>
    <row r="64" spans="1:33" x14ac:dyDescent="0.3">
      <c r="A64" t="s">
        <v>8</v>
      </c>
      <c r="B64" t="s">
        <v>523</v>
      </c>
      <c r="C64" t="s">
        <v>1145</v>
      </c>
      <c r="D64" t="s">
        <v>1865</v>
      </c>
      <c r="E64" t="s">
        <v>2176</v>
      </c>
      <c r="F64" t="s">
        <v>259</v>
      </c>
      <c r="G64" s="7">
        <f ca="1">X64</f>
        <v>46102</v>
      </c>
      <c r="H64" s="5" t="s">
        <v>1401</v>
      </c>
      <c r="I64" t="s">
        <v>1037</v>
      </c>
      <c r="J64" s="36" t="s">
        <v>2568</v>
      </c>
      <c r="L64" t="s">
        <v>2766</v>
      </c>
      <c r="M64" s="16" t="s">
        <v>1862</v>
      </c>
      <c r="N64" s="16" t="s">
        <v>1866</v>
      </c>
      <c r="O64" s="7">
        <v>45301</v>
      </c>
      <c r="P64" s="7" t="s">
        <v>1864</v>
      </c>
      <c r="Q64" s="18">
        <v>3</v>
      </c>
      <c r="R64" s="18">
        <v>4</v>
      </c>
      <c r="S64" s="18">
        <v>1</v>
      </c>
      <c r="T64" s="4">
        <f>DATE(AI$2,$Q64,1+(($R64-($S64&gt;=WEEKDAY(DATE(AI$2,$Q64,1))))*7)+($S64-WEEKDAY(DATE(AI$2,$Q64,1))))</f>
        <v>45739</v>
      </c>
      <c r="U64" s="4">
        <f>DATE(AJ$2,$Q64,1+(($R64-($S64&gt;=WEEKDAY(DATE(AJ$2,$Q64,1))))*7)+($S64-WEEKDAY(DATE(AJ$2,$Q64,1))))</f>
        <v>46103</v>
      </c>
      <c r="V64" s="20">
        <v>-1</v>
      </c>
      <c r="W64" s="20">
        <v>1</v>
      </c>
      <c r="X64" s="4">
        <f ca="1">Y64-(W64-1)</f>
        <v>46102</v>
      </c>
      <c r="Y64" s="5">
        <f ca="1">IF(OR(T64+V64&lt;(NOW()-0.5),ISNUMBER(SEARCH("&lt;h4&gt;",J64))),U64+V64,T64+V64)</f>
        <v>46102</v>
      </c>
      <c r="Z64" t="str">
        <f ca="1">CONCATENATE(IF(OR(Y64=X64,ISBLANK(Y64)),TEXT(X64,"mmmm d"),CONCATENATE(TEXT(X64,"mmmm d"),"-",IF(TEXT(X64,"mmmm")=TEXT(Y64,"mmmm"),TEXT(Y64,"d"),TEXT(Y64,"mmmm d")))),", ",YEAR(Y64))</f>
        <v>March 21, 2026</v>
      </c>
      <c r="AA64" s="7">
        <f>O64</f>
        <v>45301</v>
      </c>
      <c r="AB64" s="14">
        <f>T64+V64-(W64-1)</f>
        <v>45738</v>
      </c>
      <c r="AC64" t="s">
        <v>1863</v>
      </c>
      <c r="AD64" s="23" t="str">
        <f ca="1">CONCATENATE("&lt;add-to-calendar-button  name=",CHAR(34),H64,CHAR(34),
IF(ISBLANK(M64),"",CONCATENATE("   location=",CHAR(34),RIGHT(M64,LEN(M64)-SEARCH("|",M64)-1),CHAR(34))),
"   description=",CHAR(34),IF(ISBLANK(I64),"",CONCATENATE(I64,"; ")),"shapenotesingings.com",CHAR(34),
"   options=",CHAR(34),"'Apple','Google','iCal','Outlook.com'",CHAR(34),"   styleLight=",CHAR(34),"--btn-background: #550000; --btn-text: #fff; --btn-shadow:#fff;",CHAR(34),
IF(W64=1,CONCATENATE(
"startDate=",CHAR(34),TEXT(G64,"yyyy-mm-dd"),CHAR(34),
"{endDate=",CHAR(34),TEXT(G64,"yyyy-mm-dd"),CHAR(34),
IF(OR(ISBLANK(AE64),ISBLANK(AF64)),"",(CONCATENATE(" startTime=",CHAR(34),TEXT(AE64,"hh:mm"),CHAR(34)," endTime=",CHAR(34),TEXT(AF64,"h:mm"),CHAR(34),
" timeZone=",CHAR(34),AG64,CHAR(34))))),
IF(W64=2,CONCATENATE(" dates='[{",
CHAR(34),"startDate",CHAR(34),":",CHAR(34),TEXT(G64,"yyyy-mm-dd"),CHAR(34),", ",
,CHAR(34),"endDate",CHAR(34),":",CHAR(34),TEXT(G64,"yyyy-mm-dd"),CHAR(34),
IF(OR(ISBLANK(AE64),ISBLANK(AF64)),"",(CONCATENATE(", ",CHAR(34),"startTime",CHAR(34),":",CHAR(34),TEXT(AE64,"hh:mm"),CHAR(34),", ",CHAR(34),"endTime",CHAR(34),":",CHAR(34),TEXT(AF64,"hh:mm"),CHAR(34),", ",CHAR(34),"timeZone",CHAR(34),":",CHAR(34),AG64,CHAR(34)))),"}, {",
,CHAR(34),"startDate",CHAR(34),":",CHAR(34),TEXT(G64+1,"yyyy-mm-dd"),CHAR(34),", ",
,CHAR(34),"endDate",CHAR(34),":",CHAR(34),TEXT(G64+W64-1,"yyyy-mm-dd"),CHAR(34),
IF(OR(ISBLANK(AE64),ISBLANK(AF64)),"",(CONCATENATE(", ",CHAR(34),"startTime",CHAR(34),":",CHAR(34),TEXT(AE64,"hh:mm"),CHAR(34),", ",CHAR(34),"endTime",CHAR(34),":",CHAR(34),TEXT(AF64,"hh:mm"),CHAR(34),", ",CHAR(34),"timeZone",CHAR(34),":",CHAR(34),AG64,CHAR(34)))),"}]'"),
CONCATENATE(
"{  startDate=",CHAR(34),TEXT(G64,"yyyy-mm-dd"),CHAR(34),
"  endDate=",CHAR(34),TEXT(G64+W64-1,"yyyy-mm-dd"),CHAR(34),"}"))),
" &gt;&lt;/add-to-calendar-button&gt;")</f>
        <v>&lt;add-to-calendar-button  name="Swarens Memorial Higher Ground All-Day Singing"   location="St. Paul's Episcopal Church, 6050 N Meridian St, Indianapolis, IN 46208"   description="10am-3pm; shapenotesingings.com"   options="'Apple','Google','iCal','Outlook.com'"   styleLight="--btn-background: #550000; --btn-text: #fff; --btn-shadow:#fff;"startDate="2026-03-21"{endDate="2026-03-21" startTime="09:30" endTime="15:00" timeZone="America/New_York" &gt;&lt;/add-to-calendar-button&gt;</v>
      </c>
      <c r="AE64" s="24">
        <v>0.39583333333333331</v>
      </c>
      <c r="AF64" s="24">
        <v>0.625</v>
      </c>
      <c r="AG64" s="25" t="s">
        <v>1532</v>
      </c>
    </row>
    <row r="65" spans="1:33" x14ac:dyDescent="0.3">
      <c r="A65" t="s">
        <v>8</v>
      </c>
      <c r="B65" t="s">
        <v>17</v>
      </c>
      <c r="C65" t="s">
        <v>1140</v>
      </c>
      <c r="D65" t="s">
        <v>155</v>
      </c>
      <c r="E65" t="s">
        <v>2178</v>
      </c>
      <c r="F65" t="s">
        <v>267</v>
      </c>
      <c r="G65" s="7">
        <f ca="1">X65</f>
        <v>46102</v>
      </c>
      <c r="H65" s="5" t="s">
        <v>268</v>
      </c>
      <c r="I65" t="s">
        <v>1037</v>
      </c>
      <c r="J65" s="36" t="s">
        <v>2569</v>
      </c>
      <c r="L65" t="s">
        <v>2894</v>
      </c>
      <c r="M65" s="16" t="s">
        <v>1026</v>
      </c>
      <c r="N65" s="16" t="s">
        <v>129</v>
      </c>
      <c r="O65" s="7">
        <v>45644</v>
      </c>
      <c r="P65" s="7" t="s">
        <v>2437</v>
      </c>
      <c r="Q65" s="18">
        <v>3</v>
      </c>
      <c r="R65" s="18">
        <v>4</v>
      </c>
      <c r="S65" s="18">
        <v>1</v>
      </c>
      <c r="T65" s="4">
        <f>DATE(AI$2,$Q65,1+(($R65-($S65&gt;=WEEKDAY(DATE(AI$2,$Q65,1))))*7)+($S65-WEEKDAY(DATE(AI$2,$Q65,1))))</f>
        <v>45739</v>
      </c>
      <c r="U65" s="4">
        <f>DATE(AJ$2,$Q65,1+(($R65-($S65&gt;=WEEKDAY(DATE(AJ$2,$Q65,1))))*7)+($S65-WEEKDAY(DATE(AJ$2,$Q65,1))))</f>
        <v>46103</v>
      </c>
      <c r="V65" s="20">
        <v>0</v>
      </c>
      <c r="W65" s="20">
        <v>2</v>
      </c>
      <c r="X65" s="4">
        <f ca="1">Y65-(W65-1)</f>
        <v>46102</v>
      </c>
      <c r="Y65" s="5">
        <f ca="1">IF(OR(T65+V65&lt;(NOW()-0.5),ISNUMBER(SEARCH("&lt;h4&gt;",J65))),U65+V65,T65+V65)</f>
        <v>46103</v>
      </c>
      <c r="Z65" t="str">
        <f ca="1">CONCATENATE(IF(OR(Y65=X65,ISBLANK(Y65)),TEXT(X65,"mmmm d"),CONCATENATE(TEXT(X65,"mmmm d"),"-",IF(TEXT(X65,"mmmm")=TEXT(Y65,"mmmm"),TEXT(Y65,"d"),TEXT(Y65,"mmmm d")))),", ",YEAR(Y65))</f>
        <v>March 21-22, 2026</v>
      </c>
      <c r="AA65" s="7">
        <f>O65</f>
        <v>45644</v>
      </c>
      <c r="AB65" s="14">
        <f>T65+V65-(W65-1)</f>
        <v>45738</v>
      </c>
      <c r="AC65" t="s">
        <v>2438</v>
      </c>
      <c r="AD65" s="23" t="str">
        <f ca="1">CONCATENATE("&lt;add-to-calendar-button  name=",CHAR(34),H65,CHAR(34),
IF(ISBLANK(M65),"",CONCATENATE("   location=",CHAR(34),RIGHT(M65,LEN(M65)-SEARCH("|",M65)-1),CHAR(34))),
"   description=",CHAR(34),IF(ISBLANK(I65),"",CONCATENATE(I65,"; ")),"shapenotesingings.com",CHAR(34),
"   options=",CHAR(34),"'Apple','Google','iCal','Outlook.com'",CHAR(34),"   styleLight=",CHAR(34),"--btn-background: #550000; --btn-text: #fff; --btn-shadow:#fff;",CHAR(34),
IF(W65=1,CONCATENATE(
"startDate=",CHAR(34),TEXT(G65,"yyyy-mm-dd"),CHAR(34),
"{endDate=",CHAR(34),TEXT(G65,"yyyy-mm-dd"),CHAR(34),
IF(OR(ISBLANK(AE65),ISBLANK(AF65)),"",(CONCATENATE(" startTime=",CHAR(34),TEXT(AE65,"hh:mm"),CHAR(34)," endTime=",CHAR(34),TEXT(AF65,"h:mm"),CHAR(34),
" timeZone=",CHAR(34),AG65,CHAR(34))))),
IF(W65=2,CONCATENATE(" dates='[{",
CHAR(34),"startDate",CHAR(34),":",CHAR(34),TEXT(G65,"yyyy-mm-dd"),CHAR(34),", ",
,CHAR(34),"endDate",CHAR(34),":",CHAR(34),TEXT(G65,"yyyy-mm-dd"),CHAR(34),
IF(OR(ISBLANK(AE65),ISBLANK(AF65)),"",(CONCATENATE(", ",CHAR(34),"startTime",CHAR(34),":",CHAR(34),TEXT(AE65,"hh:mm"),CHAR(34),", ",CHAR(34),"endTime",CHAR(34),":",CHAR(34),TEXT(AF65,"hh:mm"),CHAR(34),", ",CHAR(34),"timeZone",CHAR(34),":",CHAR(34),AG65,CHAR(34)))),"}, {",
,CHAR(34),"startDate",CHAR(34),":",CHAR(34),TEXT(G65+1,"yyyy-mm-dd"),CHAR(34),", ",
,CHAR(34),"endDate",CHAR(34),":",CHAR(34),TEXT(G65+W65-1,"yyyy-mm-dd"),CHAR(34),
IF(OR(ISBLANK(AE65),ISBLANK(AF65)),"",(CONCATENATE(", ",CHAR(34),"startTime",CHAR(34),":",CHAR(34),TEXT(AE65,"hh:mm"),CHAR(34),", ",CHAR(34),"endTime",CHAR(34),":",CHAR(34),TEXT(AF65,"hh:mm"),CHAR(34),", ",CHAR(34),"timeZone",CHAR(34),":",CHAR(34),AG65,CHAR(34)))),"}]'"),
CONCATENATE(
"{  startDate=",CHAR(34),TEXT(G65,"yyyy-mm-dd"),CHAR(34),
"  endDate=",CHAR(34),TEXT(G65+W65-1,"yyyy-mm-dd"),CHAR(34),"}"))),
" &gt;&lt;/add-to-calendar-button&gt;")</f>
        <v>&lt;add-to-calendar-button  name="Georgia State Convention"   location="Holly Springs Primitive Baptist Church, 760 Holly Springs Rd, Carrollton, GA 30117"   description="10am-3pm; shapenotesingings.com"   options="'Apple','Google','iCal','Outlook.com'"   styleLight="--btn-background: #550000; --btn-text: #fff; --btn-shadow:#fff;" dates='[{"startDate":"2026-03-21", "endDate":"2026-03-21", "startTime":"10:00", "endTime":"15:00", "timeZone":"America/New_York"}, {"startDate":"2026-03-22", "endDate":"2026-03-22", "startTime":"10:00", "endTime":"15:00", "timeZone":"America/New_York"}]' &gt;&lt;/add-to-calendar-button&gt;</v>
      </c>
      <c r="AE65" s="24">
        <v>0.41666666666666669</v>
      </c>
      <c r="AF65" s="24">
        <v>0.625</v>
      </c>
      <c r="AG65" s="25" t="s">
        <v>1532</v>
      </c>
    </row>
    <row r="66" spans="1:33" x14ac:dyDescent="0.3">
      <c r="A66" t="s">
        <v>8</v>
      </c>
      <c r="B66" t="s">
        <v>264</v>
      </c>
      <c r="C66" t="s">
        <v>1164</v>
      </c>
      <c r="D66" t="s">
        <v>2402</v>
      </c>
      <c r="E66" t="s">
        <v>2178</v>
      </c>
      <c r="F66" t="s">
        <v>259</v>
      </c>
      <c r="G66" s="7">
        <f ca="1">X66</f>
        <v>46102</v>
      </c>
      <c r="H66" s="5" t="s">
        <v>265</v>
      </c>
      <c r="I66" t="s">
        <v>1101</v>
      </c>
      <c r="J66" s="36" t="s">
        <v>2570</v>
      </c>
      <c r="L66" t="s">
        <v>2403</v>
      </c>
      <c r="M66" s="16" t="s">
        <v>2398</v>
      </c>
      <c r="N66" s="16" t="s">
        <v>2399</v>
      </c>
      <c r="O66" s="7">
        <v>45623</v>
      </c>
      <c r="P66" s="7" t="s">
        <v>2400</v>
      </c>
      <c r="Q66" s="18">
        <v>3</v>
      </c>
      <c r="R66" s="18">
        <v>4</v>
      </c>
      <c r="S66" s="18">
        <v>1</v>
      </c>
      <c r="T66" s="4">
        <f>DATE(AI$2,$Q66,1+(($R66-($S66&gt;=WEEKDAY(DATE(AI$2,$Q66,1))))*7)+($S66-WEEKDAY(DATE(AI$2,$Q66,1))))</f>
        <v>45739</v>
      </c>
      <c r="U66" s="4">
        <f>DATE(AJ$2,$Q66,1+(($R66-($S66&gt;=WEEKDAY(DATE(AJ$2,$Q66,1))))*7)+($S66-WEEKDAY(DATE(AJ$2,$Q66,1))))</f>
        <v>46103</v>
      </c>
      <c r="V66" s="20">
        <v>-1</v>
      </c>
      <c r="W66" s="20">
        <v>1</v>
      </c>
      <c r="X66" s="4">
        <f ca="1">Y66-(W66-1)</f>
        <v>46102</v>
      </c>
      <c r="Y66" s="5">
        <f ca="1">IF(OR(T66+V66&lt;(NOW()-0.5),ISNUMBER(SEARCH("&lt;h4&gt;",J66))),U66+V66,T66+V66)</f>
        <v>46102</v>
      </c>
      <c r="Z66" t="str">
        <f ca="1">CONCATENATE(IF(OR(Y66=X66,ISBLANK(Y66)),TEXT(X66,"mmmm d"),CONCATENATE(TEXT(X66,"mmmm d"),"-",IF(TEXT(X66,"mmmm")=TEXT(Y66,"mmmm"),TEXT(Y66,"d"),TEXT(Y66,"mmmm d")))),", ",YEAR(Y66))</f>
        <v>March 21, 2026</v>
      </c>
      <c r="AA66" s="7">
        <f>O66</f>
        <v>45623</v>
      </c>
      <c r="AB66" s="14">
        <f>T66+V66-(W66-1)</f>
        <v>45738</v>
      </c>
      <c r="AC66" t="s">
        <v>2401</v>
      </c>
      <c r="AD66" s="23" t="str">
        <f ca="1">CONCATENATE("&lt;add-to-calendar-button  name=",CHAR(34),H66,CHAR(34),
IF(ISBLANK(M66),"",CONCATENATE("   location=",CHAR(34),RIGHT(M66,LEN(M66)-SEARCH("|",M66)-1),CHAR(34))),
"   description=",CHAR(34),IF(ISBLANK(I66),"",CONCATENATE(I66,"; ")),"shapenotesingings.com",CHAR(34),
"   options=",CHAR(34),"'Apple','Google','iCal','Outlook.com'",CHAR(34),"   styleLight=",CHAR(34),"--btn-background: #550000; --btn-text: #fff; --btn-shadow:#fff;",CHAR(34),
IF(W66=1,CONCATENATE(
"startDate=",CHAR(34),TEXT(G66,"yyyy-mm-dd"),CHAR(34),
"{endDate=",CHAR(34),TEXT(G66,"yyyy-mm-dd"),CHAR(34),
IF(OR(ISBLANK(AE66),ISBLANK(AF66)),"",(CONCATENATE(" startTime=",CHAR(34),TEXT(AE66,"hh:mm"),CHAR(34)," endTime=",CHAR(34),TEXT(AF66,"h:mm"),CHAR(34),
" timeZone=",CHAR(34),AG66,CHAR(34))))),
IF(W66=2,CONCATENATE(" dates='[{",
CHAR(34),"startDate",CHAR(34),":",CHAR(34),TEXT(G66,"yyyy-mm-dd"),CHAR(34),", ",
,CHAR(34),"endDate",CHAR(34),":",CHAR(34),TEXT(G66,"yyyy-mm-dd"),CHAR(34),
IF(OR(ISBLANK(AE66),ISBLANK(AF66)),"",(CONCATENATE(", ",CHAR(34),"startTime",CHAR(34),":",CHAR(34),TEXT(AE66,"hh:mm"),CHAR(34),", ",CHAR(34),"endTime",CHAR(34),":",CHAR(34),TEXT(AF66,"hh:mm"),CHAR(34),", ",CHAR(34),"timeZone",CHAR(34),":",CHAR(34),AG66,CHAR(34)))),"}, {",
,CHAR(34),"startDate",CHAR(34),":",CHAR(34),TEXT(G66+1,"yyyy-mm-dd"),CHAR(34),", ",
,CHAR(34),"endDate",CHAR(34),":",CHAR(34),TEXT(G66+W66-1,"yyyy-mm-dd"),CHAR(34),
IF(OR(ISBLANK(AE66),ISBLANK(AF66)),"",(CONCATENATE(", ",CHAR(34),"startTime",CHAR(34),":",CHAR(34),TEXT(AE66,"hh:mm"),CHAR(34),", ",CHAR(34),"endTime",CHAR(34),":",CHAR(34),TEXT(AF66,"hh:mm"),CHAR(34),", ",CHAR(34),"timeZone",CHAR(34),":",CHAR(34),AG66,CHAR(34)))),"}]'"),
CONCATENATE(
"{  startDate=",CHAR(34),TEXT(G66,"yyyy-mm-dd"),CHAR(34),
"  endDate=",CHAR(34),TEXT(G66+W66-1,"yyyy-mm-dd"),CHAR(34),"}"))),
" &gt;&lt;/add-to-calendar-button&gt;")</f>
        <v>&lt;add-to-calendar-button  name="Vermont All-Day Singing"   location="Barre Labor Hall, 46 Granite Street, Barre, VT"   description="10am-4pm; shapenotesingings.com"   options="'Apple','Google','iCal','Outlook.com'"   styleLight="--btn-background: #550000; --btn-text: #fff; --btn-shadow:#fff;"startDate="2026-03-21"{endDate="2026-03-21" startTime="10:00" endTime="16:00" timeZone="America/New_York" &gt;&lt;/add-to-calendar-button&gt;</v>
      </c>
      <c r="AE66" s="24">
        <v>0.41666666666666669</v>
      </c>
      <c r="AF66" s="24">
        <v>0.66666666666666663</v>
      </c>
      <c r="AG66" s="25" t="s">
        <v>1532</v>
      </c>
    </row>
    <row r="67" spans="1:33" x14ac:dyDescent="0.3">
      <c r="A67" t="s">
        <v>8</v>
      </c>
      <c r="B67" t="s">
        <v>273</v>
      </c>
      <c r="C67" t="s">
        <v>1160</v>
      </c>
      <c r="D67" t="s">
        <v>1457</v>
      </c>
      <c r="E67" t="s">
        <v>777</v>
      </c>
      <c r="F67" t="s">
        <v>214</v>
      </c>
      <c r="G67" s="7">
        <f ca="1">X67</f>
        <v>46103</v>
      </c>
      <c r="H67" s="5" t="s">
        <v>1455</v>
      </c>
      <c r="I67" t="s">
        <v>1456</v>
      </c>
      <c r="J67" s="36" t="s">
        <v>2571</v>
      </c>
      <c r="L67" t="s">
        <v>1451</v>
      </c>
      <c r="M67" s="16" t="s">
        <v>1453</v>
      </c>
      <c r="N67" s="16" t="s">
        <v>1452</v>
      </c>
      <c r="O67" s="7">
        <v>45012</v>
      </c>
      <c r="P67" s="7" t="s">
        <v>1509</v>
      </c>
      <c r="Q67" s="18">
        <v>3</v>
      </c>
      <c r="R67" s="18">
        <v>4</v>
      </c>
      <c r="S67" s="18">
        <v>1</v>
      </c>
      <c r="T67" s="4">
        <f>DATE(AI$2,$Q67,1+(($R67-($S67&gt;=WEEKDAY(DATE(AI$2,$Q67,1))))*7)+($S67-WEEKDAY(DATE(AI$2,$Q67,1))))</f>
        <v>45739</v>
      </c>
      <c r="U67" s="4">
        <f>DATE(AJ$2,$Q67,1+(($R67-($S67&gt;=WEEKDAY(DATE(AJ$2,$Q67,1))))*7)+($S67-WEEKDAY(DATE(AJ$2,$Q67,1))))</f>
        <v>46103</v>
      </c>
      <c r="V67" s="20">
        <v>0</v>
      </c>
      <c r="W67" s="20">
        <v>1</v>
      </c>
      <c r="X67" s="4">
        <f ca="1">Y67-(W67-1)</f>
        <v>46103</v>
      </c>
      <c r="Y67" s="5">
        <f ca="1">IF(OR(T67+V67&lt;(NOW()-0.5),ISNUMBER(SEARCH("&lt;h4&gt;",J67))),U67+V67,T67+V67)</f>
        <v>46103</v>
      </c>
      <c r="Z67" t="str">
        <f ca="1">CONCATENATE(IF(OR(Y67=X67,ISBLANK(Y67)),TEXT(X67,"mmmm d"),CONCATENATE(TEXT(X67,"mmmm d"),"-",IF(TEXT(X67,"mmmm")=TEXT(Y67,"mmmm"),TEXT(Y67,"d"),TEXT(Y67,"mmmm d")))),", ",YEAR(Y67))</f>
        <v>March 22, 2026</v>
      </c>
      <c r="AA67" s="7">
        <f>O67</f>
        <v>45012</v>
      </c>
      <c r="AB67" s="14">
        <f>T67+V67-(W67-1)</f>
        <v>45739</v>
      </c>
      <c r="AC67" t="s">
        <v>1454</v>
      </c>
      <c r="AD67" s="23" t="str">
        <f ca="1">CONCATENATE("&lt;add-to-calendar-button  name=",CHAR(34),H67,CHAR(34),
IF(ISBLANK(M67),"",CONCATENATE("   location=",CHAR(34),RIGHT(M67,LEN(M67)-SEARCH("|",M67)-1),CHAR(34))),
"   description=",CHAR(34),IF(ISBLANK(I67),"",CONCATENATE(I67,"; ")),"shapenotesingings.com",CHAR(34),
"   options=",CHAR(34),"'Apple','Google','iCal','Outlook.com'",CHAR(34),"   styleLight=",CHAR(34),"--btn-background: #550000; --btn-text: #fff; --btn-shadow:#fff;",CHAR(34),
IF(W67=1,CONCATENATE(
"startDate=",CHAR(34),TEXT(G67,"yyyy-mm-dd"),CHAR(34),
"{endDate=",CHAR(34),TEXT(G67,"yyyy-mm-dd"),CHAR(34),
IF(OR(ISBLANK(AE67),ISBLANK(AF67)),"",(CONCATENATE(" startTime=",CHAR(34),TEXT(AE67,"hh:mm"),CHAR(34)," endTime=",CHAR(34),TEXT(AF67,"h:mm"),CHAR(34),
" timeZone=",CHAR(34),AG67,CHAR(34))))),
IF(W67=2,CONCATENATE(" dates='[{",
CHAR(34),"startDate",CHAR(34),":",CHAR(34),TEXT(G67,"yyyy-mm-dd"),CHAR(34),", ",
,CHAR(34),"endDate",CHAR(34),":",CHAR(34),TEXT(G67,"yyyy-mm-dd"),CHAR(34),
IF(OR(ISBLANK(AE67),ISBLANK(AF67)),"",(CONCATENATE(", ",CHAR(34),"startTime",CHAR(34),":",CHAR(34),TEXT(AE67,"hh:mm"),CHAR(34),", ",CHAR(34),"endTime",CHAR(34),":",CHAR(34),TEXT(AF67,"hh:mm"),CHAR(34),", ",CHAR(34),"timeZone",CHAR(34),":",CHAR(34),AG67,CHAR(34)))),"}, {",
,CHAR(34),"startDate",CHAR(34),":",CHAR(34),TEXT(G67+1,"yyyy-mm-dd"),CHAR(34),", ",
,CHAR(34),"endDate",CHAR(34),":",CHAR(34),TEXT(G67+W67-1,"yyyy-mm-dd"),CHAR(34),
IF(OR(ISBLANK(AE67),ISBLANK(AF67)),"",(CONCATENATE(", ",CHAR(34),"startTime",CHAR(34),":",CHAR(34),TEXT(AE67,"hh:mm"),CHAR(34),", ",CHAR(34),"endTime",CHAR(34),":",CHAR(34),TEXT(AF67,"hh:mm"),CHAR(34),", ",CHAR(34),"timeZone",CHAR(34),":",CHAR(34),AG67,CHAR(34)))),"}]'"),
CONCATENATE(
"{  startDate=",CHAR(34),TEXT(G67,"yyyy-mm-dd"),CHAR(34),
"  endDate=",CHAR(34),TEXT(G67+W67-1,"yyyy-mm-dd"),CHAR(34),"}"))),
" &gt;&lt;/add-to-calendar-button&gt;")</f>
        <v>&lt;add-to-calendar-button  name="Jubilee Festival"   location="Laurel Theater, 1538 Laurel Ave, Knoxville, TN 37916"   description="12pm-4pm; shapenotesingings.com"   options="'Apple','Google','iCal','Outlook.com'"   styleLight="--btn-background: #550000; --btn-text: #fff; --btn-shadow:#fff;"startDate="2026-03-22"{endDate="2026-03-22" &gt;&lt;/add-to-calendar-button&gt;</v>
      </c>
      <c r="AG67" s="25" t="s">
        <v>1532</v>
      </c>
    </row>
    <row r="68" spans="1:33" x14ac:dyDescent="0.3">
      <c r="A68" t="s">
        <v>8</v>
      </c>
      <c r="B68" t="s">
        <v>102</v>
      </c>
      <c r="C68" t="s">
        <v>1064</v>
      </c>
      <c r="D68" t="s">
        <v>269</v>
      </c>
      <c r="E68" t="s">
        <v>34</v>
      </c>
      <c r="F68" t="s">
        <v>259</v>
      </c>
      <c r="G68" s="7">
        <f ca="1">X68</f>
        <v>46102</v>
      </c>
      <c r="H68" s="5" t="s">
        <v>2901</v>
      </c>
      <c r="I68" t="s">
        <v>1028</v>
      </c>
      <c r="L68" t="s">
        <v>959</v>
      </c>
      <c r="M68" s="16" t="s">
        <v>765</v>
      </c>
      <c r="N68" s="16" t="s">
        <v>764</v>
      </c>
      <c r="O68" s="7">
        <v>45739</v>
      </c>
      <c r="P68" s="7" t="s">
        <v>2902</v>
      </c>
      <c r="Q68" s="18">
        <v>3</v>
      </c>
      <c r="R68" s="18">
        <v>4</v>
      </c>
      <c r="S68" s="18">
        <v>1</v>
      </c>
      <c r="T68" s="4">
        <f>DATE(AI$2,$Q68,1+(($R68-($S68&gt;=WEEKDAY(DATE(AI$2,$Q68,1))))*7)+($S68-WEEKDAY(DATE(AI$2,$Q68,1))))</f>
        <v>45739</v>
      </c>
      <c r="U68" s="4">
        <f>DATE(AJ$2,$Q68,1+(($R68-($S68&gt;=WEEKDAY(DATE(AJ$2,$Q68,1))))*7)+($S68-WEEKDAY(DATE(AJ$2,$Q68,1))))</f>
        <v>46103</v>
      </c>
      <c r="V68" s="20">
        <v>-1</v>
      </c>
      <c r="W68" s="20">
        <v>1</v>
      </c>
      <c r="X68" s="4">
        <f ca="1">Y68-(W68-1)</f>
        <v>46102</v>
      </c>
      <c r="Y68" s="5">
        <f ca="1">IF(OR(T68+V68&lt;(NOW()-0.5),ISNUMBER(SEARCH("&lt;h4&gt;",K68))),U68+V68,T68+V68)</f>
        <v>46102</v>
      </c>
      <c r="Z68" t="str">
        <f ca="1">CONCATENATE(IF(OR(Y68=X68,ISBLANK(Y68)),TEXT(X68,"mmmm d"),CONCATENATE(TEXT(X68,"mmmm d"),"-",IF(TEXT(X68,"mmmm")=TEXT(Y68,"mmmm"),TEXT(Y68,"d"),TEXT(Y68,"mmmm d")))),", ",YEAR(Y68))</f>
        <v>March 21, 2026</v>
      </c>
      <c r="AA68" s="7">
        <f>O68</f>
        <v>45739</v>
      </c>
      <c r="AB68" s="14">
        <f>T68+V68-(W68-1)</f>
        <v>45738</v>
      </c>
      <c r="AC68" t="s">
        <v>1237</v>
      </c>
      <c r="AD68" s="23" t="str">
        <f ca="1">CONCATENATE("&lt;add-to-calendar-button  name=",CHAR(34),H68,CHAR(34),
IF(ISBLANK(M68),"",CONCATENATE("   location=",CHAR(34),RIGHT(M68,LEN(M68)-SEARCH("|",M68)-1),CHAR(34))),
"   description=",CHAR(34),IF(ISBLANK(I68),"",CONCATENATE(I68,"; ")),"shapenotesingings.com",CHAR(34),
"   options=",CHAR(34),"'Apple','Google','iCal','Outlook.com'",CHAR(34),"   styleLight=",CHAR(34),"--btn-background: #550000; --btn-text: #fff; --btn-shadow:#fff;",CHAR(34),
IF(W68=1,CONCATENATE(
"startDate=",CHAR(34),TEXT(G68,"yyyy-mm-dd"),CHAR(34),
"{endDate=",CHAR(34),TEXT(G68,"yyyy-mm-dd"),CHAR(34),
IF(OR(ISBLANK(AE68),ISBLANK(AF68)),"",(CONCATENATE(" startTime=",CHAR(34),TEXT(AE68,"hh:mm"),CHAR(34)," endTime=",CHAR(34),TEXT(AF68,"h:mm"),CHAR(34),
" timeZone=",CHAR(34),AG68,CHAR(34))))),
IF(W68=2,CONCATENATE(" dates='[{",
CHAR(34),"startDate",CHAR(34),":",CHAR(34),TEXT(G68,"yyyy-mm-dd"),CHAR(34),", ",
,CHAR(34),"endDate",CHAR(34),":",CHAR(34),TEXT(G68,"yyyy-mm-dd"),CHAR(34),
IF(OR(ISBLANK(AE68),ISBLANK(AF68)),"",(CONCATENATE(", ",CHAR(34),"startTime",CHAR(34),":",CHAR(34),TEXT(AE68,"hh:mm"),CHAR(34),", ",CHAR(34),"endTime",CHAR(34),":",CHAR(34),TEXT(AF68,"hh:mm"),CHAR(34),", ",CHAR(34),"timeZone",CHAR(34),":",CHAR(34),AG68,CHAR(34)))),"}, {",
,CHAR(34),"startDate",CHAR(34),":",CHAR(34),TEXT(G68+1,"yyyy-mm-dd"),CHAR(34),", ",
,CHAR(34),"endDate",CHAR(34),":",CHAR(34),TEXT(G68+W68-1,"yyyy-mm-dd"),CHAR(34),
IF(OR(ISBLANK(AE68),ISBLANK(AF68)),"",(CONCATENATE(", ",CHAR(34),"startTime",CHAR(34),":",CHAR(34),TEXT(AE68,"hh:mm"),CHAR(34),", ",CHAR(34),"endTime",CHAR(34),":",CHAR(34),TEXT(AF68,"hh:mm"),CHAR(34),", ",CHAR(34),"timeZone",CHAR(34),":",CHAR(34),AG68,CHAR(34)))),"}]'"),
CONCATENATE(
"{  startDate=",CHAR(34),TEXT(G68,"yyyy-mm-dd"),CHAR(34),
"  endDate=",CHAR(34),TEXT(G68+W68-1,"yyyy-mm-dd"),CHAR(34),"}"))),
" &gt;&lt;/add-to-calendar-button&gt;")</f>
        <v>&lt;add-to-calendar-button  name="Tom Woodham, Ezzie Hartzog, &amp; Faircloth Memorial"   location="Union Hill Church, 2759 Union Hill Church Rd, Bonifay, FL 32425"   description="10am; shapenotesingings.com"   options="'Apple','Google','iCal','Outlook.com'"   styleLight="--btn-background: #550000; --btn-text: #fff; --btn-shadow:#fff;"startDate="2026-03-21"{endDate="2026-03-21" &gt;&lt;/add-to-calendar-button&gt;</v>
      </c>
      <c r="AG68" s="25" t="s">
        <v>1533</v>
      </c>
    </row>
    <row r="69" spans="1:33" x14ac:dyDescent="0.3">
      <c r="A69" t="s">
        <v>8</v>
      </c>
      <c r="B69" t="s">
        <v>17</v>
      </c>
      <c r="C69" t="s">
        <v>1140</v>
      </c>
      <c r="D69" t="s">
        <v>813</v>
      </c>
      <c r="E69" t="s">
        <v>33</v>
      </c>
      <c r="F69" t="str">
        <f ca="1">CONCATENATE(TEXT(G69,"mmm"),", Sat before First 5th Sun of year")</f>
        <v>Mar, Sat before First 5th Sun of year</v>
      </c>
      <c r="G69" s="7">
        <f ca="1">X69</f>
        <v>46109</v>
      </c>
      <c r="H69" s="5" t="s">
        <v>26</v>
      </c>
      <c r="I69" t="s">
        <v>1030</v>
      </c>
      <c r="J69" s="36" t="s">
        <v>2572</v>
      </c>
      <c r="K69" t="s">
        <v>1057</v>
      </c>
      <c r="L69" t="s">
        <v>1946</v>
      </c>
      <c r="M69" s="16" t="s">
        <v>814</v>
      </c>
      <c r="N69" s="16" t="s">
        <v>815</v>
      </c>
      <c r="O69" s="7">
        <v>45350</v>
      </c>
      <c r="P69" s="7" t="s">
        <v>1945</v>
      </c>
      <c r="Q69" s="18">
        <v>1</v>
      </c>
      <c r="T69" s="4">
        <f>AI$23</f>
        <v>45746</v>
      </c>
      <c r="U69" s="4">
        <f>AJ$23</f>
        <v>46110</v>
      </c>
      <c r="V69" s="20">
        <v>-1</v>
      </c>
      <c r="W69" s="20">
        <v>1</v>
      </c>
      <c r="X69" s="4">
        <f ca="1">Y69-(W69-1)</f>
        <v>46109</v>
      </c>
      <c r="Y69" s="5">
        <f ca="1">IF(OR(T69+V69&lt;(NOW()-0.5),ISNUMBER(SEARCH("&lt;h4&gt;",K69))),U69+V69,T69+V69)</f>
        <v>46109</v>
      </c>
      <c r="Z69" t="str">
        <f ca="1">CONCATENATE(IF(OR(Y69=X69,ISBLANK(Y69)),TEXT(X69,"mmmm d"),CONCATENATE(TEXT(X69,"mmmm d"),"-",IF(TEXT(X69,"mmmm")=TEXT(Y69,"mmmm"),TEXT(Y69,"d"),TEXT(Y69,"mmmm d")))),", ",YEAR(Y69))</f>
        <v>March 28, 2026</v>
      </c>
      <c r="AA69" s="7">
        <f>O69</f>
        <v>45350</v>
      </c>
      <c r="AB69" s="14">
        <f>T69+V69-(W69-1)</f>
        <v>45745</v>
      </c>
      <c r="AC69" t="s">
        <v>1944</v>
      </c>
      <c r="AD69" s="23" t="str">
        <f ca="1">CONCATENATE("&lt;add-to-calendar-button  name=",CHAR(34),H69,CHAR(34),
IF(ISBLANK(M69),"",CONCATENATE("   location=",CHAR(34),RIGHT(M69,LEN(M69)-SEARCH("|",M69)-1),CHAR(34))),
"   description=",CHAR(34),IF(ISBLANK(I69),"",CONCATENATE(I69,"; ")),"shapenotesingings.com",CHAR(34),
"   options=",CHAR(34),"'Apple','Google','iCal','Outlook.com'",CHAR(34),"   styleLight=",CHAR(34),"--btn-background: #550000; --btn-text: #fff; --btn-shadow:#fff;",CHAR(34),
IF(W69=1,CONCATENATE(
"startDate=",CHAR(34),TEXT(G69,"yyyy-mm-dd"),CHAR(34),
"{endDate=",CHAR(34),TEXT(G69,"yyyy-mm-dd"),CHAR(34),
IF(OR(ISBLANK(AE69),ISBLANK(AF69)),"",(CONCATENATE(" startTime=",CHAR(34),TEXT(AE69,"hh:mm"),CHAR(34)," endTime=",CHAR(34),TEXT(AF69,"h:mm"),CHAR(34),
" timeZone=",CHAR(34),AG69,CHAR(34))))),
IF(W69=2,CONCATENATE(" dates='[{",
CHAR(34),"startDate",CHAR(34),":",CHAR(34),TEXT(G69,"yyyy-mm-dd"),CHAR(34),", ",
,CHAR(34),"endDate",CHAR(34),":",CHAR(34),TEXT(G69,"yyyy-mm-dd"),CHAR(34),
IF(OR(ISBLANK(AE69),ISBLANK(AF69)),"",(CONCATENATE(", ",CHAR(34),"startTime",CHAR(34),":",CHAR(34),TEXT(AE69,"hh:mm"),CHAR(34),", ",CHAR(34),"endTime",CHAR(34),":",CHAR(34),TEXT(AF69,"hh:mm"),CHAR(34),", ",CHAR(34),"timeZone",CHAR(34),":",CHAR(34),AG69,CHAR(34)))),"}, {",
,CHAR(34),"startDate",CHAR(34),":",CHAR(34),TEXT(G69+1,"yyyy-mm-dd"),CHAR(34),", ",
,CHAR(34),"endDate",CHAR(34),":",CHAR(34),TEXT(G69+W69-1,"yyyy-mm-dd"),CHAR(34),
IF(OR(ISBLANK(AE69),ISBLANK(AF69)),"",(CONCATENATE(", ",CHAR(34),"startTime",CHAR(34),":",CHAR(34),TEXT(AE69,"hh:mm"),CHAR(34),", ",CHAR(34),"endTime",CHAR(34),":",CHAR(34),TEXT(AF69,"hh:mm"),CHAR(34),", ",CHAR(34),"timeZone",CHAR(34),":",CHAR(34),AG69,CHAR(34)))),"}]'"),
CONCATENATE(
"{  startDate=",CHAR(34),TEXT(G69,"yyyy-mm-dd"),CHAR(34),
"  endDate=",CHAR(34),TEXT(G69+W69-1,"yyyy-mm-dd"),CHAR(34),"}"))),
" &gt;&lt;/add-to-calendar-button&gt;")</f>
        <v>&lt;add-to-calendar-button  name="Georgian Harmony Singing"   location="Sweetwater Memorial Chapel, 1000 Pleasant Hill Rd, Lawrenceville, GA 30044"   description="10:00am; shapenotesingings.com"   options="'Apple','Google','iCal','Outlook.com'"   styleLight="--btn-background: #550000; --btn-text: #fff; --btn-shadow:#fff;"startDate="2026-03-28"{endDate="2026-03-28" startTime="10:00" endTime="15:00" timeZone="America/New_York" &gt;&lt;/add-to-calendar-button&gt;</v>
      </c>
      <c r="AE69" s="24">
        <v>0.41666666666666669</v>
      </c>
      <c r="AF69" s="24">
        <v>0.625</v>
      </c>
      <c r="AG69" s="25" t="s">
        <v>1532</v>
      </c>
    </row>
    <row r="70" spans="1:33" x14ac:dyDescent="0.3">
      <c r="A70" t="s">
        <v>8</v>
      </c>
      <c r="B70" t="s">
        <v>11</v>
      </c>
      <c r="C70" t="s">
        <v>1134</v>
      </c>
      <c r="D70" t="s">
        <v>1963</v>
      </c>
      <c r="E70" t="s">
        <v>2178</v>
      </c>
      <c r="F70" t="str">
        <f ca="1">CONCATENATE(TEXT(G70,"mmm"),", Sat before First 5th Sun of year")</f>
        <v>Mar, Sat before First 5th Sun of year</v>
      </c>
      <c r="G70" s="7">
        <f ca="1">X70</f>
        <v>46109</v>
      </c>
      <c r="H70" s="5" t="s">
        <v>2907</v>
      </c>
      <c r="J70" s="36" t="s">
        <v>2573</v>
      </c>
      <c r="L70" t="s">
        <v>2908</v>
      </c>
      <c r="M70" s="16" t="s">
        <v>992</v>
      </c>
      <c r="N70" s="16" t="s">
        <v>191</v>
      </c>
      <c r="O70" s="7">
        <v>44936</v>
      </c>
      <c r="P70" s="7" t="s">
        <v>926</v>
      </c>
      <c r="Q70" s="18">
        <f>MONTH(T70)</f>
        <v>3</v>
      </c>
      <c r="T70" s="4">
        <f>AI$23</f>
        <v>45746</v>
      </c>
      <c r="U70" s="4">
        <f>AJ$23</f>
        <v>46110</v>
      </c>
      <c r="V70" s="20">
        <v>-1</v>
      </c>
      <c r="W70" s="20">
        <v>1</v>
      </c>
      <c r="X70" s="4">
        <f ca="1">Y70-(W70-1)</f>
        <v>46109</v>
      </c>
      <c r="Y70" s="5">
        <f ca="1">IF(OR(T70+V70&lt;(NOW()-0.5),ISNUMBER(SEARCH("&lt;h4&gt;",K70))),U70+V70,T70+V70)</f>
        <v>46109</v>
      </c>
      <c r="Z70" t="str">
        <f ca="1">CONCATENATE(IF(OR(Y70=X70,ISBLANK(Y70)),TEXT(X70,"mmmm d"),CONCATENATE(TEXT(X70,"mmmm d"),"-",IF(TEXT(X70,"mmmm")=TEXT(Y70,"mmmm"),TEXT(Y70,"d"),TEXT(Y70,"mmmm d")))),", ",YEAR(Y70))</f>
        <v>March 28, 2026</v>
      </c>
      <c r="AA70" s="7">
        <f>O70</f>
        <v>44936</v>
      </c>
      <c r="AB70" s="14">
        <f>T70+V70-(W70-1)</f>
        <v>45745</v>
      </c>
      <c r="AC70" t="s">
        <v>1213</v>
      </c>
      <c r="AD70" s="23" t="str">
        <f ca="1">CONCATENATE("&lt;add-to-calendar-button  name=",CHAR(34),H70,CHAR(34),
IF(ISBLANK(M70),"",CONCATENATE("   location=",CHAR(34),RIGHT(M70,LEN(M70)-SEARCH("|",M70)-1),CHAR(34))),
"   description=",CHAR(34),IF(ISBLANK(I70),"",CONCATENATE(I70,"; ")),"shapenotesingings.com",CHAR(34),
"   options=",CHAR(34),"'Apple','Google','iCal','Outlook.com'",CHAR(34),"   styleLight=",CHAR(34),"--btn-background: #550000; --btn-text: #fff; --btn-shadow:#fff;",CHAR(34),
IF(W70=1,CONCATENATE(
"startDate=",CHAR(34),TEXT(G70,"yyyy-mm-dd"),CHAR(34),
"{endDate=",CHAR(34),TEXT(G70,"yyyy-mm-dd"),CHAR(34),
IF(OR(ISBLANK(AE70),ISBLANK(AF70)),"",(CONCATENATE(" startTime=",CHAR(34),TEXT(AE70,"hh:mm"),CHAR(34)," endTime=",CHAR(34),TEXT(AF70,"h:mm"),CHAR(34),
" timeZone=",CHAR(34),AG70,CHAR(34))))),
IF(W70=2,CONCATENATE(" dates='[{",
CHAR(34),"startDate",CHAR(34),":",CHAR(34),TEXT(G70,"yyyy-mm-dd"),CHAR(34),", ",
,CHAR(34),"endDate",CHAR(34),":",CHAR(34),TEXT(G70,"yyyy-mm-dd"),CHAR(34),
IF(OR(ISBLANK(AE70),ISBLANK(AF70)),"",(CONCATENATE(", ",CHAR(34),"startTime",CHAR(34),":",CHAR(34),TEXT(AE70,"hh:mm"),CHAR(34),", ",CHAR(34),"endTime",CHAR(34),":",CHAR(34),TEXT(AF70,"hh:mm"),CHAR(34),", ",CHAR(34),"timeZone",CHAR(34),":",CHAR(34),AG70,CHAR(34)))),"}, {",
,CHAR(34),"startDate",CHAR(34),":",CHAR(34),TEXT(G70+1,"yyyy-mm-dd"),CHAR(34),", ",
,CHAR(34),"endDate",CHAR(34),":",CHAR(34),TEXT(G70+W70-1,"yyyy-mm-dd"),CHAR(34),
IF(OR(ISBLANK(AE70),ISBLANK(AF70)),"",(CONCATENATE(", ",CHAR(34),"startTime",CHAR(34),":",CHAR(34),TEXT(AE70,"hh:mm"),CHAR(34),", ",CHAR(34),"endTime",CHAR(34),":",CHAR(34),TEXT(AF70,"hh:mm"),CHAR(34),", ",CHAR(34),"timeZone",CHAR(34),":",CHAR(34),AG70,CHAR(34)))),"}]'"),
CONCATENATE(
"{  startDate=",CHAR(34),TEXT(G70,"yyyy-mm-dd"),CHAR(34),
"  endDate=",CHAR(34),TEXT(G70+W70-1,"yyyy-mm-dd"),CHAR(34),"}"))),
" &gt;&lt;/add-to-calendar-button&gt;")</f>
        <v>&lt;add-to-calendar-button  name="Parker, Hollis, Putnam Memorial"   location="Liberty Primitive Baptist Church, 7828 McCormick Rd, Dora, AL 35062"   description="shapenotesingings.com"   options="'Apple','Google','iCal','Outlook.com'"   styleLight="--btn-background: #550000; --btn-text: #fff; --btn-shadow:#fff;"startDate="2026-03-28"{endDate="2026-03-28" &gt;&lt;/add-to-calendar-button&gt;</v>
      </c>
      <c r="AG70" s="25" t="s">
        <v>1533</v>
      </c>
    </row>
    <row r="71" spans="1:33" x14ac:dyDescent="0.3">
      <c r="A71" t="s">
        <v>8</v>
      </c>
      <c r="B71" t="s">
        <v>40</v>
      </c>
      <c r="C71" t="s">
        <v>1161</v>
      </c>
      <c r="D71" t="s">
        <v>104</v>
      </c>
      <c r="E71" t="s">
        <v>34</v>
      </c>
      <c r="F71" t="str">
        <f ca="1">CONCATENATE(TEXT(G71,"mmm"),", First 5th Sun of Spring and Sat before")</f>
        <v>Mar, First 5th Sun of Spring and Sat before</v>
      </c>
      <c r="G71" s="7">
        <f ca="1">X71</f>
        <v>46109</v>
      </c>
      <c r="H71" s="5" t="s">
        <v>105</v>
      </c>
      <c r="I71" t="s">
        <v>1051</v>
      </c>
      <c r="J71" s="36" t="s">
        <v>2574</v>
      </c>
      <c r="K71" t="s">
        <v>1084</v>
      </c>
      <c r="L71" t="s">
        <v>954</v>
      </c>
      <c r="M71" s="16" t="s">
        <v>1002</v>
      </c>
      <c r="N71" s="16" t="s">
        <v>137</v>
      </c>
      <c r="O71" s="7">
        <v>44978</v>
      </c>
      <c r="P71" s="7" t="s">
        <v>1176</v>
      </c>
      <c r="Q71" s="18">
        <f>MONTH(T71)</f>
        <v>3</v>
      </c>
      <c r="T71" s="4">
        <f>_xlfn.MINIFS(AI$10:AI$22,AI$10:AI$22,"&gt;"&amp;DATE(AI$2,3,1))</f>
        <v>45746</v>
      </c>
      <c r="U71" s="4">
        <f>_xlfn.MINIFS(AJ$10:AJ$22,AJ$10:AJ$22,"&gt;"&amp;DATE(AJ$2,3,1))</f>
        <v>46110</v>
      </c>
      <c r="V71" s="20">
        <v>0</v>
      </c>
      <c r="W71" s="20">
        <v>2</v>
      </c>
      <c r="X71" s="4">
        <f ca="1">Y71-(W71-1)</f>
        <v>46109</v>
      </c>
      <c r="Y71" s="5">
        <f ca="1">IF(OR(T71+V71&lt;(NOW()-0.5),ISNUMBER(SEARCH("&lt;h4&gt;",K71))),U71+V71,T71+V71)</f>
        <v>46110</v>
      </c>
      <c r="Z71" t="str">
        <f ca="1">CONCATENATE(IF(OR(Y71=X71,ISBLANK(Y71)),TEXT(X71,"mmmm d"),CONCATENATE(TEXT(X71,"mmmm d"),"-",IF(TEXT(X71,"mmmm")=TEXT(Y71,"mmmm"),TEXT(Y71,"d"),TEXT(Y71,"mmmm d")))),", ",YEAR(Y71))</f>
        <v>March 28-29, 2026</v>
      </c>
      <c r="AA71" s="7">
        <f>O71</f>
        <v>44978</v>
      </c>
      <c r="AB71" s="14">
        <f>T71+V71-(W71-1)</f>
        <v>45745</v>
      </c>
      <c r="AC71" t="s">
        <v>1258</v>
      </c>
      <c r="AD71" s="23" t="str">
        <f ca="1">CONCATENATE("&lt;add-to-calendar-button  name=",CHAR(34),H71,CHAR(34),
IF(ISBLANK(M71),"",CONCATENATE("   location=",CHAR(34),RIGHT(M71,LEN(M71)-SEARCH("|",M71)-1),CHAR(34))),
"   description=",CHAR(34),IF(ISBLANK(I71),"",CONCATENATE(I71,"; ")),"shapenotesingings.com",CHAR(34),
"   options=",CHAR(34),"'Apple','Google','iCal','Outlook.com'",CHAR(34),"   styleLight=",CHAR(34),"--btn-background: #550000; --btn-text: #fff; --btn-shadow:#fff;",CHAR(34),
IF(W71=1,CONCATENATE(
"startDate=",CHAR(34),TEXT(G71,"yyyy-mm-dd"),CHAR(34),
"{endDate=",CHAR(34),TEXT(G71,"yyyy-mm-dd"),CHAR(34),
IF(OR(ISBLANK(AE71),ISBLANK(AF71)),"",(CONCATENATE(" startTime=",CHAR(34),TEXT(AE71,"hh:mm"),CHAR(34)," endTime=",CHAR(34),TEXT(AF71,"h:mm"),CHAR(34),
" timeZone=",CHAR(34),AG71,CHAR(34))))),
IF(W71=2,CONCATENATE(" dates='[{",
CHAR(34),"startDate",CHAR(34),":",CHAR(34),TEXT(G71,"yyyy-mm-dd"),CHAR(34),", ",
,CHAR(34),"endDate",CHAR(34),":",CHAR(34),TEXT(G71,"yyyy-mm-dd"),CHAR(34),
IF(OR(ISBLANK(AE71),ISBLANK(AF71)),"",(CONCATENATE(", ",CHAR(34),"startTime",CHAR(34),":",CHAR(34),TEXT(AE71,"hh:mm"),CHAR(34),", ",CHAR(34),"endTime",CHAR(34),":",CHAR(34),TEXT(AF71,"hh:mm"),CHAR(34),", ",CHAR(34),"timeZone",CHAR(34),":",CHAR(34),AG71,CHAR(34)))),"}, {",
,CHAR(34),"startDate",CHAR(34),":",CHAR(34),TEXT(G71+1,"yyyy-mm-dd"),CHAR(34),", ",
,CHAR(34),"endDate",CHAR(34),":",CHAR(34),TEXT(G71+W71-1,"yyyy-mm-dd"),CHAR(34),
IF(OR(ISBLANK(AE71),ISBLANK(AF71)),"",(CONCATENATE(", ",CHAR(34),"startTime",CHAR(34),":",CHAR(34),TEXT(AE71,"hh:mm"),CHAR(34),", ",CHAR(34),"endTime",CHAR(34),":",CHAR(34),TEXT(AF71,"hh:mm"),CHAR(34),", ",CHAR(34),"timeZone",CHAR(34),":",CHAR(34),AG71,CHAR(34)))),"}]'"),
CONCATENATE(
"{  startDate=",CHAR(34),TEXT(G71,"yyyy-mm-dd"),CHAR(34),
"  endDate=",CHAR(34),TEXT(G71+W71-1,"yyyy-mm-dd"),CHAR(34),"}"))),
" &gt;&lt;/add-to-calendar-button&gt;")</f>
        <v>&lt;add-to-calendar-button  name="Southwest Texas Convention"   location="Bethel Primitive Baptist Church, 5544 FM713, Lockhart, TX 78644"   description="9:30am-2:30pm; shapenotesingings.com"   options="'Apple','Google','iCal','Outlook.com'"   styleLight="--btn-background: #550000; --btn-text: #fff; --btn-shadow:#fff;" dates='[{"startDate":"2026-03-28", "endDate":"2026-03-28", "startTime":"09:30", "endTime":"14:30", "timeZone":"America/Chicago"}, {"startDate":"2026-03-29", "endDate":"2026-03-29", "startTime":"09:30", "endTime":"14:30", "timeZone":"America/Chicago"}]' &gt;&lt;/add-to-calendar-button&gt;</v>
      </c>
      <c r="AE71" s="24">
        <v>0.39583333333333331</v>
      </c>
      <c r="AF71" s="24">
        <v>0.60416666666666663</v>
      </c>
      <c r="AG71" s="25" t="s">
        <v>1533</v>
      </c>
    </row>
    <row r="72" spans="1:33" x14ac:dyDescent="0.3">
      <c r="A72" t="s">
        <v>8</v>
      </c>
      <c r="B72" t="s">
        <v>102</v>
      </c>
      <c r="C72" t="s">
        <v>1064</v>
      </c>
      <c r="D72" t="s">
        <v>2521</v>
      </c>
      <c r="E72" t="s">
        <v>34</v>
      </c>
      <c r="F72" t="str">
        <f ca="1">CONCATENATE(TEXT(G72,"mmm"),", Every 5th Sunday")</f>
        <v>Mar, Every 5th Sunday</v>
      </c>
      <c r="G72" s="7">
        <f ca="1">X72</f>
        <v>46110</v>
      </c>
      <c r="H72" s="5" t="s">
        <v>103</v>
      </c>
      <c r="I72" t="s">
        <v>1030</v>
      </c>
      <c r="K72" t="s">
        <v>1031</v>
      </c>
      <c r="L72" t="s">
        <v>2234</v>
      </c>
      <c r="M72" s="16" t="s">
        <v>2519</v>
      </c>
      <c r="N72" s="16" t="s">
        <v>2520</v>
      </c>
      <c r="O72" s="7">
        <v>44936</v>
      </c>
      <c r="P72" s="7" t="s">
        <v>926</v>
      </c>
      <c r="Q72" s="18">
        <f>MONTH(T72)</f>
        <v>3</v>
      </c>
      <c r="T72" s="4">
        <f>AI$23</f>
        <v>45746</v>
      </c>
      <c r="U72" s="4">
        <f>AJ$23</f>
        <v>46110</v>
      </c>
      <c r="V72" s="20">
        <v>0</v>
      </c>
      <c r="W72" s="20">
        <v>1</v>
      </c>
      <c r="X72" s="4">
        <f ca="1">Y72-(W72-1)</f>
        <v>46110</v>
      </c>
      <c r="Y72" s="5">
        <f ca="1">IF(OR(T72+V72&lt;(NOW()-0.5),ISNUMBER(SEARCH("&lt;h4&gt;",K72))),U72+V72,T72+V72)</f>
        <v>46110</v>
      </c>
      <c r="Z72" t="str">
        <f ca="1">CONCATENATE(IF(OR(Y72=X72,ISBLANK(Y72)),TEXT(X72,"mmmm d"),CONCATENATE(TEXT(X72,"mmmm d"),"-",IF(TEXT(X72,"mmmm")=TEXT(Y72,"mmmm"),TEXT(Y72,"d"),TEXT(Y72,"mmmm d")))),", ",YEAR(Y72))</f>
        <v>March 29, 2026</v>
      </c>
      <c r="AA72" s="7">
        <f>O72</f>
        <v>44936</v>
      </c>
      <c r="AB72" s="14">
        <f>T72+V72-(W72-1)</f>
        <v>45746</v>
      </c>
      <c r="AC72" t="s">
        <v>1210</v>
      </c>
      <c r="AD72" s="23" t="str">
        <f ca="1">CONCATENATE("&lt;add-to-calendar-button  name=",CHAR(34),H72,CHAR(34),
IF(ISBLANK(M72),"",CONCATENATE("   location=",CHAR(34),RIGHT(M72,LEN(M72)-SEARCH("|",M72)-1),CHAR(34))),
"   description=",CHAR(34),IF(ISBLANK(I72),"",CONCATENATE(I72,"; ")),"shapenotesingings.com",CHAR(34),
"   options=",CHAR(34),"'Apple','Google','iCal','Outlook.com'",CHAR(34),"   styleLight=",CHAR(34),"--btn-background: #550000; --btn-text: #fff; --btn-shadow:#fff;",CHAR(34),
IF(W72=1,CONCATENATE(
"startDate=",CHAR(34),TEXT(G72,"yyyy-mm-dd"),CHAR(34),
"{endDate=",CHAR(34),TEXT(G72,"yyyy-mm-dd"),CHAR(34),
IF(OR(ISBLANK(AE72),ISBLANK(AF72)),"",(CONCATENATE(" startTime=",CHAR(34),TEXT(AE72,"hh:mm"),CHAR(34)," endTime=",CHAR(34),TEXT(AF72,"h:mm"),CHAR(34),
" timeZone=",CHAR(34),AG72,CHAR(34))))),
IF(W72=2,CONCATENATE(" dates='[{",
CHAR(34),"startDate",CHAR(34),":",CHAR(34),TEXT(G72,"yyyy-mm-dd"),CHAR(34),", ",
,CHAR(34),"endDate",CHAR(34),":",CHAR(34),TEXT(G72,"yyyy-mm-dd"),CHAR(34),
IF(OR(ISBLANK(AE72),ISBLANK(AF72)),"",(CONCATENATE(", ",CHAR(34),"startTime",CHAR(34),":",CHAR(34),TEXT(AE72,"hh:mm"),CHAR(34),", ",CHAR(34),"endTime",CHAR(34),":",CHAR(34),TEXT(AF72,"hh:mm"),CHAR(34),", ",CHAR(34),"timeZone",CHAR(34),":",CHAR(34),AG72,CHAR(34)))),"}, {",
,CHAR(34),"startDate",CHAR(34),":",CHAR(34),TEXT(G72+1,"yyyy-mm-dd"),CHAR(34),", ",
,CHAR(34),"endDate",CHAR(34),":",CHAR(34),TEXT(G72+W72-1,"yyyy-mm-dd"),CHAR(34),
IF(OR(ISBLANK(AE72),ISBLANK(AF72)),"",(CONCATENATE(", ",CHAR(34),"startTime",CHAR(34),":",CHAR(34),TEXT(AE72,"hh:mm"),CHAR(34),", ",CHAR(34),"endTime",CHAR(34),":",CHAR(34),TEXT(AF72,"hh:mm"),CHAR(34),", ",CHAR(34),"timeZone",CHAR(34),":",CHAR(34),AG72,CHAR(34)))),"}]'"),
CONCATENATE(
"{  startDate=",CHAR(34),TEXT(G72,"yyyy-mm-dd"),CHAR(34),
"  endDate=",CHAR(34),TEXT(G72+W72-1,"yyyy-mm-dd"),CHAR(34),"}"))),
" &gt;&lt;/add-to-calendar-button&gt;")</f>
        <v>&lt;add-to-calendar-button  name="Bethlehem PBC 5th Sunday Singing"   location="Bethlehem Primitive Baptist Church, 17385 Bethlehem Rd, Mulberry, FL 33547"   description="10:00am; shapenotesingings.com"   options="'Apple','Google','iCal','Outlook.com'"   styleLight="--btn-background: #550000; --btn-text: #fff; --btn-shadow:#fff;"startDate="2026-03-29"{endDate="2026-03-29" &gt;&lt;/add-to-calendar-button&gt;</v>
      </c>
      <c r="AG72" s="25" t="s">
        <v>1532</v>
      </c>
    </row>
    <row r="73" spans="1:33" x14ac:dyDescent="0.3">
      <c r="A73" t="s">
        <v>8</v>
      </c>
      <c r="B73" t="s">
        <v>11</v>
      </c>
      <c r="C73" t="s">
        <v>1134</v>
      </c>
      <c r="D73" t="s">
        <v>46</v>
      </c>
      <c r="E73" t="s">
        <v>2178</v>
      </c>
      <c r="F73" t="str">
        <f ca="1">CONCATENATE(TEXT(G73,"mmm"),", First 5th Sun of year")</f>
        <v>Mar, First 5th Sun of year</v>
      </c>
      <c r="G73" s="7">
        <f ca="1">X73</f>
        <v>46110</v>
      </c>
      <c r="H73" s="5" t="s">
        <v>101</v>
      </c>
      <c r="I73" t="s">
        <v>1040</v>
      </c>
      <c r="J73" s="36" t="s">
        <v>2575</v>
      </c>
      <c r="L73" t="s">
        <v>1729</v>
      </c>
      <c r="M73" s="16" t="s">
        <v>989</v>
      </c>
      <c r="N73" s="16" t="s">
        <v>136</v>
      </c>
      <c r="O73" s="7">
        <v>44936</v>
      </c>
      <c r="P73" s="7" t="s">
        <v>926</v>
      </c>
      <c r="Q73" s="18">
        <f>MONTH(T73)</f>
        <v>3</v>
      </c>
      <c r="T73" s="4">
        <f>AI$23</f>
        <v>45746</v>
      </c>
      <c r="U73" s="4">
        <f>AJ$23</f>
        <v>46110</v>
      </c>
      <c r="V73" s="20">
        <v>0</v>
      </c>
      <c r="W73" s="20">
        <v>1</v>
      </c>
      <c r="X73" s="4">
        <f ca="1">Y73-(W73-1)</f>
        <v>46110</v>
      </c>
      <c r="Y73" s="5">
        <f ca="1">IF(OR(T73+V73&lt;(NOW()-0.5),ISNUMBER(SEARCH("&lt;h4&gt;",K73))),U73+V73,T73+V73)</f>
        <v>46110</v>
      </c>
      <c r="Z73" t="str">
        <f ca="1">CONCATENATE(IF(OR(Y73=X73,ISBLANK(Y73)),TEXT(X73,"mmmm d"),CONCATENATE(TEXT(X73,"mmmm d"),"-",IF(TEXT(X73,"mmmm")=TEXT(Y73,"mmmm"),TEXT(Y73,"d"),TEXT(Y73,"mmmm d")))),", ",YEAR(Y73))</f>
        <v>March 29, 2026</v>
      </c>
      <c r="AA73" s="7">
        <f>O73</f>
        <v>44936</v>
      </c>
      <c r="AB73" s="14">
        <f>T73+V73-(W73-1)</f>
        <v>45746</v>
      </c>
      <c r="AC73" t="s">
        <v>1209</v>
      </c>
      <c r="AD73" s="23" t="str">
        <f ca="1">CONCATENATE("&lt;add-to-calendar-button  name=",CHAR(34),H73,CHAR(34),
IF(ISBLANK(M73),"",CONCATENATE("   location=",CHAR(34),RIGHT(M73,LEN(M73)-SEARCH("|",M73)-1),CHAR(34))),
"   description=",CHAR(34),IF(ISBLANK(I73),"",CONCATENATE(I73,"; ")),"shapenotesingings.com",CHAR(34),
"   options=",CHAR(34),"'Apple','Google','iCal','Outlook.com'",CHAR(34),"   styleLight=",CHAR(34),"--btn-background: #550000; --btn-text: #fff; --btn-shadow:#fff;",CHAR(34),
IF(W73=1,CONCATENATE(
"startDate=",CHAR(34),TEXT(G73,"yyyy-mm-dd"),CHAR(34),
"{endDate=",CHAR(34),TEXT(G73,"yyyy-mm-dd"),CHAR(34),
IF(OR(ISBLANK(AE73),ISBLANK(AF73)),"",(CONCATENATE(" startTime=",CHAR(34),TEXT(AE73,"hh:mm"),CHAR(34)," endTime=",CHAR(34),TEXT(AF73,"h:mm"),CHAR(34),
" timeZone=",CHAR(34),AG73,CHAR(34))))),
IF(W73=2,CONCATENATE(" dates='[{",
CHAR(34),"startDate",CHAR(34),":",CHAR(34),TEXT(G73,"yyyy-mm-dd"),CHAR(34),", ",
,CHAR(34),"endDate",CHAR(34),":",CHAR(34),TEXT(G73,"yyyy-mm-dd"),CHAR(34),
IF(OR(ISBLANK(AE73),ISBLANK(AF73)),"",(CONCATENATE(", ",CHAR(34),"startTime",CHAR(34),":",CHAR(34),TEXT(AE73,"hh:mm"),CHAR(34),", ",CHAR(34),"endTime",CHAR(34),":",CHAR(34),TEXT(AF73,"hh:mm"),CHAR(34),", ",CHAR(34),"timeZone",CHAR(34),":",CHAR(34),AG73,CHAR(34)))),"}, {",
,CHAR(34),"startDate",CHAR(34),":",CHAR(34),TEXT(G73+1,"yyyy-mm-dd"),CHAR(34),", ",
,CHAR(34),"endDate",CHAR(34),":",CHAR(34),TEXT(G73+W73-1,"yyyy-mm-dd"),CHAR(34),
IF(OR(ISBLANK(AE73),ISBLANK(AF73)),"",(CONCATENATE(", ",CHAR(34),"startTime",CHAR(34),":",CHAR(34),TEXT(AE73,"hh:mm"),CHAR(34),", ",CHAR(34),"endTime",CHAR(34),":",CHAR(34),TEXT(AF73,"hh:mm"),CHAR(34),", ",CHAR(34),"timeZone",CHAR(34),":",CHAR(34),AG73,CHAR(34)))),"}]'"),
CONCATENATE(
"{  startDate=",CHAR(34),TEXT(G73,"yyyy-mm-dd"),CHAR(34),
"  endDate=",CHAR(34),TEXT(G73+W73-1,"yyyy-mm-dd"),CHAR(34),"}"))),
" &gt;&lt;/add-to-calendar-button&gt;")</f>
        <v>&lt;add-to-calendar-button  name="Ivey Memorial"   location="Liberty Baptist Church, 1500 Liberty Rd, Henagar, AL 35978"   description="9:30am; shapenotesingings.com"   options="'Apple','Google','iCal','Outlook.com'"   styleLight="--btn-background: #550000; --btn-text: #fff; --btn-shadow:#fff;"startDate="2026-03-29"{endDate="2026-03-29" startTime="09:30" endTime="15:00" timeZone="America/Chicago" &gt;&lt;/add-to-calendar-button&gt;</v>
      </c>
      <c r="AE73" s="24">
        <v>0.39583333333333331</v>
      </c>
      <c r="AF73" s="24">
        <v>0.625</v>
      </c>
      <c r="AG73" s="25" t="s">
        <v>1533</v>
      </c>
    </row>
    <row r="74" spans="1:33" x14ac:dyDescent="0.3">
      <c r="A74" t="s">
        <v>8</v>
      </c>
      <c r="B74" t="s">
        <v>78</v>
      </c>
      <c r="C74" t="s">
        <v>1135</v>
      </c>
      <c r="D74" t="s">
        <v>877</v>
      </c>
      <c r="E74" t="s">
        <v>2178</v>
      </c>
      <c r="F74" t="s">
        <v>2508</v>
      </c>
      <c r="G74" s="7">
        <f ca="1">X74</f>
        <v>46123</v>
      </c>
      <c r="H74" s="5" t="s">
        <v>1810</v>
      </c>
      <c r="I74" t="s">
        <v>1048</v>
      </c>
      <c r="J74" s="36" t="s">
        <v>2645</v>
      </c>
      <c r="L74" t="s">
        <v>2509</v>
      </c>
      <c r="M74" s="16" t="s">
        <v>1811</v>
      </c>
      <c r="N74" s="16" t="s">
        <v>1812</v>
      </c>
      <c r="O74" s="7">
        <v>45665</v>
      </c>
      <c r="P74" s="7" t="s">
        <v>2510</v>
      </c>
      <c r="Q74" s="18">
        <v>4</v>
      </c>
      <c r="R74" s="18">
        <v>2</v>
      </c>
      <c r="S74" s="18">
        <v>1</v>
      </c>
      <c r="T74" s="4">
        <f>DATE(AI$2,$Q74,1+(($R74-($S74&gt;=WEEKDAY(DATE(AI$2,$Q74,1))))*7)+($S74-WEEKDAY(DATE(AI$2,$Q74,1))))</f>
        <v>45760</v>
      </c>
      <c r="U74" s="4">
        <f>DATE(AJ$2,$Q74,1+(($R74-($S74&gt;=WEEKDAY(DATE(AJ$2,$Q74,1))))*7)+($S74-WEEKDAY(DATE(AJ$2,$Q74,1))))</f>
        <v>46124</v>
      </c>
      <c r="V74" s="20">
        <v>0</v>
      </c>
      <c r="W74" s="20">
        <v>2</v>
      </c>
      <c r="X74" s="4">
        <f ca="1">Y74-(W74-1)</f>
        <v>46123</v>
      </c>
      <c r="Y74" s="5">
        <f ca="1">IF(OR(T74+V74&lt;(NOW()-0.5),ISNUMBER(SEARCH("&lt;h4&gt;",K74))),U74+V74,T74+V74)</f>
        <v>46124</v>
      </c>
      <c r="Z74" t="str">
        <f ca="1">CONCATENATE(IF(OR(Y74=X74,ISBLANK(Y74)),TEXT(X74,"mmmm d"),CONCATENATE(TEXT(X74,"mmmm d"),"-",IF(TEXT(X74,"mmmm")=TEXT(Y74,"mmmm"),TEXT(Y74,"d"),TEXT(Y74,"mmmm d")))),", ",YEAR(Y74))</f>
        <v>April 11-12, 2026</v>
      </c>
      <c r="AA74" s="7">
        <f>O74</f>
        <v>45665</v>
      </c>
      <c r="AB74" s="14">
        <f>T74+V74-(W74-1)</f>
        <v>45759</v>
      </c>
      <c r="AC74" t="s">
        <v>1813</v>
      </c>
      <c r="AD74" s="23" t="str">
        <f ca="1">CONCATENATE("&lt;add-to-calendar-button  name=",CHAR(34),H74,CHAR(34),
IF(ISBLANK(M74),"",CONCATENATE("   location=",CHAR(34),RIGHT(M74,LEN(M74)-SEARCH("|",M74)-1),CHAR(34))),
"   description=",CHAR(34),IF(ISBLANK(I74),"",CONCATENATE(I74,"; ")),"shapenotesingings.com",CHAR(34),
"   options=",CHAR(34),"'Apple','Google','iCal','Outlook.com'",CHAR(34),"   styleLight=",CHAR(34),"--btn-background: #550000; --btn-text: #fff; --btn-shadow:#fff;",CHAR(34),
IF(W74=1,CONCATENATE(
"startDate=",CHAR(34),TEXT(G74,"yyyy-mm-dd"),CHAR(34),
"{endDate=",CHAR(34),TEXT(G74,"yyyy-mm-dd"),CHAR(34),
IF(OR(ISBLANK(AE74),ISBLANK(AF74)),"",(CONCATENATE(" startTime=",CHAR(34),TEXT(AE74,"hh:mm"),CHAR(34)," endTime=",CHAR(34),TEXT(AF74,"h:mm"),CHAR(34),
" timeZone=",CHAR(34),AG74,CHAR(34))))),
IF(W74=2,CONCATENATE(" dates='[{",
CHAR(34),"startDate",CHAR(34),":",CHAR(34),TEXT(G74,"yyyy-mm-dd"),CHAR(34),", ",
,CHAR(34),"endDate",CHAR(34),":",CHAR(34),TEXT(G74,"yyyy-mm-dd"),CHAR(34),
IF(OR(ISBLANK(AE74),ISBLANK(AF74)),"",(CONCATENATE(", ",CHAR(34),"startTime",CHAR(34),":",CHAR(34),TEXT(AE74,"hh:mm"),CHAR(34),", ",CHAR(34),"endTime",CHAR(34),":",CHAR(34),TEXT(AF74,"hh:mm"),CHAR(34),", ",CHAR(34),"timeZone",CHAR(34),":",CHAR(34),AG74,CHAR(34)))),"}, {",
,CHAR(34),"startDate",CHAR(34),":",CHAR(34),TEXT(G74+1,"yyyy-mm-dd"),CHAR(34),", ",
,CHAR(34),"endDate",CHAR(34),":",CHAR(34),TEXT(G74+W74-1,"yyyy-mm-dd"),CHAR(34),
IF(OR(ISBLANK(AE74),ISBLANK(AF74)),"",(CONCATENATE(", ",CHAR(34),"startTime",CHAR(34),":",CHAR(34),TEXT(AE74,"hh:mm"),CHAR(34),", ",CHAR(34),"endTime",CHAR(34),":",CHAR(34),TEXT(AF74,"hh:mm"),CHAR(34),", ",CHAR(34),"timeZone",CHAR(34),":",CHAR(34),AG74,CHAR(34)))),"}]'"),
CONCATENATE(
"{  startDate=",CHAR(34),TEXT(G74,"yyyy-mm-dd"),CHAR(34),
"  endDate=",CHAR(34),TEXT(G74+W74-1,"yyyy-mm-dd"),CHAR(34),"}"))),
" &gt;&lt;/add-to-calendar-button&gt;")</f>
        <v>&lt;add-to-calendar-button  name="P. Dan Brittain Memorial Singing"   location="West Fork Community Center, 222 Webber St, West Fork, AR 72774"   description="9:30am-3pm; shapenotesingings.com"   options="'Apple','Google','iCal','Outlook.com'"   styleLight="--btn-background: #550000; --btn-text: #fff; --btn-shadow:#fff;" dates='[{"startDate":"2026-04-11", "endDate":"2026-04-11", "startTime":"09:30", "endTime":"15:00", "timeZone":"America/Chicago"}, {"startDate":"2026-04-12", "endDate":"2026-04-12", "startTime":"09:30", "endTime":"15:00", "timeZone":"America/Chicago"}]' &gt;&lt;/add-to-calendar-button&gt;</v>
      </c>
      <c r="AE74" s="24">
        <v>0.39583333333333331</v>
      </c>
      <c r="AF74" s="24">
        <v>0.625</v>
      </c>
      <c r="AG74" s="25" t="s">
        <v>1533</v>
      </c>
    </row>
    <row r="75" spans="1:33" x14ac:dyDescent="0.3">
      <c r="A75" t="s">
        <v>8</v>
      </c>
      <c r="B75" t="s">
        <v>11</v>
      </c>
      <c r="C75" t="s">
        <v>1134</v>
      </c>
      <c r="D75" t="s">
        <v>232</v>
      </c>
      <c r="E75" t="s">
        <v>34</v>
      </c>
      <c r="F75" t="s">
        <v>290</v>
      </c>
      <c r="G75" s="7">
        <f ca="1">X75</f>
        <v>46116</v>
      </c>
      <c r="H75" s="5" t="s">
        <v>270</v>
      </c>
      <c r="I75" t="s">
        <v>1028</v>
      </c>
      <c r="J75" s="36" t="s">
        <v>2646</v>
      </c>
      <c r="K75" t="s">
        <v>1074</v>
      </c>
      <c r="L75" t="s">
        <v>953</v>
      </c>
      <c r="M75" s="16" t="s">
        <v>998</v>
      </c>
      <c r="N75" s="16" t="s">
        <v>271</v>
      </c>
      <c r="O75" s="7">
        <v>44936</v>
      </c>
      <c r="P75" s="7" t="s">
        <v>926</v>
      </c>
      <c r="Q75" s="18">
        <v>4</v>
      </c>
      <c r="R75" s="18">
        <v>1</v>
      </c>
      <c r="S75" s="18">
        <v>1</v>
      </c>
      <c r="T75" s="4">
        <f>DATE(AI$2,$Q75,1+(($R75-($S75&gt;=WEEKDAY(DATE(AI$2,$Q75,1))))*7)+($S75-WEEKDAY(DATE(AI$2,$Q75,1))))</f>
        <v>45753</v>
      </c>
      <c r="U75" s="4">
        <f>DATE(AJ$2,$Q75,1+(($R75-($S75&gt;=WEEKDAY(DATE(AJ$2,$Q75,1))))*7)+($S75-WEEKDAY(DATE(AJ$2,$Q75,1))))</f>
        <v>46117</v>
      </c>
      <c r="V75" s="20">
        <v>-1</v>
      </c>
      <c r="W75" s="20">
        <v>1</v>
      </c>
      <c r="X75" s="4">
        <f ca="1">Y75-(W75-1)</f>
        <v>46116</v>
      </c>
      <c r="Y75" s="5">
        <f ca="1">IF(OR(T75+V75&lt;(NOW()-0.5),ISNUMBER(SEARCH("&lt;h4&gt;",K75))),U75+V75,T75+V75)</f>
        <v>46116</v>
      </c>
      <c r="Z75" t="str">
        <f ca="1">CONCATENATE(IF(OR(Y75=X75,ISBLANK(Y75)),TEXT(X75,"mmmm d"),CONCATENATE(TEXT(X75,"mmmm d"),"-",IF(TEXT(X75,"mmmm")=TEXT(Y75,"mmmm"),TEXT(Y75,"d"),TEXT(Y75,"mmmm d")))),", ",YEAR(Y75))</f>
        <v>April 4, 2026</v>
      </c>
      <c r="AA75" s="7">
        <f>O75</f>
        <v>44936</v>
      </c>
      <c r="AB75" s="14">
        <f>T75+V75-(W75-1)</f>
        <v>45752</v>
      </c>
      <c r="AC75" t="s">
        <v>1238</v>
      </c>
      <c r="AD75" s="23" t="str">
        <f ca="1">CONCATENATE("&lt;add-to-calendar-button  name=",CHAR(34),H75,CHAR(34),
IF(ISBLANK(M75),"",CONCATENATE("   location=",CHAR(34),RIGHT(M75,LEN(M75)-SEARCH("|",M75)-1),CHAR(34))),
"   description=",CHAR(34),IF(ISBLANK(I75),"",CONCATENATE(I75,"; ")),"shapenotesingings.com",CHAR(34),
"   options=",CHAR(34),"'Apple','Google','iCal','Outlook.com'",CHAR(34),"   styleLight=",CHAR(34),"--btn-background: #550000; --btn-text: #fff; --btn-shadow:#fff;",CHAR(34),
IF(W75=1,CONCATENATE(
"startDate=",CHAR(34),TEXT(G75,"yyyy-mm-dd"),CHAR(34),
"{endDate=",CHAR(34),TEXT(G75,"yyyy-mm-dd"),CHAR(34),
IF(OR(ISBLANK(AE75),ISBLANK(AF75)),"",(CONCATENATE(" startTime=",CHAR(34),TEXT(AE75,"hh:mm"),CHAR(34)," endTime=",CHAR(34),TEXT(AF75,"h:mm"),CHAR(34),
" timeZone=",CHAR(34),AG75,CHAR(34))))),
IF(W75=2,CONCATENATE(" dates='[{",
CHAR(34),"startDate",CHAR(34),":",CHAR(34),TEXT(G75,"yyyy-mm-dd"),CHAR(34),", ",
,CHAR(34),"endDate",CHAR(34),":",CHAR(34),TEXT(G75,"yyyy-mm-dd"),CHAR(34),
IF(OR(ISBLANK(AE75),ISBLANK(AF75)),"",(CONCATENATE(", ",CHAR(34),"startTime",CHAR(34),":",CHAR(34),TEXT(AE75,"hh:mm"),CHAR(34),", ",CHAR(34),"endTime",CHAR(34),":",CHAR(34),TEXT(AF75,"hh:mm"),CHAR(34),", ",CHAR(34),"timeZone",CHAR(34),":",CHAR(34),AG75,CHAR(34)))),"}, {",
,CHAR(34),"startDate",CHAR(34),":",CHAR(34),TEXT(G75+1,"yyyy-mm-dd"),CHAR(34),", ",
,CHAR(34),"endDate",CHAR(34),":",CHAR(34),TEXT(G75+W75-1,"yyyy-mm-dd"),CHAR(34),
IF(OR(ISBLANK(AE75),ISBLANK(AF75)),"",(CONCATENATE(", ",CHAR(34),"startTime",CHAR(34),":",CHAR(34),TEXT(AE75,"hh:mm"),CHAR(34),", ",CHAR(34),"endTime",CHAR(34),":",CHAR(34),TEXT(AF75,"hh:mm"),CHAR(34),", ",CHAR(34),"timeZone",CHAR(34),":",CHAR(34),AG75,CHAR(34)))),"}]'"),
CONCATENATE(
"{  startDate=",CHAR(34),TEXT(G75,"yyyy-mm-dd"),CHAR(34),
"  endDate=",CHAR(34),TEXT(G75+W75-1,"yyyy-mm-dd"),CHAR(34),"}"))),
" &gt;&lt;/add-to-calendar-button&gt;")</f>
        <v>&lt;add-to-calendar-button  name="Jones Memorial Singing"   location="Cool Springs Church, 1103 US-84, Opp, AL 36467"   description="10am; shapenotesingings.com"   options="'Apple','Google','iCal','Outlook.com'"   styleLight="--btn-background: #550000; --btn-text: #fff; --btn-shadow:#fff;"startDate="2026-04-04"{endDate="2026-04-04" startTime="10:00" endTime="15:00" timeZone="America/Chicago" &gt;&lt;/add-to-calendar-button&gt;</v>
      </c>
      <c r="AE75" s="24">
        <v>0.41666666666666669</v>
      </c>
      <c r="AF75" s="24">
        <v>0.625</v>
      </c>
      <c r="AG75" s="25" t="s">
        <v>1533</v>
      </c>
    </row>
    <row r="76" spans="1:33" x14ac:dyDescent="0.3">
      <c r="A76" t="s">
        <v>8</v>
      </c>
      <c r="B76" t="s">
        <v>291</v>
      </c>
      <c r="C76" t="s">
        <v>1163</v>
      </c>
      <c r="D76" t="s">
        <v>292</v>
      </c>
      <c r="E76" t="s">
        <v>2176</v>
      </c>
      <c r="F76" t="s">
        <v>1814</v>
      </c>
      <c r="G76" s="7">
        <f ca="1">X76</f>
        <v>46116</v>
      </c>
      <c r="H76" s="5" t="s">
        <v>288</v>
      </c>
      <c r="I76" t="s">
        <v>1548</v>
      </c>
      <c r="J76" s="36" t="s">
        <v>2647</v>
      </c>
      <c r="L76" t="s">
        <v>2816</v>
      </c>
      <c r="M76" s="16" t="s">
        <v>1948</v>
      </c>
      <c r="N76" s="16" t="s">
        <v>1949</v>
      </c>
      <c r="O76" s="7">
        <v>45362</v>
      </c>
      <c r="P76" s="7" t="s">
        <v>1989</v>
      </c>
      <c r="Q76" s="18">
        <v>4</v>
      </c>
      <c r="R76" s="18">
        <v>1</v>
      </c>
      <c r="S76" s="18">
        <v>1</v>
      </c>
      <c r="T76" s="4">
        <f>DATE(AI$2,$Q76,1+(($R76-($S76&gt;=WEEKDAY(DATE(AI$2,$Q76,1))))*7)+($S76-WEEKDAY(DATE(AI$2,$Q76,1))))</f>
        <v>45753</v>
      </c>
      <c r="U76" s="4">
        <f>DATE(AJ$2,$Q76,1+(($R76-($S76&gt;=WEEKDAY(DATE(AJ$2,$Q76,1))))*7)+($S76-WEEKDAY(DATE(AJ$2,$Q76,1))))</f>
        <v>46117</v>
      </c>
      <c r="V76" s="20">
        <v>0</v>
      </c>
      <c r="W76" s="20">
        <v>2</v>
      </c>
      <c r="X76" s="4">
        <f ca="1">Y76-(W76-1)</f>
        <v>46116</v>
      </c>
      <c r="Y76" s="5">
        <f ca="1">IF(OR(T76+V76&lt;(NOW()-0.5),ISNUMBER(SEARCH("&lt;h4&gt;",K76))),U76+V76,T76+V76)</f>
        <v>46117</v>
      </c>
      <c r="Z76" t="str">
        <f ca="1">CONCATENATE(IF(OR(Y76=X76,ISBLANK(Y76)),TEXT(X76,"mmmm d"),CONCATENATE(TEXT(X76,"mmmm d"),"-",IF(TEXT(X76,"mmmm")=TEXT(Y76,"mmmm"),TEXT(Y76,"d"),TEXT(Y76,"mmmm d")))),", ",YEAR(Y76))</f>
        <v>April 4-5, 2026</v>
      </c>
      <c r="AA76" s="7">
        <f>O76</f>
        <v>45362</v>
      </c>
      <c r="AB76" s="14">
        <f>T76+V76-(W76-1)</f>
        <v>45752</v>
      </c>
      <c r="AC76" t="s">
        <v>1510</v>
      </c>
      <c r="AD76" s="23" t="str">
        <f ca="1">CONCATENATE("&lt;add-to-calendar-button  name=",CHAR(34),H76,CHAR(34),
IF(ISBLANK(M76),"",CONCATENATE("   location=",CHAR(34),RIGHT(M76,LEN(M76)-SEARCH("|",M76)-1),CHAR(34))),
"   description=",CHAR(34),IF(ISBLANK(I76),"",CONCATENATE(I76,"; ")),"shapenotesingings.com",CHAR(34),
"   options=",CHAR(34),"'Apple','Google','iCal','Outlook.com'",CHAR(34),"   styleLight=",CHAR(34),"--btn-background: #550000; --btn-text: #fff; --btn-shadow:#fff;",CHAR(34),
IF(W76=1,CONCATENATE(
"startDate=",CHAR(34),TEXT(G76,"yyyy-mm-dd"),CHAR(34),
"{endDate=",CHAR(34),TEXT(G76,"yyyy-mm-dd"),CHAR(34),
IF(OR(ISBLANK(AE76),ISBLANK(AF76)),"",(CONCATENATE(" startTime=",CHAR(34),TEXT(AE76,"hh:mm"),CHAR(34)," endTime=",CHAR(34),TEXT(AF76,"h:mm"),CHAR(34),
" timeZone=",CHAR(34),AG76,CHAR(34))))),
IF(W76=2,CONCATENATE(" dates='[{",
CHAR(34),"startDate",CHAR(34),":",CHAR(34),TEXT(G76,"yyyy-mm-dd"),CHAR(34),", ",
,CHAR(34),"endDate",CHAR(34),":",CHAR(34),TEXT(G76,"yyyy-mm-dd"),CHAR(34),
IF(OR(ISBLANK(AE76),ISBLANK(AF76)),"",(CONCATENATE(", ",CHAR(34),"startTime",CHAR(34),":",CHAR(34),TEXT(AE76,"hh:mm"),CHAR(34),", ",CHAR(34),"endTime",CHAR(34),":",CHAR(34),TEXT(AF76,"hh:mm"),CHAR(34),", ",CHAR(34),"timeZone",CHAR(34),":",CHAR(34),AG76,CHAR(34)))),"}, {",
,CHAR(34),"startDate",CHAR(34),":",CHAR(34),TEXT(G76+1,"yyyy-mm-dd"),CHAR(34),", ",
,CHAR(34),"endDate",CHAR(34),":",CHAR(34),TEXT(G76+W76-1,"yyyy-mm-dd"),CHAR(34),
IF(OR(ISBLANK(AE76),ISBLANK(AF76)),"",(CONCATENATE(", ",CHAR(34),"startTime",CHAR(34),":",CHAR(34),TEXT(AE76,"hh:mm"),CHAR(34),", ",CHAR(34),"endTime",CHAR(34),":",CHAR(34),TEXT(AF76,"hh:mm"),CHAR(34),", ",CHAR(34),"timeZone",CHAR(34),":",CHAR(34),AG76,CHAR(34)))),"}]'"),
CONCATENATE(
"{  startDate=",CHAR(34),TEXT(G76,"yyyy-mm-dd"),CHAR(34),
"  endDate=",CHAR(34),TEXT(G76+W76-1,"yyyy-mm-dd"),CHAR(34),"}"))),
" &gt;&lt;/add-to-calendar-button&gt;")</f>
        <v>&lt;add-to-calendar-button  name="Potomac River Convention"   location="Sat: Church of the Ascension, 633 Sligo Ave, Silver Spring, MD 20910 --- Sun:Lacey Woods Park, 1200 N George Mason Dr, Arlington, VA 22205"   description="10:30am-4:00pm; shapenotesingings.com"   options="'Apple','Google','iCal','Outlook.com'"   styleLight="--btn-background: #550000; --btn-text: #fff; --btn-shadow:#fff;" dates='[{"startDate":"2026-04-04", "endDate":"2026-04-04", "startTime":"10:30", "endTime":"16:00", "timeZone":"America/New_York"}, {"startDate":"2026-04-05", "endDate":"2026-04-05", "startTime":"10:30", "endTime":"16:00", "timeZone":"America/New_York"}]' &gt;&lt;/add-to-calendar-button&gt;</v>
      </c>
      <c r="AE76" s="24">
        <v>0.4375</v>
      </c>
      <c r="AF76" s="24">
        <v>0.66666666666666663</v>
      </c>
      <c r="AG76" s="25" t="s">
        <v>1532</v>
      </c>
    </row>
    <row r="77" spans="1:33" ht="13.2" customHeight="1" x14ac:dyDescent="0.3">
      <c r="A77" t="s">
        <v>8</v>
      </c>
      <c r="B77" t="s">
        <v>17</v>
      </c>
      <c r="C77" t="s">
        <v>1140</v>
      </c>
      <c r="D77" t="s">
        <v>904</v>
      </c>
      <c r="E77" t="s">
        <v>2178</v>
      </c>
      <c r="F77" t="s">
        <v>290</v>
      </c>
      <c r="G77" s="7">
        <f ca="1">X77</f>
        <v>46116</v>
      </c>
      <c r="H77" s="5" t="s">
        <v>905</v>
      </c>
      <c r="I77" t="s">
        <v>1037</v>
      </c>
      <c r="J77" s="36" t="s">
        <v>2540</v>
      </c>
      <c r="L77" t="s">
        <v>2914</v>
      </c>
      <c r="M77" s="16" t="s">
        <v>2916</v>
      </c>
      <c r="N77" s="16" t="s">
        <v>2917</v>
      </c>
      <c r="O77" s="7">
        <v>45748</v>
      </c>
      <c r="P77" s="7" t="s">
        <v>2915</v>
      </c>
      <c r="Q77" s="18">
        <v>4</v>
      </c>
      <c r="R77" s="18">
        <v>1</v>
      </c>
      <c r="S77" s="18">
        <v>1</v>
      </c>
      <c r="T77" s="4">
        <f>DATE(AI$2,$Q77,1+(($R77-($S77&gt;=WEEKDAY(DATE(AI$2,$Q77,1))))*7)+($S77-WEEKDAY(DATE(AI$2,$Q77,1))))</f>
        <v>45753</v>
      </c>
      <c r="U77" s="4">
        <f>DATE(AJ$2,$Q77,1+(($R77-($S77&gt;=WEEKDAY(DATE(AJ$2,$Q77,1))))*7)+($S77-WEEKDAY(DATE(AJ$2,$Q77,1))))</f>
        <v>46117</v>
      </c>
      <c r="V77" s="20">
        <v>-1</v>
      </c>
      <c r="W77" s="20">
        <v>1</v>
      </c>
      <c r="X77" s="4">
        <f ca="1">Y77-(W77-1)</f>
        <v>46116</v>
      </c>
      <c r="Y77" s="5">
        <f ca="1">IF(OR(T77+V77&lt;(NOW()-0.5),ISNUMBER(SEARCH("&lt;h4&gt;",K77))),U77+V77,T77+V77)</f>
        <v>46116</v>
      </c>
      <c r="Z77" t="str">
        <f ca="1">CONCATENATE(IF(OR(Y77=X77,ISBLANK(Y77)),TEXT(X77,"mmmm d"),CONCATENATE(TEXT(X77,"mmmm d"),"-",IF(TEXT(X77,"mmmm")=TEXT(Y77,"mmmm"),TEXT(Y77,"d"),TEXT(Y77,"mmmm d")))),", ",YEAR(Y77))</f>
        <v>April 4, 2026</v>
      </c>
      <c r="AA77" s="7">
        <f>O77</f>
        <v>45748</v>
      </c>
      <c r="AB77" s="14">
        <f>T77+V77-(W77-1)</f>
        <v>45752</v>
      </c>
      <c r="AC77" t="s">
        <v>2918</v>
      </c>
      <c r="AD77" s="23" t="str">
        <f ca="1">CONCATENATE("&lt;add-to-calendar-button  name=",CHAR(34),H77,CHAR(34),
IF(ISBLANK(M77),"",CONCATENATE("   location=",CHAR(34),RIGHT(M77,LEN(M77)-SEARCH("|",M77)-1),CHAR(34))),
"   description=",CHAR(34),IF(ISBLANK(I77),"",CONCATENATE(I77,"; ")),"shapenotesingings.com",CHAR(34),
"   options=",CHAR(34),"'Apple','Google','iCal','Outlook.com'",CHAR(34),"   styleLight=",CHAR(34),"--btn-background: #550000; --btn-text: #fff; --btn-shadow:#fff;",CHAR(34),
IF(W77=1,CONCATENATE(
"startDate=",CHAR(34),TEXT(G77,"yyyy-mm-dd"),CHAR(34),
"{endDate=",CHAR(34),TEXT(G77,"yyyy-mm-dd"),CHAR(34),
IF(OR(ISBLANK(AE77),ISBLANK(AF77)),"",(CONCATENATE(" startTime=",CHAR(34),TEXT(AE77,"hh:mm"),CHAR(34)," endTime=",CHAR(34),TEXT(AF77,"h:mm"),CHAR(34),
" timeZone=",CHAR(34),AG77,CHAR(34))))),
IF(W77=2,CONCATENATE(" dates='[{",
CHAR(34),"startDate",CHAR(34),":",CHAR(34),TEXT(G77,"yyyy-mm-dd"),CHAR(34),", ",
,CHAR(34),"endDate",CHAR(34),":",CHAR(34),TEXT(G77,"yyyy-mm-dd"),CHAR(34),
IF(OR(ISBLANK(AE77),ISBLANK(AF77)),"",(CONCATENATE(", ",CHAR(34),"startTime",CHAR(34),":",CHAR(34),TEXT(AE77,"hh:mm"),CHAR(34),", ",CHAR(34),"endTime",CHAR(34),":",CHAR(34),TEXT(AF77,"hh:mm"),CHAR(34),", ",CHAR(34),"timeZone",CHAR(34),":",CHAR(34),AG77,CHAR(34)))),"}, {",
,CHAR(34),"startDate",CHAR(34),":",CHAR(34),TEXT(G77+1,"yyyy-mm-dd"),CHAR(34),", ",
,CHAR(34),"endDate",CHAR(34),":",CHAR(34),TEXT(G77+W77-1,"yyyy-mm-dd"),CHAR(34),
IF(OR(ISBLANK(AE77),ISBLANK(AF77)),"",(CONCATENATE(", ",CHAR(34),"startTime",CHAR(34),":",CHAR(34),TEXT(AE77,"hh:mm"),CHAR(34),", ",CHAR(34),"endTime",CHAR(34),":",CHAR(34),TEXT(AF77,"hh:mm"),CHAR(34),", ",CHAR(34),"timeZone",CHAR(34),":",CHAR(34),AG77,CHAR(34)))),"}]'"),
CONCATENATE(
"{  startDate=",CHAR(34),TEXT(G77,"yyyy-mm-dd"),CHAR(34),
"  endDate=",CHAR(34),TEXT(G77+W77-1,"yyyy-mm-dd"),CHAR(34),"}"))),
" &gt;&lt;/add-to-calendar-button&gt;")</f>
        <v>&lt;add-to-calendar-button  name="Dahlonega All-Day Singing"   location="Dahlonega Funeral Home, 20 Gibson Rd, Dahlonega, GA 30533"   description="10am-3pm; shapenotesingings.com"   options="'Apple','Google','iCal','Outlook.com'"   styleLight="--btn-background: #550000; --btn-text: #fff; --btn-shadow:#fff;"startDate="2026-04-04"{endDate="2026-04-04" startTime="10:00" endTime="15:00" timeZone="America/New_York" &gt;&lt;/add-to-calendar-button&gt;</v>
      </c>
      <c r="AE77" s="24">
        <v>0.41666666666666669</v>
      </c>
      <c r="AF77" s="24">
        <v>0.625</v>
      </c>
      <c r="AG77" s="25" t="s">
        <v>1532</v>
      </c>
    </row>
    <row r="78" spans="1:33" x14ac:dyDescent="0.3">
      <c r="A78" t="s">
        <v>8</v>
      </c>
      <c r="B78" t="s">
        <v>273</v>
      </c>
      <c r="C78" t="s">
        <v>1160</v>
      </c>
      <c r="D78" t="s">
        <v>274</v>
      </c>
      <c r="E78" t="s">
        <v>2178</v>
      </c>
      <c r="F78" t="s">
        <v>290</v>
      </c>
      <c r="G78" s="7">
        <f ca="1">X78</f>
        <v>46116</v>
      </c>
      <c r="H78" s="5" t="s">
        <v>272</v>
      </c>
      <c r="I78" t="s">
        <v>1040</v>
      </c>
      <c r="J78" s="36" t="s">
        <v>2648</v>
      </c>
      <c r="K78" t="s">
        <v>1073</v>
      </c>
      <c r="L78" t="s">
        <v>1973</v>
      </c>
      <c r="M78" s="16" t="s">
        <v>275</v>
      </c>
      <c r="N78" s="16" t="s">
        <v>276</v>
      </c>
      <c r="O78" s="7">
        <v>44936</v>
      </c>
      <c r="P78" s="7" t="s">
        <v>926</v>
      </c>
      <c r="Q78" s="18">
        <v>4</v>
      </c>
      <c r="R78" s="18">
        <v>1</v>
      </c>
      <c r="S78" s="18">
        <v>1</v>
      </c>
      <c r="T78" s="4">
        <f>DATE(AI$2,$Q78,1+(($R78-($S78&gt;=WEEKDAY(DATE(AI$2,$Q78,1))))*7)+($S78-WEEKDAY(DATE(AI$2,$Q78,1))))</f>
        <v>45753</v>
      </c>
      <c r="U78" s="4">
        <f>DATE(AJ$2,$Q78,1+(($R78-($S78&gt;=WEEKDAY(DATE(AJ$2,$Q78,1))))*7)+($S78-WEEKDAY(DATE(AJ$2,$Q78,1))))</f>
        <v>46117</v>
      </c>
      <c r="V78" s="20">
        <v>-1</v>
      </c>
      <c r="W78" s="20">
        <v>1</v>
      </c>
      <c r="X78" s="4">
        <f ca="1">Y78-(W78-1)</f>
        <v>46116</v>
      </c>
      <c r="Y78" s="5">
        <f ca="1">IF(OR(T78+V78&lt;(NOW()-0.5),ISNUMBER(SEARCH("&lt;h4&gt;",K78))),U78+V78,T78+V78)</f>
        <v>46116</v>
      </c>
      <c r="Z78" t="str">
        <f ca="1">CONCATENATE(IF(OR(Y78=X78,ISBLANK(Y78)),TEXT(X78,"mmmm d"),CONCATENATE(TEXT(X78,"mmmm d"),"-",IF(TEXT(X78,"mmmm")=TEXT(Y78,"mmmm"),TEXT(Y78,"d"),TEXT(Y78,"mmmm d")))),", ",YEAR(Y78))</f>
        <v>April 4, 2026</v>
      </c>
      <c r="AA78" s="7">
        <f>O78</f>
        <v>44936</v>
      </c>
      <c r="AB78" s="14">
        <f>T78+V78-(W78-1)</f>
        <v>45752</v>
      </c>
      <c r="AC78" t="s">
        <v>1240</v>
      </c>
      <c r="AD78" s="23" t="str">
        <f ca="1">CONCATENATE("&lt;add-to-calendar-button  name=",CHAR(34),H78,CHAR(34),
IF(ISBLANK(M78),"",CONCATENATE("   location=",CHAR(34),RIGHT(M78,LEN(M78)-SEARCH("|",M78)-1),CHAR(34))),
"   description=",CHAR(34),IF(ISBLANK(I78),"",CONCATENATE(I78,"; ")),"shapenotesingings.com",CHAR(34),
"   options=",CHAR(34),"'Apple','Google','iCal','Outlook.com'",CHAR(34),"   styleLight=",CHAR(34),"--btn-background: #550000; --btn-text: #fff; --btn-shadow:#fff;",CHAR(34),
IF(W78=1,CONCATENATE(
"startDate=",CHAR(34),TEXT(G78,"yyyy-mm-dd"),CHAR(34),
"{endDate=",CHAR(34),TEXT(G78,"yyyy-mm-dd"),CHAR(34),
IF(OR(ISBLANK(AE78),ISBLANK(AF78)),"",(CONCATENATE(" startTime=",CHAR(34),TEXT(AE78,"hh:mm"),CHAR(34)," endTime=",CHAR(34),TEXT(AF78,"h:mm"),CHAR(34),
" timeZone=",CHAR(34),AG78,CHAR(34))))),
IF(W78=2,CONCATENATE(" dates='[{",
CHAR(34),"startDate",CHAR(34),":",CHAR(34),TEXT(G78,"yyyy-mm-dd"),CHAR(34),", ",
,CHAR(34),"endDate",CHAR(34),":",CHAR(34),TEXT(G78,"yyyy-mm-dd"),CHAR(34),
IF(OR(ISBLANK(AE78),ISBLANK(AF78)),"",(CONCATENATE(", ",CHAR(34),"startTime",CHAR(34),":",CHAR(34),TEXT(AE78,"hh:mm"),CHAR(34),", ",CHAR(34),"endTime",CHAR(34),":",CHAR(34),TEXT(AF78,"hh:mm"),CHAR(34),", ",CHAR(34),"timeZone",CHAR(34),":",CHAR(34),AG78,CHAR(34)))),"}, {",
,CHAR(34),"startDate",CHAR(34),":",CHAR(34),TEXT(G78+1,"yyyy-mm-dd"),CHAR(34),", ",
,CHAR(34),"endDate",CHAR(34),":",CHAR(34),TEXT(G78+W78-1,"yyyy-mm-dd"),CHAR(34),
IF(OR(ISBLANK(AE78),ISBLANK(AF78)),"",(CONCATENATE(", ",CHAR(34),"startTime",CHAR(34),":",CHAR(34),TEXT(AE78,"hh:mm"),CHAR(34),", ",CHAR(34),"endTime",CHAR(34),":",CHAR(34),TEXT(AF78,"hh:mm"),CHAR(34),", ",CHAR(34),"timeZone",CHAR(34),":",CHAR(34),AG78,CHAR(34)))),"}]'"),
CONCATENATE(
"{  startDate=",CHAR(34),TEXT(G78,"yyyy-mm-dd"),CHAR(34),
"  endDate=",CHAR(34),TEXT(G78+W78-1,"yyyy-mm-dd"),CHAR(34),"}"))),
" &gt;&lt;/add-to-calendar-button&gt;")</f>
        <v>&lt;add-to-calendar-button  name="Harpeth Valley-Priestley Miller Memorial"   location="Radnor Primitive Baptist Church, 503 Brewer Drive, Nashville "   description="9:30am; shapenotesingings.com"   options="'Apple','Google','iCal','Outlook.com'"   styleLight="--btn-background: #550000; --btn-text: #fff; --btn-shadow:#fff;"startDate="2026-04-04"{endDate="2026-04-04" startTime="09:30" endTime="14:30" timeZone="America/Chicago" &gt;&lt;/add-to-calendar-button&gt;</v>
      </c>
      <c r="AE78" s="24">
        <v>0.39583333333333331</v>
      </c>
      <c r="AF78" s="24">
        <v>0.60416666666666663</v>
      </c>
      <c r="AG78" s="25" t="s">
        <v>1533</v>
      </c>
    </row>
    <row r="79" spans="1:33" x14ac:dyDescent="0.3">
      <c r="A79" t="s">
        <v>8</v>
      </c>
      <c r="B79" t="s">
        <v>277</v>
      </c>
      <c r="C79" t="s">
        <v>1141</v>
      </c>
      <c r="D79" t="s">
        <v>278</v>
      </c>
      <c r="E79" t="s">
        <v>2178</v>
      </c>
      <c r="F79" t="s">
        <v>290</v>
      </c>
      <c r="G79" s="7">
        <f ca="1">X79</f>
        <v>46116</v>
      </c>
      <c r="H79" s="5" t="s">
        <v>2462</v>
      </c>
      <c r="I79" t="s">
        <v>2461</v>
      </c>
      <c r="J79" s="36" t="s">
        <v>2649</v>
      </c>
      <c r="L79" t="s">
        <v>2458</v>
      </c>
      <c r="M79" s="16" t="s">
        <v>2459</v>
      </c>
      <c r="N79" s="16" t="s">
        <v>2460</v>
      </c>
      <c r="O79" s="7">
        <v>45656</v>
      </c>
      <c r="P79" s="7" t="s">
        <v>2650</v>
      </c>
      <c r="Q79" s="18">
        <v>4</v>
      </c>
      <c r="R79" s="18">
        <v>1</v>
      </c>
      <c r="S79" s="18">
        <v>1</v>
      </c>
      <c r="T79" s="4">
        <f>DATE(AI$2,$Q79,1+(($R79-($S79&gt;=WEEKDAY(DATE(AI$2,$Q79,1))))*7)+($S79-WEEKDAY(DATE(AI$2,$Q79,1))))</f>
        <v>45753</v>
      </c>
      <c r="U79" s="4">
        <f>DATE(AJ$2,$Q79,1+(($R79-($S79&gt;=WEEKDAY(DATE(AJ$2,$Q79,1))))*7)+($S79-WEEKDAY(DATE(AJ$2,$Q79,1))))</f>
        <v>46117</v>
      </c>
      <c r="V79" s="20">
        <v>-1</v>
      </c>
      <c r="W79" s="20">
        <v>1</v>
      </c>
      <c r="X79" s="4">
        <f ca="1">Y79-(W79-1)</f>
        <v>46116</v>
      </c>
      <c r="Y79" s="5">
        <f ca="1">IF(OR(T79+V79&lt;(NOW()-0.5),ISNUMBER(SEARCH("&lt;h4&gt;",K79))),U79+V79,T79+V79)</f>
        <v>46116</v>
      </c>
      <c r="Z79" t="str">
        <f ca="1">CONCATENATE(IF(OR(Y79=X79,ISBLANK(Y79)),TEXT(X79,"mmmm d"),CONCATENATE(TEXT(X79,"mmmm d"),"-",IF(TEXT(X79,"mmmm")=TEXT(Y79,"mmmm"),TEXT(Y79,"d"),TEXT(Y79,"mmmm d")))),", ",YEAR(Y79))</f>
        <v>April 4, 2026</v>
      </c>
      <c r="AA79" s="7">
        <f>O79</f>
        <v>45656</v>
      </c>
      <c r="AB79" s="14">
        <f>T79+V79-(W79-1)</f>
        <v>45752</v>
      </c>
      <c r="AC79" t="s">
        <v>2463</v>
      </c>
      <c r="AD79" s="23" t="str">
        <f ca="1">CONCATENATE("&lt;add-to-calendar-button  name=",CHAR(34),H79,CHAR(34),
IF(ISBLANK(M79),"",CONCATENATE("   location=",CHAR(34),RIGHT(M79,LEN(M79)-SEARCH("|",M79)-1),CHAR(34))),
"   description=",CHAR(34),IF(ISBLANK(I79),"",CONCATENATE(I79,"; ")),"shapenotesingings.com",CHAR(34),
"   options=",CHAR(34),"'Apple','Google','iCal','Outlook.com'",CHAR(34),"   styleLight=",CHAR(34),"--btn-background: #550000; --btn-text: #fff; --btn-shadow:#fff;",CHAR(34),
IF(W79=1,CONCATENATE(
"startDate=",CHAR(34),TEXT(G79,"yyyy-mm-dd"),CHAR(34),
"{endDate=",CHAR(34),TEXT(G79,"yyyy-mm-dd"),CHAR(34),
IF(OR(ISBLANK(AE79),ISBLANK(AF79)),"",(CONCATENATE(" startTime=",CHAR(34),TEXT(AE79,"hh:mm"),CHAR(34)," endTime=",CHAR(34),TEXT(AF79,"h:mm"),CHAR(34),
" timeZone=",CHAR(34),AG79,CHAR(34))))),
IF(W79=2,CONCATENATE(" dates='[{",
CHAR(34),"startDate",CHAR(34),":",CHAR(34),TEXT(G79,"yyyy-mm-dd"),CHAR(34),", ",
,CHAR(34),"endDate",CHAR(34),":",CHAR(34),TEXT(G79,"yyyy-mm-dd"),CHAR(34),
IF(OR(ISBLANK(AE79),ISBLANK(AF79)),"",(CONCATENATE(", ",CHAR(34),"startTime",CHAR(34),":",CHAR(34),TEXT(AE79,"hh:mm"),CHAR(34),", ",CHAR(34),"endTime",CHAR(34),":",CHAR(34),TEXT(AF79,"hh:mm"),CHAR(34),", ",CHAR(34),"timeZone",CHAR(34),":",CHAR(34),AG79,CHAR(34)))),"}, {",
,CHAR(34),"startDate",CHAR(34),":",CHAR(34),TEXT(G79+1,"yyyy-mm-dd"),CHAR(34),", ",
,CHAR(34),"endDate",CHAR(34),":",CHAR(34),TEXT(G79+W79-1,"yyyy-mm-dd"),CHAR(34),
IF(OR(ISBLANK(AE79),ISBLANK(AF79)),"",(CONCATENATE(", ",CHAR(34),"startTime",CHAR(34),":",CHAR(34),TEXT(AE79,"hh:mm"),CHAR(34),", ",CHAR(34),"endTime",CHAR(34),":",CHAR(34),TEXT(AF79,"hh:mm"),CHAR(34),", ",CHAR(34),"timeZone",CHAR(34),":",CHAR(34),AG79,CHAR(34)))),"}]'"),
CONCATENATE(
"{  startDate=",CHAR(34),TEXT(G79,"yyyy-mm-dd"),CHAR(34),
"  endDate=",CHAR(34),TEXT(G79+W79-1,"yyyy-mm-dd"),CHAR(34),"}"))),
" &gt;&lt;/add-to-calendar-button&gt;")</f>
        <v>&lt;add-to-calendar-button  name="Iowa All-Day Annual Singing"   location="Plymouth Congregational Church, 4126 Ingersoll Ave, Des Moines, IA 50312"   description="9am-3:30pm; shapenotesingings.com"   options="'Apple','Google','iCal','Outlook.com'"   styleLight="--btn-background: #550000; --btn-text: #fff; --btn-shadow:#fff;"startDate="2026-04-04"{endDate="2026-04-04" startTime="09:00" endTime="15:30" timeZone="America/Chicago" &gt;&lt;/add-to-calendar-button&gt;</v>
      </c>
      <c r="AE79" s="24">
        <v>0.375</v>
      </c>
      <c r="AF79" s="24">
        <v>0.64583333333333337</v>
      </c>
      <c r="AG79" s="25" t="s">
        <v>1533</v>
      </c>
    </row>
    <row r="80" spans="1:33" x14ac:dyDescent="0.3">
      <c r="A80" t="s">
        <v>8</v>
      </c>
      <c r="B80" t="s">
        <v>102</v>
      </c>
      <c r="C80" t="s">
        <v>1064</v>
      </c>
      <c r="D80" t="s">
        <v>284</v>
      </c>
      <c r="E80" t="s">
        <v>2178</v>
      </c>
      <c r="F80" t="s">
        <v>290</v>
      </c>
      <c r="G80" s="7">
        <f ca="1">X80</f>
        <v>46116</v>
      </c>
      <c r="H80" s="5" t="s">
        <v>283</v>
      </c>
      <c r="I80" t="s">
        <v>1956</v>
      </c>
      <c r="J80" s="36" t="s">
        <v>2651</v>
      </c>
      <c r="L80" t="s">
        <v>1990</v>
      </c>
      <c r="M80" s="16" t="s">
        <v>285</v>
      </c>
      <c r="N80" s="16" t="s">
        <v>286</v>
      </c>
      <c r="O80" s="7">
        <v>44936</v>
      </c>
      <c r="P80" s="7" t="s">
        <v>926</v>
      </c>
      <c r="Q80" s="18">
        <v>4</v>
      </c>
      <c r="R80" s="18">
        <v>1</v>
      </c>
      <c r="S80" s="18">
        <v>1</v>
      </c>
      <c r="T80" s="4">
        <f>DATE(AI$2,$Q80,1+(($R80-($S80&gt;=WEEKDAY(DATE(AI$2,$Q80,1))))*7)+($S80-WEEKDAY(DATE(AI$2,$Q80,1))))</f>
        <v>45753</v>
      </c>
      <c r="U80" s="4">
        <f>DATE(AJ$2,$Q80,1+(($R80-($S80&gt;=WEEKDAY(DATE(AJ$2,$Q80,1))))*7)+($S80-WEEKDAY(DATE(AJ$2,$Q80,1))))</f>
        <v>46117</v>
      </c>
      <c r="V80" s="20">
        <v>-1</v>
      </c>
      <c r="W80" s="20">
        <v>1</v>
      </c>
      <c r="X80" s="4">
        <f ca="1">Y80-(W80-1)</f>
        <v>46116</v>
      </c>
      <c r="Y80" s="5">
        <f ca="1">IF(OR(T80+V80&lt;(NOW()-0.5),ISNUMBER(SEARCH("&lt;h4&gt;",K80))),U80+V80,T80+V80)</f>
        <v>46116</v>
      </c>
      <c r="Z80" t="str">
        <f ca="1">CONCATENATE(IF(OR(Y80=X80,ISBLANK(Y80)),TEXT(X80,"mmmm d"),CONCATENATE(TEXT(X80,"mmmm d"),"-",IF(TEXT(X80,"mmmm")=TEXT(Y80,"mmmm"),TEXT(Y80,"d"),TEXT(Y80,"mmmm d")))),", ",YEAR(Y80))</f>
        <v>April 4, 2026</v>
      </c>
      <c r="AA80" s="7">
        <f>O80</f>
        <v>44936</v>
      </c>
      <c r="AB80" s="14">
        <f>T80+V80-(W80-1)</f>
        <v>45752</v>
      </c>
      <c r="AC80" t="s">
        <v>1239</v>
      </c>
      <c r="AD80" s="23" t="str">
        <f ca="1">CONCATENATE("&lt;add-to-calendar-button  name=",CHAR(34),H80,CHAR(34),
IF(ISBLANK(M80),"",CONCATENATE("   location=",CHAR(34),RIGHT(M80,LEN(M80)-SEARCH("|",M80)-1),CHAR(34))),
"   description=",CHAR(34),IF(ISBLANK(I80),"",CONCATENATE(I80,"; ")),"shapenotesingings.com",CHAR(34),
"   options=",CHAR(34),"'Apple','Google','iCal','Outlook.com'",CHAR(34),"   styleLight=",CHAR(34),"--btn-background: #550000; --btn-text: #fff; --btn-shadow:#fff;",CHAR(34),
IF(W80=1,CONCATENATE(
"startDate=",CHAR(34),TEXT(G80,"yyyy-mm-dd"),CHAR(34),
"{endDate=",CHAR(34),TEXT(G80,"yyyy-mm-dd"),CHAR(34),
IF(OR(ISBLANK(AE80),ISBLANK(AF80)),"",(CONCATENATE(" startTime=",CHAR(34),TEXT(AE80,"hh:mm"),CHAR(34)," endTime=",CHAR(34),TEXT(AF80,"h:mm"),CHAR(34),
" timeZone=",CHAR(34),AG80,CHAR(34))))),
IF(W80=2,CONCATENATE(" dates='[{",
CHAR(34),"startDate",CHAR(34),":",CHAR(34),TEXT(G80,"yyyy-mm-dd"),CHAR(34),", ",
,CHAR(34),"endDate",CHAR(34),":",CHAR(34),TEXT(G80,"yyyy-mm-dd"),CHAR(34),
IF(OR(ISBLANK(AE80),ISBLANK(AF80)),"",(CONCATENATE(", ",CHAR(34),"startTime",CHAR(34),":",CHAR(34),TEXT(AE80,"hh:mm"),CHAR(34),", ",CHAR(34),"endTime",CHAR(34),":",CHAR(34),TEXT(AF80,"hh:mm"),CHAR(34),", ",CHAR(34),"timeZone",CHAR(34),":",CHAR(34),AG80,CHAR(34)))),"}, {",
,CHAR(34),"startDate",CHAR(34),":",CHAR(34),TEXT(G80+1,"yyyy-mm-dd"),CHAR(34),", ",
,CHAR(34),"endDate",CHAR(34),":",CHAR(34),TEXT(G80+W80-1,"yyyy-mm-dd"),CHAR(34),
IF(OR(ISBLANK(AE80),ISBLANK(AF80)),"",(CONCATENATE(", ",CHAR(34),"startTime",CHAR(34),":",CHAR(34),TEXT(AE80,"hh:mm"),CHAR(34),", ",CHAR(34),"endTime",CHAR(34),":",CHAR(34),TEXT(AF80,"hh:mm"),CHAR(34),", ",CHAR(34),"timeZone",CHAR(34),":",CHAR(34),AG80,CHAR(34)))),"}]'"),
CONCATENATE(
"{  startDate=",CHAR(34),TEXT(G80,"yyyy-mm-dd"),CHAR(34),
"  endDate=",CHAR(34),TEXT(G80+W80-1,"yyyy-mm-dd"),CHAR(34),"}"))),
" &gt;&lt;/add-to-calendar-button&gt;")</f>
        <v>&lt;add-to-calendar-button  name="Sweetwater All-Day Singing"   location="Church of the Mediator, 401 NE Cholokka Blvd., Micanopy, Florida"   description="9am-2:30pm; shapenotesingings.com"   options="'Apple','Google','iCal','Outlook.com'"   styleLight="--btn-background: #550000; --btn-text: #fff; --btn-shadow:#fff;"startDate="2026-04-04"{endDate="2026-04-04" startTime="09:00" endTime="14:30" timeZone="America/New_York" &gt;&lt;/add-to-calendar-button&gt;</v>
      </c>
      <c r="AE80" s="24">
        <v>0.375</v>
      </c>
      <c r="AF80" s="24">
        <v>0.60416666666666663</v>
      </c>
      <c r="AG80" s="25" t="s">
        <v>1532</v>
      </c>
    </row>
    <row r="81" spans="1:33" x14ac:dyDescent="0.3">
      <c r="A81" t="s">
        <v>144</v>
      </c>
      <c r="B81" t="s">
        <v>144</v>
      </c>
      <c r="C81" t="s">
        <v>1162</v>
      </c>
      <c r="D81" t="s">
        <v>279</v>
      </c>
      <c r="E81" t="s">
        <v>2178</v>
      </c>
      <c r="F81" t="s">
        <v>290</v>
      </c>
      <c r="G81" s="7">
        <f ca="1">X81</f>
        <v>46116</v>
      </c>
      <c r="H81" s="5" t="s">
        <v>282</v>
      </c>
      <c r="J81" s="36" t="s">
        <v>2652</v>
      </c>
      <c r="L81" t="s">
        <v>2478</v>
      </c>
      <c r="M81" s="16" t="s">
        <v>280</v>
      </c>
      <c r="N81" s="16" t="s">
        <v>281</v>
      </c>
      <c r="O81" s="7">
        <v>44927</v>
      </c>
      <c r="P81" s="7" t="s">
        <v>938</v>
      </c>
      <c r="Q81" s="18">
        <v>4</v>
      </c>
      <c r="R81" s="18">
        <v>1</v>
      </c>
      <c r="S81" s="18">
        <v>1</v>
      </c>
      <c r="T81" s="4">
        <f>DATE(AI$2,$Q81,1+(($R81-($S81&gt;=WEEKDAY(DATE(AI$2,$Q81,1))))*7)+($S81-WEEKDAY(DATE(AI$2,$Q81,1))))</f>
        <v>45753</v>
      </c>
      <c r="U81" s="4">
        <f>DATE(AJ$2,$Q81,1+(($R81-($S81&gt;=WEEKDAY(DATE(AJ$2,$Q81,1))))*7)+($S81-WEEKDAY(DATE(AJ$2,$Q81,1))))</f>
        <v>46117</v>
      </c>
      <c r="V81" s="20">
        <v>-1</v>
      </c>
      <c r="W81" s="20">
        <v>1</v>
      </c>
      <c r="X81" s="4">
        <f ca="1">Y81-(W81-1)</f>
        <v>46116</v>
      </c>
      <c r="Y81" s="5">
        <f ca="1">IF(OR(T81+V81&lt;(NOW()-0.5),ISNUMBER(SEARCH("&lt;h4&gt;",K81))),U81+V81,T81+V81)</f>
        <v>46116</v>
      </c>
      <c r="Z81" t="str">
        <f ca="1">CONCATENATE(IF(OR(Y81=X81,ISBLANK(Y81)),TEXT(X81,"mmmm d"),CONCATENATE(TEXT(X81,"mmmm d"),"-",IF(TEXT(X81,"mmmm")=TEXT(Y81,"mmmm"),TEXT(Y81,"d"),TEXT(Y81,"mmmm d")))),", ",YEAR(Y81))</f>
        <v>April 4, 2026</v>
      </c>
      <c r="AA81" s="7">
        <f>O81</f>
        <v>44927</v>
      </c>
      <c r="AB81" s="14">
        <f>T81+V81-(W81-1)</f>
        <v>45752</v>
      </c>
      <c r="AC81" t="s">
        <v>1241</v>
      </c>
      <c r="AD81" s="23" t="str">
        <f ca="1">CONCATENATE("&lt;add-to-calendar-button  name=",CHAR(34),H81,CHAR(34),
IF(ISBLANK(M81),"",CONCATENATE("   location=",CHAR(34),RIGHT(M81,LEN(M81)-SEARCH("|",M81)-1),CHAR(34))),
"   description=",CHAR(34),IF(ISBLANK(I81),"",CONCATENATE(I81,"; ")),"shapenotesingings.com",CHAR(34),
"   options=",CHAR(34),"'Apple','Google','iCal','Outlook.com'",CHAR(34),"   styleLight=",CHAR(34),"--btn-background: #550000; --btn-text: #fff; --btn-shadow:#fff;",CHAR(34),
IF(W81=1,CONCATENATE(
"startDate=",CHAR(34),TEXT(G81,"yyyy-mm-dd"),CHAR(34),
"{endDate=",CHAR(34),TEXT(G81,"yyyy-mm-dd"),CHAR(34),
IF(OR(ISBLANK(AE81),ISBLANK(AF81)),"",(CONCATENATE(" startTime=",CHAR(34),TEXT(AE81,"hh:mm"),CHAR(34)," endTime=",CHAR(34),TEXT(AF81,"h:mm"),CHAR(34),
" timeZone=",CHAR(34),AG81,CHAR(34))))),
IF(W81=2,CONCATENATE(" dates='[{",
CHAR(34),"startDate",CHAR(34),":",CHAR(34),TEXT(G81,"yyyy-mm-dd"),CHAR(34),", ",
,CHAR(34),"endDate",CHAR(34),":",CHAR(34),TEXT(G81,"yyyy-mm-dd"),CHAR(34),
IF(OR(ISBLANK(AE81),ISBLANK(AF81)),"",(CONCATENATE(", ",CHAR(34),"startTime",CHAR(34),":",CHAR(34),TEXT(AE81,"hh:mm"),CHAR(34),", ",CHAR(34),"endTime",CHAR(34),":",CHAR(34),TEXT(AF81,"hh:mm"),CHAR(34),", ",CHAR(34),"timeZone",CHAR(34),":",CHAR(34),AG81,CHAR(34)))),"}, {",
,CHAR(34),"startDate",CHAR(34),":",CHAR(34),TEXT(G81+1,"yyyy-mm-dd"),CHAR(34),", ",
,CHAR(34),"endDate",CHAR(34),":",CHAR(34),TEXT(G81+W81-1,"yyyy-mm-dd"),CHAR(34),
IF(OR(ISBLANK(AE81),ISBLANK(AF81)),"",(CONCATENATE(", ",CHAR(34),"startTime",CHAR(34),":",CHAR(34),TEXT(AE81,"hh:mm"),CHAR(34),", ",CHAR(34),"endTime",CHAR(34),":",CHAR(34),TEXT(AF81,"hh:mm"),CHAR(34),", ",CHAR(34),"timeZone",CHAR(34),":",CHAR(34),AG81,CHAR(34)))),"}]'"),
CONCATENATE(
"{  startDate=",CHAR(34),TEXT(G81,"yyyy-mm-dd"),CHAR(34),
"  endDate=",CHAR(34),TEXT(G81+W81-1,"yyyy-mm-dd"),CHAR(34),"}"))),
" &gt;&lt;/add-to-calendar-button&gt;")</f>
        <v>&lt;add-to-calendar-button  name="Brighton Sacred Harp Singing Day"   location="Exeter Street Hall, 16-17 Exeter St Brighton, BN1 5PG, United Kingdom "   description="shapenotesingings.com"   options="'Apple','Google','iCal','Outlook.com'"   styleLight="--btn-background: #550000; --btn-text: #fff; --btn-shadow:#fff;"startDate="2026-04-04"{endDate="2026-04-04" &gt;&lt;/add-to-calendar-button&gt;</v>
      </c>
      <c r="AG81" s="25" t="s">
        <v>1535</v>
      </c>
    </row>
    <row r="82" spans="1:33" x14ac:dyDescent="0.3">
      <c r="A82" t="s">
        <v>8</v>
      </c>
      <c r="B82" t="s">
        <v>250</v>
      </c>
      <c r="C82" t="s">
        <v>1152</v>
      </c>
      <c r="D82" t="s">
        <v>289</v>
      </c>
      <c r="E82" t="s">
        <v>2184</v>
      </c>
      <c r="F82" t="s">
        <v>293</v>
      </c>
      <c r="G82" s="7">
        <f ca="1">X82</f>
        <v>46117</v>
      </c>
      <c r="H82" s="5" t="s">
        <v>287</v>
      </c>
      <c r="I82" t="s">
        <v>1030</v>
      </c>
      <c r="J82" s="36" t="s">
        <v>2654</v>
      </c>
      <c r="L82" t="s">
        <v>1974</v>
      </c>
      <c r="M82" s="16" t="s">
        <v>1177</v>
      </c>
      <c r="N82" s="16" t="s">
        <v>1178</v>
      </c>
      <c r="O82" s="7">
        <v>44979</v>
      </c>
      <c r="P82" s="7" t="s">
        <v>1179</v>
      </c>
      <c r="Q82" s="18">
        <v>4</v>
      </c>
      <c r="R82" s="18">
        <v>1</v>
      </c>
      <c r="S82" s="18">
        <v>1</v>
      </c>
      <c r="T82" s="4">
        <f>DATE(AI$2,$Q82,1+(($R82-($S82&gt;=WEEKDAY(DATE(AI$2,$Q82,1))))*7)+($S82-WEEKDAY(DATE(AI$2,$Q82,1))))</f>
        <v>45753</v>
      </c>
      <c r="U82" s="4">
        <f>DATE(AJ$2,$Q82,1+(($R82-($S82&gt;=WEEKDAY(DATE(AJ$2,$Q82,1))))*7)+($S82-WEEKDAY(DATE(AJ$2,$Q82,1))))</f>
        <v>46117</v>
      </c>
      <c r="V82" s="20">
        <v>0</v>
      </c>
      <c r="W82" s="20">
        <v>1</v>
      </c>
      <c r="X82" s="4">
        <f ca="1">Y82-(W82-1)</f>
        <v>46117</v>
      </c>
      <c r="Y82" s="5">
        <f ca="1">IF(OR(T82+V82&lt;(NOW()-0.5),ISNUMBER(SEARCH("&lt;h4&gt;",K82))),U82+V82,T82+V82)</f>
        <v>46117</v>
      </c>
      <c r="Z82" t="str">
        <f ca="1">CONCATENATE(IF(OR(Y82=X82,ISBLANK(Y82)),TEXT(X82,"mmmm d"),CONCATENATE(TEXT(X82,"mmmm d"),"-",IF(TEXT(X82,"mmmm")=TEXT(Y82,"mmmm"),TEXT(Y82,"d"),TEXT(Y82,"mmmm d")))),", ",YEAR(Y82))</f>
        <v>April 5, 2026</v>
      </c>
      <c r="AA82" s="7">
        <f>O82</f>
        <v>44979</v>
      </c>
      <c r="AB82" s="14">
        <f>T82+V82-(W82-1)</f>
        <v>45753</v>
      </c>
      <c r="AC82" t="s">
        <v>1243</v>
      </c>
      <c r="AD82" s="23" t="str">
        <f ca="1">CONCATENATE("&lt;add-to-calendar-button  name=",CHAR(34),H82,CHAR(34),
IF(ISBLANK(M82),"",CONCATENATE("   location=",CHAR(34),RIGHT(M82,LEN(M82)-SEARCH("|",M82)-1),CHAR(34))),
"   description=",CHAR(34),IF(ISBLANK(I82),"",CONCATENATE(I82,"; ")),"shapenotesingings.com",CHAR(34),
"   options=",CHAR(34),"'Apple','Google','iCal','Outlook.com'",CHAR(34),"   styleLight=",CHAR(34),"--btn-background: #550000; --btn-text: #fff; --btn-shadow:#fff;",CHAR(34),
IF(W82=1,CONCATENATE(
"startDate=",CHAR(34),TEXT(G82,"yyyy-mm-dd"),CHAR(34),
"{endDate=",CHAR(34),TEXT(G82,"yyyy-mm-dd"),CHAR(34),
IF(OR(ISBLANK(AE82),ISBLANK(AF82)),"",(CONCATENATE(" startTime=",CHAR(34),TEXT(AE82,"hh:mm"),CHAR(34)," endTime=",CHAR(34),TEXT(AF82,"h:mm"),CHAR(34),
" timeZone=",CHAR(34),AG82,CHAR(34))))),
IF(W82=2,CONCATENATE(" dates='[{",
CHAR(34),"startDate",CHAR(34),":",CHAR(34),TEXT(G82,"yyyy-mm-dd"),CHAR(34),", ",
,CHAR(34),"endDate",CHAR(34),":",CHAR(34),TEXT(G82,"yyyy-mm-dd"),CHAR(34),
IF(OR(ISBLANK(AE82),ISBLANK(AF82)),"",(CONCATENATE(", ",CHAR(34),"startTime",CHAR(34),":",CHAR(34),TEXT(AE82,"hh:mm"),CHAR(34),", ",CHAR(34),"endTime",CHAR(34),":",CHAR(34),TEXT(AF82,"hh:mm"),CHAR(34),", ",CHAR(34),"timeZone",CHAR(34),":",CHAR(34),AG82,CHAR(34)))),"}, {",
,CHAR(34),"startDate",CHAR(34),":",CHAR(34),TEXT(G82+1,"yyyy-mm-dd"),CHAR(34),", ",
,CHAR(34),"endDate",CHAR(34),":",CHAR(34),TEXT(G82+W82-1,"yyyy-mm-dd"),CHAR(34),
IF(OR(ISBLANK(AE82),ISBLANK(AF82)),"",(CONCATENATE(", ",CHAR(34),"startTime",CHAR(34),":",CHAR(34),TEXT(AE82,"hh:mm"),CHAR(34),", ",CHAR(34),"endTime",CHAR(34),":",CHAR(34),TEXT(AF82,"hh:mm"),CHAR(34),", ",CHAR(34),"timeZone",CHAR(34),":",CHAR(34),AG82,CHAR(34)))),"}]'"),
CONCATENATE(
"{  startDate=",CHAR(34),TEXT(G82,"yyyy-mm-dd"),CHAR(34),
"  endDate=",CHAR(34),TEXT(G82+W82-1,"yyyy-mm-dd"),CHAR(34),"}"))),
" &gt;&lt;/add-to-calendar-button&gt;")</f>
        <v>&lt;add-to-calendar-button  name="Hugh Bill McGuire Memorial"   location="Burce Forestry Museum, 109 Public Square, Bruce, MS 38915"   description="10:00am; shapenotesingings.com"   options="'Apple','Google','iCal','Outlook.com'"   styleLight="--btn-background: #550000; --btn-text: #fff; --btn-shadow:#fff;"startDate="2026-04-05"{endDate="2026-04-05" &gt;&lt;/add-to-calendar-button&gt;</v>
      </c>
      <c r="AG82" s="25" t="s">
        <v>1533</v>
      </c>
    </row>
    <row r="83" spans="1:33" x14ac:dyDescent="0.3">
      <c r="A83" t="s">
        <v>8</v>
      </c>
      <c r="B83" t="s">
        <v>273</v>
      </c>
      <c r="C83" t="s">
        <v>1160</v>
      </c>
      <c r="D83" t="s">
        <v>807</v>
      </c>
      <c r="E83" t="s">
        <v>777</v>
      </c>
      <c r="F83" t="s">
        <v>2904</v>
      </c>
      <c r="G83" s="7">
        <f ca="1">X83</f>
        <v>46110</v>
      </c>
      <c r="H83" s="5" t="s">
        <v>1458</v>
      </c>
      <c r="I83" t="s">
        <v>1459</v>
      </c>
      <c r="J83" s="36" t="s">
        <v>2576</v>
      </c>
      <c r="L83" t="s">
        <v>2903</v>
      </c>
      <c r="M83" s="16" t="s">
        <v>1460</v>
      </c>
      <c r="N83" s="16" t="s">
        <v>1461</v>
      </c>
      <c r="O83" s="7">
        <v>45012</v>
      </c>
      <c r="P83" s="7" t="s">
        <v>2905</v>
      </c>
      <c r="Q83" s="18">
        <v>4</v>
      </c>
      <c r="R83" s="18">
        <v>1</v>
      </c>
      <c r="S83" s="18">
        <v>1</v>
      </c>
      <c r="T83" s="4">
        <f>DATE(AI$2,$Q83,1+(($R83-($S83&gt;=WEEKDAY(DATE(AI$2,$Q83,1))))*7)+($S83-WEEKDAY(DATE(AI$2,$Q83,1))))</f>
        <v>45753</v>
      </c>
      <c r="U83" s="4">
        <f>DATE(AJ$2,$Q83,1+(($R83-($S83&gt;=WEEKDAY(DATE(AJ$2,$Q83,1))))*7)+($S83-WEEKDAY(DATE(AJ$2,$Q83,1))))</f>
        <v>46117</v>
      </c>
      <c r="V83" s="20">
        <v>-7</v>
      </c>
      <c r="W83" s="20">
        <v>1</v>
      </c>
      <c r="X83" s="4">
        <f ca="1">Y83-(W83-1)</f>
        <v>46110</v>
      </c>
      <c r="Y83" s="5">
        <f ca="1">IF(OR(T83+V83&lt;(NOW()-0.5),ISNUMBER(SEARCH("&lt;h4&gt;",K83))),U83+V83,T83+V83)</f>
        <v>46110</v>
      </c>
      <c r="Z83" t="str">
        <f ca="1">CONCATENATE(IF(OR(Y83=X83,ISBLANK(Y83)),TEXT(X83,"mmmm d"),CONCATENATE(TEXT(X83,"mmmm d"),"-",IF(TEXT(X83,"mmmm")=TEXT(Y83,"mmmm"),TEXT(Y83,"d"),TEXT(Y83,"mmmm d")))),", ",YEAR(Y83))</f>
        <v>March 29, 2026</v>
      </c>
      <c r="AA83" s="7">
        <f>O83</f>
        <v>45012</v>
      </c>
      <c r="AB83" s="14">
        <f>T83+V83-(W83-1)</f>
        <v>45746</v>
      </c>
      <c r="AC83" t="s">
        <v>1462</v>
      </c>
      <c r="AD83" s="23" t="str">
        <f ca="1">CONCATENATE("&lt;add-to-calendar-button  name=",CHAR(34),H83,CHAR(34),
IF(ISBLANK(M83),"",CONCATENATE("   location=",CHAR(34),RIGHT(M83,LEN(M83)-SEARCH("|",M83)-1),CHAR(34))),
"   description=",CHAR(34),IF(ISBLANK(I83),"",CONCATENATE(I83,"; ")),"shapenotesingings.com",CHAR(34),
"   options=",CHAR(34),"'Apple','Google','iCal','Outlook.com'",CHAR(34),"   styleLight=",CHAR(34),"--btn-background: #550000; --btn-text: #fff; --btn-shadow:#fff;",CHAR(34),
IF(W83=1,CONCATENATE(
"startDate=",CHAR(34),TEXT(G83,"yyyy-mm-dd"),CHAR(34),
"{endDate=",CHAR(34),TEXT(G83,"yyyy-mm-dd"),CHAR(34),
IF(OR(ISBLANK(AE83),ISBLANK(AF83)),"",(CONCATENATE(" startTime=",CHAR(34),TEXT(AE83,"hh:mm"),CHAR(34)," endTime=",CHAR(34),TEXT(AF83,"h:mm"),CHAR(34),
" timeZone=",CHAR(34),AG83,CHAR(34))))),
IF(W83=2,CONCATENATE(" dates='[{",
CHAR(34),"startDate",CHAR(34),":",CHAR(34),TEXT(G83,"yyyy-mm-dd"),CHAR(34),", ",
,CHAR(34),"endDate",CHAR(34),":",CHAR(34),TEXT(G83,"yyyy-mm-dd"),CHAR(34),
IF(OR(ISBLANK(AE83),ISBLANK(AF83)),"",(CONCATENATE(", ",CHAR(34),"startTime",CHAR(34),":",CHAR(34),TEXT(AE83,"hh:mm"),CHAR(34),", ",CHAR(34),"endTime",CHAR(34),":",CHAR(34),TEXT(AF83,"hh:mm"),CHAR(34),", ",CHAR(34),"timeZone",CHAR(34),":",CHAR(34),AG83,CHAR(34)))),"}, {",
,CHAR(34),"startDate",CHAR(34),":",CHAR(34),TEXT(G83+1,"yyyy-mm-dd"),CHAR(34),", ",
,CHAR(34),"endDate",CHAR(34),":",CHAR(34),TEXT(G83+W83-1,"yyyy-mm-dd"),CHAR(34),
IF(OR(ISBLANK(AE83),ISBLANK(AF83)),"",(CONCATENATE(", ",CHAR(34),"startTime",CHAR(34),":",CHAR(34),TEXT(AE83,"hh:mm"),CHAR(34),", ",CHAR(34),"endTime",CHAR(34),":",CHAR(34),TEXT(AF83,"hh:mm"),CHAR(34),", ",CHAR(34),"timeZone",CHAR(34),":",CHAR(34),AG83,CHAR(34)))),"}]'"),
CONCATENATE(
"{  startDate=",CHAR(34),TEXT(G83,"yyyy-mm-dd"),CHAR(34),
"  endDate=",CHAR(34),TEXT(G83+W83-1,"yyyy-mm-dd"),CHAR(34),"}"))),
" &gt;&lt;/add-to-calendar-button&gt;")</f>
        <v>&lt;add-to-calendar-button  name="Boogertown Singing"   location="Oldham's Creek Missionary Baptist Church, 3629 Boogertown Rd, Sevierville, TN 37876"   description="2pm; shapenotesingings.com"   options="'Apple','Google','iCal','Outlook.com'"   styleLight="--btn-background: #550000; --btn-text: #fff; --btn-shadow:#fff;"startDate="2026-03-29"{endDate="2026-03-29" &gt;&lt;/add-to-calendar-button&gt;</v>
      </c>
      <c r="AE83" s="24">
        <v>0.58333333333333337</v>
      </c>
      <c r="AG83" s="25" t="s">
        <v>1532</v>
      </c>
    </row>
    <row r="84" spans="1:33" x14ac:dyDescent="0.3">
      <c r="A84" t="s">
        <v>8</v>
      </c>
      <c r="B84" t="s">
        <v>11</v>
      </c>
      <c r="C84" t="s">
        <v>1134</v>
      </c>
      <c r="D84" t="s">
        <v>297</v>
      </c>
      <c r="E84" t="s">
        <v>2178</v>
      </c>
      <c r="F84" t="s">
        <v>293</v>
      </c>
      <c r="G84" s="7">
        <f ca="1">X84</f>
        <v>46117</v>
      </c>
      <c r="H84" s="5" t="s">
        <v>294</v>
      </c>
      <c r="I84" t="s">
        <v>1040</v>
      </c>
      <c r="J84" s="36" t="s">
        <v>2655</v>
      </c>
      <c r="K84" t="s">
        <v>1075</v>
      </c>
      <c r="M84" s="16" t="s">
        <v>295</v>
      </c>
      <c r="N84" s="16" t="s">
        <v>296</v>
      </c>
      <c r="O84" s="7">
        <v>44936</v>
      </c>
      <c r="P84" s="7" t="s">
        <v>926</v>
      </c>
      <c r="Q84" s="18">
        <v>4</v>
      </c>
      <c r="R84" s="18">
        <v>1</v>
      </c>
      <c r="S84" s="18">
        <v>1</v>
      </c>
      <c r="T84" s="4">
        <f>DATE(AI$2,$Q84,1+(($R84-($S84&gt;=WEEKDAY(DATE(AI$2,$Q84,1))))*7)+($S84-WEEKDAY(DATE(AI$2,$Q84,1))))</f>
        <v>45753</v>
      </c>
      <c r="U84" s="4">
        <f>DATE(AJ$2,$Q84,1+(($R84-($S84&gt;=WEEKDAY(DATE(AJ$2,$Q84,1))))*7)+($S84-WEEKDAY(DATE(AJ$2,$Q84,1))))</f>
        <v>46117</v>
      </c>
      <c r="V84" s="20">
        <v>0</v>
      </c>
      <c r="W84" s="20">
        <v>1</v>
      </c>
      <c r="X84" s="4">
        <f ca="1">Y84-(W84-1)</f>
        <v>46117</v>
      </c>
      <c r="Y84" s="5">
        <f ca="1">IF(OR(T84+V84&lt;(NOW()-0.5),ISNUMBER(SEARCH("&lt;h4&gt;",K84))),U84+V84,T84+V84)</f>
        <v>46117</v>
      </c>
      <c r="Z84" t="str">
        <f ca="1">CONCATENATE(IF(OR(Y84=X84,ISBLANK(Y84)),TEXT(X84,"mmmm d"),CONCATENATE(TEXT(X84,"mmmm d"),"-",IF(TEXT(X84,"mmmm")=TEXT(Y84,"mmmm"),TEXT(Y84,"d"),TEXT(Y84,"mmmm d")))),", ",YEAR(Y84))</f>
        <v>April 5, 2026</v>
      </c>
      <c r="AA84" s="7">
        <f>O84</f>
        <v>44936</v>
      </c>
      <c r="AB84" s="14">
        <f>T84+V84-(W84-1)</f>
        <v>45753</v>
      </c>
      <c r="AC84" t="s">
        <v>1242</v>
      </c>
      <c r="AD84" s="23" t="str">
        <f ca="1">CONCATENATE("&lt;add-to-calendar-button  name=",CHAR(34),H84,CHAR(34),
IF(ISBLANK(M84),"",CONCATENATE("   location=",CHAR(34),RIGHT(M84,LEN(M84)-SEARCH("|",M84)-1),CHAR(34))),
"   description=",CHAR(34),IF(ISBLANK(I84),"",CONCATENATE(I84,"; ")),"shapenotesingings.com",CHAR(34),
"   options=",CHAR(34),"'Apple','Google','iCal','Outlook.com'",CHAR(34),"   styleLight=",CHAR(34),"--btn-background: #550000; --btn-text: #fff; --btn-shadow:#fff;",CHAR(34),
IF(W84=1,CONCATENATE(
"startDate=",CHAR(34),TEXT(G84,"yyyy-mm-dd"),CHAR(34),
"{endDate=",CHAR(34),TEXT(G84,"yyyy-mm-dd"),CHAR(34),
IF(OR(ISBLANK(AE84),ISBLANK(AF84)),"",(CONCATENATE(" startTime=",CHAR(34),TEXT(AE84,"hh:mm"),CHAR(34)," endTime=",CHAR(34),TEXT(AF84,"h:mm"),CHAR(34),
" timeZone=",CHAR(34),AG84,CHAR(34))))),
IF(W84=2,CONCATENATE(" dates='[{",
CHAR(34),"startDate",CHAR(34),":",CHAR(34),TEXT(G84,"yyyy-mm-dd"),CHAR(34),", ",
,CHAR(34),"endDate",CHAR(34),":",CHAR(34),TEXT(G84,"yyyy-mm-dd"),CHAR(34),
IF(OR(ISBLANK(AE84),ISBLANK(AF84)),"",(CONCATENATE(", ",CHAR(34),"startTime",CHAR(34),":",CHAR(34),TEXT(AE84,"hh:mm"),CHAR(34),", ",CHAR(34),"endTime",CHAR(34),":",CHAR(34),TEXT(AF84,"hh:mm"),CHAR(34),", ",CHAR(34),"timeZone",CHAR(34),":",CHAR(34),AG84,CHAR(34)))),"}, {",
,CHAR(34),"startDate",CHAR(34),":",CHAR(34),TEXT(G84+1,"yyyy-mm-dd"),CHAR(34),", ",
,CHAR(34),"endDate",CHAR(34),":",CHAR(34),TEXT(G84+W84-1,"yyyy-mm-dd"),CHAR(34),
IF(OR(ISBLANK(AE84),ISBLANK(AF84)),"",(CONCATENATE(", ",CHAR(34),"startTime",CHAR(34),":",CHAR(34),TEXT(AE84,"hh:mm"),CHAR(34),", ",CHAR(34),"endTime",CHAR(34),":",CHAR(34),TEXT(AF84,"hh:mm"),CHAR(34),", ",CHAR(34),"timeZone",CHAR(34),":",CHAR(34),AG84,CHAR(34)))),"}]'"),
CONCATENATE(
"{  startDate=",CHAR(34),TEXT(G84,"yyyy-mm-dd"),CHAR(34),
"  endDate=",CHAR(34),TEXT(G84+W84-1,"yyyy-mm-dd"),CHAR(34),"}"))),
" &gt;&lt;/add-to-calendar-button&gt;")</f>
        <v>&lt;add-to-calendar-button  name="Edwardsville Baptist Church Singing"   location="Edwardsville Baptist Church, 4062 Burton St, Heflin, AL 36264"   description="9:30am; shapenotesingings.com"   options="'Apple','Google','iCal','Outlook.com'"   styleLight="--btn-background: #550000; --btn-text: #fff; --btn-shadow:#fff;"startDate="2026-04-05"{endDate="2026-04-05" startTime="09:30" endTime="15:00" timeZone="America/Chicago" &gt;&lt;/add-to-calendar-button&gt;</v>
      </c>
      <c r="AE84" s="24">
        <v>0.39583333333333331</v>
      </c>
      <c r="AF84" s="24">
        <v>0.625</v>
      </c>
      <c r="AG84" s="25" t="s">
        <v>1533</v>
      </c>
    </row>
    <row r="85" spans="1:33" x14ac:dyDescent="0.3">
      <c r="A85" t="s">
        <v>8</v>
      </c>
      <c r="B85" t="s">
        <v>260</v>
      </c>
      <c r="C85" t="s">
        <v>1149</v>
      </c>
      <c r="D85" t="s">
        <v>1964</v>
      </c>
      <c r="E85" t="s">
        <v>2178</v>
      </c>
      <c r="F85" t="s">
        <v>301</v>
      </c>
      <c r="G85" s="7">
        <f ca="1">X85</f>
        <v>46123</v>
      </c>
      <c r="H85" s="5" t="s">
        <v>1965</v>
      </c>
      <c r="I85" t="s">
        <v>1037</v>
      </c>
      <c r="J85" s="36" t="s">
        <v>2656</v>
      </c>
      <c r="L85" t="s">
        <v>1969</v>
      </c>
      <c r="M85" s="16" t="s">
        <v>1966</v>
      </c>
      <c r="N85" s="16" t="s">
        <v>1967</v>
      </c>
      <c r="O85" s="7">
        <v>45388</v>
      </c>
      <c r="P85" s="7" t="s">
        <v>1978</v>
      </c>
      <c r="Q85" s="18">
        <v>4</v>
      </c>
      <c r="R85" s="18">
        <v>2</v>
      </c>
      <c r="S85" s="18">
        <v>1</v>
      </c>
      <c r="T85" s="4">
        <f>DATE(AI$2,$Q85,1+(($R85-($S85&gt;=WEEKDAY(DATE(AI$2,$Q85,1))))*7)+($S85-WEEKDAY(DATE(AI$2,$Q85,1))))</f>
        <v>45760</v>
      </c>
      <c r="U85" s="4">
        <f>DATE(AJ$2,$Q85,1+(($R85-($S85&gt;=WEEKDAY(DATE(AJ$2,$Q85,1))))*7)+($S85-WEEKDAY(DATE(AJ$2,$Q85,1))))</f>
        <v>46124</v>
      </c>
      <c r="V85" s="20">
        <v>-1</v>
      </c>
      <c r="W85" s="20">
        <v>1</v>
      </c>
      <c r="X85" s="4">
        <f ca="1">Y85-(W85-1)</f>
        <v>46123</v>
      </c>
      <c r="Y85" s="5">
        <f ca="1">IF(OR(T85+V85&lt;(NOW()-0.5),ISNUMBER(SEARCH("&lt;h4&gt;",K85))),U85+V85,T85+V85)</f>
        <v>46123</v>
      </c>
      <c r="Z85" t="str">
        <f ca="1">CONCATENATE(IF(OR(Y85=X85,ISBLANK(Y85)),TEXT(X85,"mmmm d"),CONCATENATE(TEXT(X85,"mmmm d"),"-",IF(TEXT(X85,"mmmm")=TEXT(Y85,"mmmm"),TEXT(Y85,"d"),TEXT(Y85,"mmmm d")))),", ",YEAR(Y85))</f>
        <v>April 11, 2026</v>
      </c>
      <c r="AA85" s="7">
        <f>O85</f>
        <v>45388</v>
      </c>
      <c r="AB85" s="14">
        <f>T85+V85-(W85-1)</f>
        <v>45759</v>
      </c>
      <c r="AC85" t="s">
        <v>1968</v>
      </c>
      <c r="AD85" s="23" t="str">
        <f ca="1">CONCATENATE("&lt;add-to-calendar-button  name=",CHAR(34),H85,CHAR(34),
IF(ISBLANK(M85),"",CONCATENATE("   location=",CHAR(34),RIGHT(M85,LEN(M85)-SEARCH("|",M85)-1),CHAR(34))),
"   description=",CHAR(34),IF(ISBLANK(I85),"",CONCATENATE(I85,"; ")),"shapenotesingings.com",CHAR(34),
"   options=",CHAR(34),"'Apple','Google','iCal','Outlook.com'",CHAR(34),"   styleLight=",CHAR(34),"--btn-background: #550000; --btn-text: #fff; --btn-shadow:#fff;",CHAR(34),
IF(W85=1,CONCATENATE(
"startDate=",CHAR(34),TEXT(G85,"yyyy-mm-dd"),CHAR(34),
"{endDate=",CHAR(34),TEXT(G85,"yyyy-mm-dd"),CHAR(34),
IF(OR(ISBLANK(AE85),ISBLANK(AF85)),"",(CONCATENATE(" startTime=",CHAR(34),TEXT(AE85,"hh:mm"),CHAR(34)," endTime=",CHAR(34),TEXT(AF85,"h:mm"),CHAR(34),
" timeZone=",CHAR(34),AG85,CHAR(34))))),
IF(W85=2,CONCATENATE(" dates='[{",
CHAR(34),"startDate",CHAR(34),":",CHAR(34),TEXT(G85,"yyyy-mm-dd"),CHAR(34),", ",
,CHAR(34),"endDate",CHAR(34),":",CHAR(34),TEXT(G85,"yyyy-mm-dd"),CHAR(34),
IF(OR(ISBLANK(AE85),ISBLANK(AF85)),"",(CONCATENATE(", ",CHAR(34),"startTime",CHAR(34),":",CHAR(34),TEXT(AE85,"hh:mm"),CHAR(34),", ",CHAR(34),"endTime",CHAR(34),":",CHAR(34),TEXT(AF85,"hh:mm"),CHAR(34),", ",CHAR(34),"timeZone",CHAR(34),":",CHAR(34),AG85,CHAR(34)))),"}, {",
,CHAR(34),"startDate",CHAR(34),":",CHAR(34),TEXT(G85+1,"yyyy-mm-dd"),CHAR(34),", ",
,CHAR(34),"endDate",CHAR(34),":",CHAR(34),TEXT(G85+W85-1,"yyyy-mm-dd"),CHAR(34),
IF(OR(ISBLANK(AE85),ISBLANK(AF85)),"",(CONCATENATE(", ",CHAR(34),"startTime",CHAR(34),":",CHAR(34),TEXT(AE85,"hh:mm"),CHAR(34),", ",CHAR(34),"endTime",CHAR(34),":",CHAR(34),TEXT(AF85,"hh:mm"),CHAR(34),", ",CHAR(34),"timeZone",CHAR(34),":",CHAR(34),AG85,CHAR(34)))),"}]'"),
CONCATENATE(
"{  startDate=",CHAR(34),TEXT(G85,"yyyy-mm-dd"),CHAR(34),
"  endDate=",CHAR(34),TEXT(G85+W85-1,"yyyy-mm-dd"),CHAR(34),"}"))),
" &gt;&lt;/add-to-calendar-button&gt;")</f>
        <v>&lt;add-to-calendar-button  name="Ann Arbor Singing"   location="Burton Memorial Tower, Room 506 (on University of Michigan Campus), 230 N. Ingalls Street, Ann Arbor, MI 48109"   description="10am-3pm; shapenotesingings.com"   options="'Apple','Google','iCal','Outlook.com'"   styleLight="--btn-background: #550000; --btn-text: #fff; --btn-shadow:#fff;"startDate="2026-04-11"{endDate="2026-04-11" startTime="10:00" endTime="15:00" timeZone="America/New_York" &gt;&lt;/add-to-calendar-button&gt;</v>
      </c>
      <c r="AE85" s="24">
        <v>0.41666666666666669</v>
      </c>
      <c r="AF85" s="24">
        <v>0.625</v>
      </c>
      <c r="AG85" s="25" t="s">
        <v>1532</v>
      </c>
    </row>
    <row r="86" spans="1:33" x14ac:dyDescent="0.3">
      <c r="A86" t="s">
        <v>8</v>
      </c>
      <c r="B86" t="s">
        <v>17</v>
      </c>
      <c r="C86" t="s">
        <v>1140</v>
      </c>
      <c r="D86" t="s">
        <v>155</v>
      </c>
      <c r="E86" t="s">
        <v>2178</v>
      </c>
      <c r="F86" t="s">
        <v>301</v>
      </c>
      <c r="G86" s="7">
        <f ca="1">X86</f>
        <v>46123</v>
      </c>
      <c r="H86" s="5" t="s">
        <v>304</v>
      </c>
      <c r="I86" t="s">
        <v>2012</v>
      </c>
      <c r="J86" s="36" t="s">
        <v>2657</v>
      </c>
      <c r="L86" t="s">
        <v>2011</v>
      </c>
      <c r="M86" s="16" t="s">
        <v>1026</v>
      </c>
      <c r="N86" s="16" t="s">
        <v>129</v>
      </c>
      <c r="O86" s="7">
        <v>45349</v>
      </c>
      <c r="P86" s="7" t="s">
        <v>1943</v>
      </c>
      <c r="Q86" s="18">
        <v>4</v>
      </c>
      <c r="R86" s="18">
        <v>2</v>
      </c>
      <c r="S86" s="18">
        <v>1</v>
      </c>
      <c r="T86" s="4">
        <f>DATE(AI$2,$Q86,1+(($R86-($S86&gt;=WEEKDAY(DATE(AI$2,$Q86,1))))*7)+($S86-WEEKDAY(DATE(AI$2,$Q86,1))))</f>
        <v>45760</v>
      </c>
      <c r="U86" s="4">
        <f>DATE(AJ$2,$Q86,1+(($R86-($S86&gt;=WEEKDAY(DATE(AJ$2,$Q86,1))))*7)+($S86-WEEKDAY(DATE(AJ$2,$Q86,1))))</f>
        <v>46124</v>
      </c>
      <c r="V86" s="20">
        <v>-1</v>
      </c>
      <c r="W86" s="20">
        <v>1</v>
      </c>
      <c r="X86" s="4">
        <f ca="1">Y86-(W86-1)</f>
        <v>46123</v>
      </c>
      <c r="Y86" s="5">
        <f ca="1">IF(OR(T86+V86&lt;(NOW()-0.5),ISNUMBER(SEARCH("&lt;h4&gt;",K86))),U86+V86,T86+V86)</f>
        <v>46123</v>
      </c>
      <c r="Z86" t="str">
        <f ca="1">CONCATENATE(IF(OR(Y86=X86,ISBLANK(Y86)),TEXT(X86,"mmmm d"),CONCATENATE(TEXT(X86,"mmmm d"),"-",IF(TEXT(X86,"mmmm")=TEXT(Y86,"mmmm"),TEXT(Y86,"d"),TEXT(Y86,"mmmm d")))),", ",YEAR(Y86))</f>
        <v>April 11, 2026</v>
      </c>
      <c r="AA86" s="7">
        <f>O86</f>
        <v>45349</v>
      </c>
      <c r="AB86" s="14">
        <f>T86+V86-(W86-1)</f>
        <v>45759</v>
      </c>
      <c r="AC86" t="s">
        <v>1191</v>
      </c>
      <c r="AD86" s="23" t="str">
        <f ca="1">CONCATENATE("&lt;add-to-calendar-button  name=",CHAR(34),H86,CHAR(34),
IF(ISBLANK(M86),"",CONCATENATE("   location=",CHAR(34),RIGHT(M86,LEN(M86)-SEARCH("|",M86)-1),CHAR(34))),
"   description=",CHAR(34),IF(ISBLANK(I86),"",CONCATENATE(I86,"; ")),"shapenotesingings.com",CHAR(34),
"   options=",CHAR(34),"'Apple','Google','iCal','Outlook.com'",CHAR(34),"   styleLight=",CHAR(34),"--btn-background: #550000; --btn-text: #fff; --btn-shadow:#fff;",CHAR(34),
IF(W86=1,CONCATENATE(
"startDate=",CHAR(34),TEXT(G86,"yyyy-mm-dd"),CHAR(34),
"{endDate=",CHAR(34),TEXT(G86,"yyyy-mm-dd"),CHAR(34),
IF(OR(ISBLANK(AE86),ISBLANK(AF86)),"",(CONCATENATE(" startTime=",CHAR(34),TEXT(AE86,"hh:mm"),CHAR(34)," endTime=",CHAR(34),TEXT(AF86,"h:mm"),CHAR(34),
" timeZone=",CHAR(34),AG86,CHAR(34))))),
IF(W86=2,CONCATENATE(" dates='[{",
CHAR(34),"startDate",CHAR(34),":",CHAR(34),TEXT(G86,"yyyy-mm-dd"),CHAR(34),", ",
,CHAR(34),"endDate",CHAR(34),":",CHAR(34),TEXT(G86,"yyyy-mm-dd"),CHAR(34),
IF(OR(ISBLANK(AE86),ISBLANK(AF86)),"",(CONCATENATE(", ",CHAR(34),"startTime",CHAR(34),":",CHAR(34),TEXT(AE86,"hh:mm"),CHAR(34),", ",CHAR(34),"endTime",CHAR(34),":",CHAR(34),TEXT(AF86,"hh:mm"),CHAR(34),", ",CHAR(34),"timeZone",CHAR(34),":",CHAR(34),AG86,CHAR(34)))),"}, {",
,CHAR(34),"startDate",CHAR(34),":",CHAR(34),TEXT(G86+1,"yyyy-mm-dd"),CHAR(34),", ",
,CHAR(34),"endDate",CHAR(34),":",CHAR(34),TEXT(G86+W86-1,"yyyy-mm-dd"),CHAR(34),
IF(OR(ISBLANK(AE86),ISBLANK(AF86)),"",(CONCATENATE(", ",CHAR(34),"startTime",CHAR(34),":",CHAR(34),TEXT(AE86,"hh:mm"),CHAR(34),", ",CHAR(34),"endTime",CHAR(34),":",CHAR(34),TEXT(AF86,"hh:mm"),CHAR(34),", ",CHAR(34),"timeZone",CHAR(34),":",CHAR(34),AG86,CHAR(34)))),"}]'"),
CONCATENATE(
"{  startDate=",CHAR(34),TEXT(G86,"yyyy-mm-dd"),CHAR(34),
"  endDate=",CHAR(34),TEXT(G86+W86-1,"yyyy-mm-dd"),CHAR(34),"}"))),
" &gt;&lt;/add-to-calendar-button&gt;")</f>
        <v>&lt;add-to-calendar-button  name="State Line Church Singing"   location="Holly Springs Primitive Baptist Church, 760 Holly Springs Rd, Carrollton, GA 30117"   description="10am EST; shapenotesingings.com"   options="'Apple','Google','iCal','Outlook.com'"   styleLight="--btn-background: #550000; --btn-text: #fff; --btn-shadow:#fff;"startDate="2026-04-11"{endDate="2026-04-11" startTime="10:00" endTime="15:00" timeZone="America/New_York" &gt;&lt;/add-to-calendar-button&gt;</v>
      </c>
      <c r="AE86" s="24">
        <v>0.41666666666666669</v>
      </c>
      <c r="AF86" s="24">
        <v>0.625</v>
      </c>
      <c r="AG86" s="25" t="s">
        <v>1532</v>
      </c>
    </row>
    <row r="87" spans="1:33" x14ac:dyDescent="0.3">
      <c r="A87" t="s">
        <v>8</v>
      </c>
      <c r="B87" t="s">
        <v>11</v>
      </c>
      <c r="C87" t="s">
        <v>1134</v>
      </c>
      <c r="D87" t="s">
        <v>184</v>
      </c>
      <c r="E87" t="s">
        <v>34</v>
      </c>
      <c r="F87" t="s">
        <v>301</v>
      </c>
      <c r="G87" s="7">
        <f ca="1">X87</f>
        <v>46123</v>
      </c>
      <c r="H87" s="5" t="s">
        <v>305</v>
      </c>
      <c r="I87" t="s">
        <v>1028</v>
      </c>
      <c r="L87" t="s">
        <v>2929</v>
      </c>
      <c r="M87" s="16" t="s">
        <v>999</v>
      </c>
      <c r="N87" s="16" t="s">
        <v>186</v>
      </c>
      <c r="O87" s="7">
        <v>44936</v>
      </c>
      <c r="P87" s="7" t="s">
        <v>936</v>
      </c>
      <c r="Q87" s="18">
        <v>4</v>
      </c>
      <c r="R87" s="18">
        <v>2</v>
      </c>
      <c r="S87" s="18">
        <v>1</v>
      </c>
      <c r="T87" s="4">
        <f>DATE(AI$2,$Q87,1+(($R87-($S87&gt;=WEEKDAY(DATE(AI$2,$Q87,1))))*7)+($S87-WEEKDAY(DATE(AI$2,$Q87,1))))</f>
        <v>45760</v>
      </c>
      <c r="U87" s="4">
        <f>DATE(AJ$2,$Q87,1+(($R87-($S87&gt;=WEEKDAY(DATE(AJ$2,$Q87,1))))*7)+($S87-WEEKDAY(DATE(AJ$2,$Q87,1))))</f>
        <v>46124</v>
      </c>
      <c r="V87" s="20">
        <v>-1</v>
      </c>
      <c r="W87" s="20">
        <v>1</v>
      </c>
      <c r="X87" s="4">
        <f ca="1">Y87-(W87-1)</f>
        <v>46123</v>
      </c>
      <c r="Y87" s="5">
        <f ca="1">IF(OR(T87+V87&lt;(NOW()-0.5),ISNUMBER(SEARCH("&lt;h4&gt;",K87))),U87+V87,T87+V87)</f>
        <v>46123</v>
      </c>
      <c r="Z87" t="str">
        <f ca="1">CONCATENATE(IF(OR(Y87=X87,ISBLANK(Y87)),TEXT(X87,"mmmm d"),CONCATENATE(TEXT(X87,"mmmm d"),"-",IF(TEXT(X87,"mmmm")=TEXT(Y87,"mmmm"),TEXT(Y87,"d"),TEXT(Y87,"mmmm d")))),", ",YEAR(Y87))</f>
        <v>April 11, 2026</v>
      </c>
      <c r="AA87" s="7">
        <f>O87</f>
        <v>44936</v>
      </c>
      <c r="AB87" s="14">
        <f>T87+V87-(W87-1)</f>
        <v>45759</v>
      </c>
      <c r="AC87" t="s">
        <v>1245</v>
      </c>
      <c r="AD87" s="23" t="str">
        <f ca="1">CONCATENATE("&lt;add-to-calendar-button  name=",CHAR(34),H87,CHAR(34),
IF(ISBLANK(M87),"",CONCATENATE("   location=",CHAR(34),RIGHT(M87,LEN(M87)-SEARCH("|",M87)-1),CHAR(34))),
"   description=",CHAR(34),IF(ISBLANK(I87),"",CONCATENATE(I87,"; ")),"shapenotesingings.com",CHAR(34),
"   options=",CHAR(34),"'Apple','Google','iCal','Outlook.com'",CHAR(34),"   styleLight=",CHAR(34),"--btn-background: #550000; --btn-text: #fff; --btn-shadow:#fff;",CHAR(34),
IF(W87=1,CONCATENATE(
"startDate=",CHAR(34),TEXT(G87,"yyyy-mm-dd"),CHAR(34),
"{endDate=",CHAR(34),TEXT(G87,"yyyy-mm-dd"),CHAR(34),
IF(OR(ISBLANK(AE87),ISBLANK(AF87)),"",(CONCATENATE(" startTime=",CHAR(34),TEXT(AE87,"hh:mm"),CHAR(34)," endTime=",CHAR(34),TEXT(AF87,"h:mm"),CHAR(34),
" timeZone=",CHAR(34),AG87,CHAR(34))))),
IF(W87=2,CONCATENATE(" dates='[{",
CHAR(34),"startDate",CHAR(34),":",CHAR(34),TEXT(G87,"yyyy-mm-dd"),CHAR(34),", ",
,CHAR(34),"endDate",CHAR(34),":",CHAR(34),TEXT(G87,"yyyy-mm-dd"),CHAR(34),
IF(OR(ISBLANK(AE87),ISBLANK(AF87)),"",(CONCATENATE(", ",CHAR(34),"startTime",CHAR(34),":",CHAR(34),TEXT(AE87,"hh:mm"),CHAR(34),", ",CHAR(34),"endTime",CHAR(34),":",CHAR(34),TEXT(AF87,"hh:mm"),CHAR(34),", ",CHAR(34),"timeZone",CHAR(34),":",CHAR(34),AG87,CHAR(34)))),"}, {",
,CHAR(34),"startDate",CHAR(34),":",CHAR(34),TEXT(G87+1,"yyyy-mm-dd"),CHAR(34),", ",
,CHAR(34),"endDate",CHAR(34),":",CHAR(34),TEXT(G87+W87-1,"yyyy-mm-dd"),CHAR(34),
IF(OR(ISBLANK(AE87),ISBLANK(AF87)),"",(CONCATENATE(", ",CHAR(34),"startTime",CHAR(34),":",CHAR(34),TEXT(AE87,"hh:mm"),CHAR(34),", ",CHAR(34),"endTime",CHAR(34),":",CHAR(34),TEXT(AF87,"hh:mm"),CHAR(34),", ",CHAR(34),"timeZone",CHAR(34),":",CHAR(34),AG87,CHAR(34)))),"}]'"),
CONCATENATE(
"{  startDate=",CHAR(34),TEXT(G87,"yyyy-mm-dd"),CHAR(34),
"  endDate=",CHAR(34),TEXT(G87+W87-1,"yyyy-mm-dd"),CHAR(34),"}"))),
" &gt;&lt;/add-to-calendar-button&gt;")</f>
        <v>&lt;add-to-calendar-button  name="Barfield Memorial"   location="Traveler's Rest Church, 654 Traveler's Rest Rd, Samson, AL 36477"   description="10am; shapenotesingings.com"   options="'Apple','Google','iCal','Outlook.com'"   styleLight="--btn-background: #550000; --btn-text: #fff; --btn-shadow:#fff;"startDate="2026-04-11"{endDate="2026-04-11" startTime="10:00" endTime="15:00" timeZone="America/Chicago" &gt;&lt;/add-to-calendar-button&gt;</v>
      </c>
      <c r="AE87" s="24">
        <v>0.41666666666666669</v>
      </c>
      <c r="AF87" s="24">
        <v>0.625</v>
      </c>
      <c r="AG87" s="25" t="s">
        <v>1533</v>
      </c>
    </row>
    <row r="88" spans="1:33" x14ac:dyDescent="0.3">
      <c r="A88" t="s">
        <v>8</v>
      </c>
      <c r="B88" t="s">
        <v>200</v>
      </c>
      <c r="C88" t="s">
        <v>395</v>
      </c>
      <c r="D88" t="s">
        <v>302</v>
      </c>
      <c r="E88" t="s">
        <v>2178</v>
      </c>
      <c r="F88" t="s">
        <v>301</v>
      </c>
      <c r="G88" s="7">
        <f ca="1">X88</f>
        <v>46123</v>
      </c>
      <c r="H88" s="5" t="s">
        <v>303</v>
      </c>
      <c r="I88" t="s">
        <v>1037</v>
      </c>
      <c r="J88" s="36" t="s">
        <v>2658</v>
      </c>
      <c r="L88" t="s">
        <v>1939</v>
      </c>
      <c r="M88" s="16" t="s">
        <v>299</v>
      </c>
      <c r="N88" s="16" t="s">
        <v>300</v>
      </c>
      <c r="O88" s="7">
        <v>44936</v>
      </c>
      <c r="P88" s="7" t="s">
        <v>926</v>
      </c>
      <c r="Q88" s="18">
        <v>4</v>
      </c>
      <c r="R88" s="18">
        <v>2</v>
      </c>
      <c r="S88" s="18">
        <v>1</v>
      </c>
      <c r="T88" s="4">
        <f>DATE(AI$2,$Q88,1+(($R88-($S88&gt;=WEEKDAY(DATE(AI$2,$Q88,1))))*7)+($S88-WEEKDAY(DATE(AI$2,$Q88,1))))</f>
        <v>45760</v>
      </c>
      <c r="U88" s="4">
        <f>DATE(AJ$2,$Q88,1+(($R88-($S88&gt;=WEEKDAY(DATE(AJ$2,$Q88,1))))*7)+($S88-WEEKDAY(DATE(AJ$2,$Q88,1))))</f>
        <v>46124</v>
      </c>
      <c r="V88" s="20">
        <v>-1</v>
      </c>
      <c r="W88" s="20">
        <v>1</v>
      </c>
      <c r="X88" s="4">
        <f ca="1">Y88-(W88-1)</f>
        <v>46123</v>
      </c>
      <c r="Y88" s="5">
        <f ca="1">IF(OR(T88+V88&lt;(NOW()-0.5),ISNUMBER(SEARCH("&lt;h4&gt;",K88))),U88+V88,T88+V88)</f>
        <v>46123</v>
      </c>
      <c r="Z88" t="str">
        <f ca="1">CONCATENATE(IF(OR(Y88=X88,ISBLANK(Y88)),TEXT(X88,"mmmm d"),CONCATENATE(TEXT(X88,"mmmm d"),"-",IF(TEXT(X88,"mmmm")=TEXT(Y88,"mmmm"),TEXT(Y88,"d"),TEXT(Y88,"mmmm d")))),", ",YEAR(Y88))</f>
        <v>April 11, 2026</v>
      </c>
      <c r="AA88" s="7">
        <f>O88</f>
        <v>44936</v>
      </c>
      <c r="AB88" s="14">
        <f>T88+V88-(W88-1)</f>
        <v>45759</v>
      </c>
      <c r="AC88" t="s">
        <v>1246</v>
      </c>
      <c r="AD88" s="23" t="str">
        <f ca="1">CONCATENATE("&lt;add-to-calendar-button  name=",CHAR(34),H88,CHAR(34),
IF(ISBLANK(M88),"",CONCATENATE("   location=",CHAR(34),RIGHT(M88,LEN(M88)-SEARCH("|",M88)-1),CHAR(34))),
"   description=",CHAR(34),IF(ISBLANK(I88),"",CONCATENATE(I88,"; ")),"shapenotesingings.com",CHAR(34),
"   options=",CHAR(34),"'Apple','Google','iCal','Outlook.com'",CHAR(34),"   styleLight=",CHAR(34),"--btn-background: #550000; --btn-text: #fff; --btn-shadow:#fff;",CHAR(34),
IF(W88=1,CONCATENATE(
"startDate=",CHAR(34),TEXT(G88,"yyyy-mm-dd"),CHAR(34),
"{endDate=",CHAR(34),TEXT(G88,"yyyy-mm-dd"),CHAR(34),
IF(OR(ISBLANK(AE88),ISBLANK(AF88)),"",(CONCATENATE(" startTime=",CHAR(34),TEXT(AE88,"hh:mm"),CHAR(34)," endTime=",CHAR(34),TEXT(AF88,"h:mm"),CHAR(34),
" timeZone=",CHAR(34),AG88,CHAR(34))))),
IF(W88=2,CONCATENATE(" dates='[{",
CHAR(34),"startDate",CHAR(34),":",CHAR(34),TEXT(G88,"yyyy-mm-dd"),CHAR(34),", ",
,CHAR(34),"endDate",CHAR(34),":",CHAR(34),TEXT(G88,"yyyy-mm-dd"),CHAR(34),
IF(OR(ISBLANK(AE88),ISBLANK(AF88)),"",(CONCATENATE(", ",CHAR(34),"startTime",CHAR(34),":",CHAR(34),TEXT(AE88,"hh:mm"),CHAR(34),", ",CHAR(34),"endTime",CHAR(34),":",CHAR(34),TEXT(AF88,"hh:mm"),CHAR(34),", ",CHAR(34),"timeZone",CHAR(34),":",CHAR(34),AG88,CHAR(34)))),"}, {",
,CHAR(34),"startDate",CHAR(34),":",CHAR(34),TEXT(G88+1,"yyyy-mm-dd"),CHAR(34),", ",
,CHAR(34),"endDate",CHAR(34),":",CHAR(34),TEXT(G88+W88-1,"yyyy-mm-dd"),CHAR(34),
IF(OR(ISBLANK(AE88),ISBLANK(AF88)),"",(CONCATENATE(", ",CHAR(34),"startTime",CHAR(34),":",CHAR(34),TEXT(AE88,"hh:mm"),CHAR(34),", ",CHAR(34),"endTime",CHAR(34),":",CHAR(34),TEXT(AF88,"hh:mm"),CHAR(34),", ",CHAR(34),"timeZone",CHAR(34),":",CHAR(34),AG88,CHAR(34)))),"}]'"),
CONCATENATE(
"{  startDate=",CHAR(34),TEXT(G88,"yyyy-mm-dd"),CHAR(34),
"  endDate=",CHAR(34),TEXT(G88+W88-1,"yyyy-mm-dd"),CHAR(34),"}"))),
" &gt;&lt;/add-to-calendar-button&gt;")</f>
        <v>&lt;add-to-calendar-button  name="Bainbridge Island All-Day Singing"   location="Seabold Hall, 14450 Komedal Rd NE, Bainbridge Island, WA 98110"   description="10am-3pm; shapenotesingings.com"   options="'Apple','Google','iCal','Outlook.com'"   styleLight="--btn-background: #550000; --btn-text: #fff; --btn-shadow:#fff;"startDate="2026-04-11"{endDate="2026-04-11" startTime="10:00" endTime="15:00" timeZone="America/Los_Angeles" &gt;&lt;/add-to-calendar-button&gt;</v>
      </c>
      <c r="AE88" s="24">
        <v>0.41666666666666669</v>
      </c>
      <c r="AF88" s="24">
        <v>0.625</v>
      </c>
      <c r="AG88" s="25" t="s">
        <v>1534</v>
      </c>
    </row>
    <row r="89" spans="1:33" x14ac:dyDescent="0.3">
      <c r="A89" t="s">
        <v>144</v>
      </c>
      <c r="B89" t="s">
        <v>144</v>
      </c>
      <c r="C89" t="s">
        <v>1162</v>
      </c>
      <c r="D89" t="s">
        <v>251</v>
      </c>
      <c r="E89" t="s">
        <v>2178</v>
      </c>
      <c r="F89" t="str">
        <f ca="1">CONCATENATE(TEXT(G89,"mmm"),", Palm Sunday")</f>
        <v>Mar, Palm Sunday</v>
      </c>
      <c r="G89" s="7">
        <f ca="1">X89</f>
        <v>46110</v>
      </c>
      <c r="H89" s="5" t="s">
        <v>306</v>
      </c>
      <c r="I89" t="s">
        <v>1041</v>
      </c>
      <c r="L89" t="s">
        <v>952</v>
      </c>
      <c r="M89" s="16" t="s">
        <v>2832</v>
      </c>
      <c r="N89" s="16" t="s">
        <v>2833</v>
      </c>
      <c r="O89" s="7">
        <v>45725</v>
      </c>
      <c r="P89" s="7" t="s">
        <v>1171</v>
      </c>
      <c r="Q89" s="18">
        <f>MONTH(T111)</f>
        <v>5</v>
      </c>
      <c r="T89" s="4">
        <f>AI$5-7</f>
        <v>45760</v>
      </c>
      <c r="U89" s="4">
        <f>AJ$5-7</f>
        <v>46110</v>
      </c>
      <c r="V89" s="20">
        <v>0</v>
      </c>
      <c r="W89" s="20">
        <v>1</v>
      </c>
      <c r="X89" s="4">
        <f ca="1">Y89-(W89-1)</f>
        <v>46110</v>
      </c>
      <c r="Y89" s="5">
        <f ca="1">IF(OR(T89+V89&lt;(NOW()-0.5),ISNUMBER(SEARCH("&lt;h4&gt;",K89))),U89+V89,T89+V89)</f>
        <v>46110</v>
      </c>
      <c r="Z89" t="str">
        <f ca="1">CONCATENATE(IF(OR(Y89=X89,ISBLANK(Y89)),TEXT(X89,"mmmm d"),CONCATENATE(TEXT(X89,"mmmm d"),"-",IF(TEXT(X89,"mmmm")=TEXT(Y89,"mmmm"),TEXT(Y89,"d"),TEXT(Y89,"mmmm d")))),", ",YEAR(Y89))</f>
        <v>March 29, 2026</v>
      </c>
      <c r="AA89" s="7">
        <f>O89</f>
        <v>45725</v>
      </c>
      <c r="AB89" s="14">
        <f>T89+V89-(W89-1)</f>
        <v>45760</v>
      </c>
      <c r="AC89" t="s">
        <v>2834</v>
      </c>
      <c r="AD89" s="23" t="str">
        <f ca="1">CONCATENATE("&lt;add-to-calendar-button  name=",CHAR(34),H89,CHAR(34),
IF(ISBLANK(M89),"",CONCATENATE("   location=",CHAR(34),RIGHT(M89,LEN(M89)-SEARCH("|",M89)-1),CHAR(34))),
"   description=",CHAR(34),IF(ISBLANK(I89),"",CONCATENATE(I89,"; ")),"shapenotesingings.com",CHAR(34),
"   options=",CHAR(34),"'Apple','Google','iCal','Outlook.com'",CHAR(34),"   styleLight=",CHAR(34),"--btn-background: #550000; --btn-text: #fff; --btn-shadow:#fff;",CHAR(34),
IF(W89=1,CONCATENATE(
"startDate=",CHAR(34),TEXT(G89,"yyyy-mm-dd"),CHAR(34),
"{endDate=",CHAR(34),TEXT(G89,"yyyy-mm-dd"),CHAR(34),
IF(OR(ISBLANK(AE89),ISBLANK(AF89)),"",(CONCATENATE(" startTime=",CHAR(34),TEXT(AE89,"hh:mm"),CHAR(34)," endTime=",CHAR(34),TEXT(AF89,"h:mm"),CHAR(34),
" timeZone=",CHAR(34),AG89,CHAR(34))))),
IF(W89=2,CONCATENATE(" dates='[{",
CHAR(34),"startDate",CHAR(34),":",CHAR(34),TEXT(G89,"yyyy-mm-dd"),CHAR(34),", ",
,CHAR(34),"endDate",CHAR(34),":",CHAR(34),TEXT(G89,"yyyy-mm-dd"),CHAR(34),
IF(OR(ISBLANK(AE89),ISBLANK(AF89)),"",(CONCATENATE(", ",CHAR(34),"startTime",CHAR(34),":",CHAR(34),TEXT(AE89,"hh:mm"),CHAR(34),", ",CHAR(34),"endTime",CHAR(34),":",CHAR(34),TEXT(AF89,"hh:mm"),CHAR(34),", ",CHAR(34),"timeZone",CHAR(34),":",CHAR(34),AG89,CHAR(34)))),"}, {",
,CHAR(34),"startDate",CHAR(34),":",CHAR(34),TEXT(G89+1,"yyyy-mm-dd"),CHAR(34),", ",
,CHAR(34),"endDate",CHAR(34),":",CHAR(34),TEXT(G89+W89-1,"yyyy-mm-dd"),CHAR(34),
IF(OR(ISBLANK(AE89),ISBLANK(AF89)),"",(CONCATENATE(", ",CHAR(34),"startTime",CHAR(34),":",CHAR(34),TEXT(AE89,"hh:mm"),CHAR(34),", ",CHAR(34),"endTime",CHAR(34),":",CHAR(34),TEXT(AF89,"hh:mm"),CHAR(34),", ",CHAR(34),"timeZone",CHAR(34),":",CHAR(34),AG89,CHAR(34)))),"}]'"),
CONCATENATE(
"{  startDate=",CHAR(34),TEXT(G89,"yyyy-mm-dd"),CHAR(34),
"  endDate=",CHAR(34),TEXT(G89+W89-1,"yyyy-mm-dd"),CHAR(34),"}"))),
" &gt;&lt;/add-to-calendar-button&gt;")</f>
        <v>&lt;add-to-calendar-button  name="Palm Sunday Singing"   location="Cumnor Village Hall, Leys Road, Cumnor, Oxfordshire, OX2 9QF, United Kingdom"   description="10:30am; shapenotesingings.com"   options="'Apple','Google','iCal','Outlook.com'"   styleLight="--btn-background: #550000; --btn-text: #fff; --btn-shadow:#fff;"startDate="2026-03-29"{endDate="2026-03-29" startTime="10:30" endTime="15:30" timeZone="Europe/London" &gt;&lt;/add-to-calendar-button&gt;</v>
      </c>
      <c r="AE89" s="24">
        <v>0.4375</v>
      </c>
      <c r="AF89" s="24">
        <v>0.64583333333333337</v>
      </c>
      <c r="AG89" s="25" t="s">
        <v>1535</v>
      </c>
    </row>
    <row r="90" spans="1:33" x14ac:dyDescent="0.3">
      <c r="A90" t="s">
        <v>8</v>
      </c>
      <c r="B90" t="s">
        <v>11</v>
      </c>
      <c r="C90" t="s">
        <v>1134</v>
      </c>
      <c r="D90" t="s">
        <v>173</v>
      </c>
      <c r="E90" t="s">
        <v>2178</v>
      </c>
      <c r="F90" t="s">
        <v>309</v>
      </c>
      <c r="G90" s="7">
        <f ca="1">X90</f>
        <v>46124</v>
      </c>
      <c r="H90" s="5" t="s">
        <v>312</v>
      </c>
      <c r="I90" t="s">
        <v>1040</v>
      </c>
      <c r="J90" s="36" t="s">
        <v>2659</v>
      </c>
      <c r="M90" s="16" t="s">
        <v>614</v>
      </c>
      <c r="N90" s="16" t="s">
        <v>175</v>
      </c>
      <c r="O90" s="7">
        <v>44936</v>
      </c>
      <c r="P90" s="7" t="s">
        <v>926</v>
      </c>
      <c r="Q90" s="18">
        <v>4</v>
      </c>
      <c r="R90" s="18">
        <v>2</v>
      </c>
      <c r="S90" s="18">
        <v>1</v>
      </c>
      <c r="T90" s="4">
        <f>DATE(AI$2,$Q90,1+(($R90-($S90&gt;=WEEKDAY(DATE(AI$2,$Q90,1))))*7)+($S90-WEEKDAY(DATE(AI$2,$Q90,1))))</f>
        <v>45760</v>
      </c>
      <c r="U90" s="4">
        <f>DATE(AJ$2,$Q90,1+(($R90-($S90&gt;=WEEKDAY(DATE(AJ$2,$Q90,1))))*7)+($S90-WEEKDAY(DATE(AJ$2,$Q90,1))))</f>
        <v>46124</v>
      </c>
      <c r="V90" s="20">
        <v>0</v>
      </c>
      <c r="W90" s="20">
        <v>1</v>
      </c>
      <c r="X90" s="4">
        <f ca="1">Y90-(W90-1)</f>
        <v>46124</v>
      </c>
      <c r="Y90" s="5">
        <f ca="1">IF(OR(T90+V90&lt;(NOW()-0.5),ISNUMBER(SEARCH("&lt;h4&gt;",K90))),U90+V90,T90+V90)</f>
        <v>46124</v>
      </c>
      <c r="Z90" t="str">
        <f ca="1">CONCATENATE(IF(OR(Y90=X90,ISBLANK(Y90)),TEXT(X90,"mmmm d"),CONCATENATE(TEXT(X90,"mmmm d"),"-",IF(TEXT(X90,"mmmm")=TEXT(Y90,"mmmm"),TEXT(Y90,"d"),TEXT(Y90,"mmmm d")))),", ",YEAR(Y90))</f>
        <v>April 12, 2026</v>
      </c>
      <c r="AA90" s="7">
        <f>O90</f>
        <v>44936</v>
      </c>
      <c r="AB90" s="14">
        <f>T90+V90-(W90-1)</f>
        <v>45760</v>
      </c>
      <c r="AC90" t="s">
        <v>1247</v>
      </c>
      <c r="AD90" s="23" t="str">
        <f ca="1">CONCATENATE("&lt;add-to-calendar-button  name=",CHAR(34),H90,CHAR(34),
IF(ISBLANK(M90),"",CONCATENATE("   location=",CHAR(34),RIGHT(M90,LEN(M90)-SEARCH("|",M90)-1),CHAR(34))),
"   description=",CHAR(34),IF(ISBLANK(I90),"",CONCATENATE(I90,"; ")),"shapenotesingings.com",CHAR(34),
"   options=",CHAR(34),"'Apple','Google','iCal','Outlook.com'",CHAR(34),"   styleLight=",CHAR(34),"--btn-background: #550000; --btn-text: #fff; --btn-shadow:#fff;",CHAR(34),
IF(W90=1,CONCATENATE(
"startDate=",CHAR(34),TEXT(G90,"yyyy-mm-dd"),CHAR(34),
"{endDate=",CHAR(34),TEXT(G90,"yyyy-mm-dd"),CHAR(34),
IF(OR(ISBLANK(AE90),ISBLANK(AF90)),"",(CONCATENATE(" startTime=",CHAR(34),TEXT(AE90,"hh:mm"),CHAR(34)," endTime=",CHAR(34),TEXT(AF90,"h:mm"),CHAR(34),
" timeZone=",CHAR(34),AG90,CHAR(34))))),
IF(W90=2,CONCATENATE(" dates='[{",
CHAR(34),"startDate",CHAR(34),":",CHAR(34),TEXT(G90,"yyyy-mm-dd"),CHAR(34),", ",
,CHAR(34),"endDate",CHAR(34),":",CHAR(34),TEXT(G90,"yyyy-mm-dd"),CHAR(34),
IF(OR(ISBLANK(AE90),ISBLANK(AF90)),"",(CONCATENATE(", ",CHAR(34),"startTime",CHAR(34),":",CHAR(34),TEXT(AE90,"hh:mm"),CHAR(34),", ",CHAR(34),"endTime",CHAR(34),":",CHAR(34),TEXT(AF90,"hh:mm"),CHAR(34),", ",CHAR(34),"timeZone",CHAR(34),":",CHAR(34),AG90,CHAR(34)))),"}, {",
,CHAR(34),"startDate",CHAR(34),":",CHAR(34),TEXT(G90+1,"yyyy-mm-dd"),CHAR(34),", ",
,CHAR(34),"endDate",CHAR(34),":",CHAR(34),TEXT(G90+W90-1,"yyyy-mm-dd"),CHAR(34),
IF(OR(ISBLANK(AE90),ISBLANK(AF90)),"",(CONCATENATE(", ",CHAR(34),"startTime",CHAR(34),":",CHAR(34),TEXT(AE90,"hh:mm"),CHAR(34),", ",CHAR(34),"endTime",CHAR(34),":",CHAR(34),TEXT(AF90,"hh:mm"),CHAR(34),", ",CHAR(34),"timeZone",CHAR(34),":",CHAR(34),AG90,CHAR(34)))),"}]'"),
CONCATENATE(
"{  startDate=",CHAR(34),TEXT(G90,"yyyy-mm-dd"),CHAR(34),
"  endDate=",CHAR(34),TEXT(G90+W90-1,"yyyy-mm-dd"),CHAR(34),"}"))),
" &gt;&lt;/add-to-calendar-button&gt;")</f>
        <v>&lt;add-to-calendar-button  name="County Line Church Singing"   location="Old County Line Church, 9282 Miller Rd, Warrior, AL 35180"   description="9:30am; shapenotesingings.com"   options="'Apple','Google','iCal','Outlook.com'"   styleLight="--btn-background: #550000; --btn-text: #fff; --btn-shadow:#fff;"startDate="2026-04-12"{endDate="2026-04-12" startTime="09:30" endTime="15:00" timeZone="America/Chicago" &gt;&lt;/add-to-calendar-button&gt;</v>
      </c>
      <c r="AE90" s="24">
        <v>0.39583333333333331</v>
      </c>
      <c r="AF90" s="24">
        <v>0.625</v>
      </c>
      <c r="AG90" s="25" t="s">
        <v>1533</v>
      </c>
    </row>
    <row r="91" spans="1:33" x14ac:dyDescent="0.3">
      <c r="A91" t="s">
        <v>8</v>
      </c>
      <c r="B91" t="s">
        <v>11</v>
      </c>
      <c r="C91" t="s">
        <v>1134</v>
      </c>
      <c r="D91" t="s">
        <v>92</v>
      </c>
      <c r="E91" t="s">
        <v>2178</v>
      </c>
      <c r="F91" t="s">
        <v>309</v>
      </c>
      <c r="G91" s="7">
        <f ca="1">X91</f>
        <v>46124</v>
      </c>
      <c r="H91" s="5" t="s">
        <v>308</v>
      </c>
      <c r="I91" t="s">
        <v>1040</v>
      </c>
      <c r="J91" s="36" t="s">
        <v>2660</v>
      </c>
      <c r="K91" t="s">
        <v>1076</v>
      </c>
      <c r="M91" s="16" t="s">
        <v>310</v>
      </c>
      <c r="N91" s="16" t="s">
        <v>311</v>
      </c>
      <c r="O91" s="7">
        <v>44936</v>
      </c>
      <c r="P91" s="7" t="s">
        <v>926</v>
      </c>
      <c r="Q91" s="18">
        <v>4</v>
      </c>
      <c r="R91" s="18">
        <v>2</v>
      </c>
      <c r="S91" s="18">
        <v>1</v>
      </c>
      <c r="T91" s="4">
        <f>DATE(AI$2,$Q91,1+(($R91-($S91&gt;=WEEKDAY(DATE(AI$2,$Q91,1))))*7)+($S91-WEEKDAY(DATE(AI$2,$Q91,1))))</f>
        <v>45760</v>
      </c>
      <c r="U91" s="4">
        <f>DATE(AJ$2,$Q91,1+(($R91-($S91&gt;=WEEKDAY(DATE(AJ$2,$Q91,1))))*7)+($S91-WEEKDAY(DATE(AJ$2,$Q91,1))))</f>
        <v>46124</v>
      </c>
      <c r="V91" s="20">
        <v>0</v>
      </c>
      <c r="W91" s="20">
        <v>1</v>
      </c>
      <c r="X91" s="4">
        <f ca="1">Y91-(W91-1)</f>
        <v>46124</v>
      </c>
      <c r="Y91" s="5">
        <f ca="1">IF(OR(T91+V91&lt;(NOW()-0.5),ISNUMBER(SEARCH("&lt;h4&gt;",K91))),U91+V91,T91+V91)</f>
        <v>46124</v>
      </c>
      <c r="Z91" t="str">
        <f ca="1">CONCATENATE(IF(OR(Y91=X91,ISBLANK(Y91)),TEXT(X91,"mmmm d"),CONCATENATE(TEXT(X91,"mmmm d"),"-",IF(TEXT(X91,"mmmm")=TEXT(Y91,"mmmm"),TEXT(Y91,"d"),TEXT(Y91,"mmmm d")))),", ",YEAR(Y91))</f>
        <v>April 12, 2026</v>
      </c>
      <c r="AA91" s="7">
        <f>O91</f>
        <v>44936</v>
      </c>
      <c r="AB91" s="14">
        <f>T91+V91-(W91-1)</f>
        <v>45760</v>
      </c>
      <c r="AC91" t="s">
        <v>1248</v>
      </c>
      <c r="AD91" s="23" t="str">
        <f ca="1">CONCATENATE("&lt;add-to-calendar-button  name=",CHAR(34),H91,CHAR(34),
IF(ISBLANK(M91),"",CONCATENATE("   location=",CHAR(34),RIGHT(M91,LEN(M91)-SEARCH("|",M91)-1),CHAR(34))),
"   description=",CHAR(34),IF(ISBLANK(I91),"",CONCATENATE(I91,"; ")),"shapenotesingings.com",CHAR(34),
"   options=",CHAR(34),"'Apple','Google','iCal','Outlook.com'",CHAR(34),"   styleLight=",CHAR(34),"--btn-background: #550000; --btn-text: #fff; --btn-shadow:#fff;",CHAR(34),
IF(W91=1,CONCATENATE(
"startDate=",CHAR(34),TEXT(G91,"yyyy-mm-dd"),CHAR(34),
"{endDate=",CHAR(34),TEXT(G91,"yyyy-mm-dd"),CHAR(34),
IF(OR(ISBLANK(AE91),ISBLANK(AF91)),"",(CONCATENATE(" startTime=",CHAR(34),TEXT(AE91,"hh:mm"),CHAR(34)," endTime=",CHAR(34),TEXT(AF91,"h:mm"),CHAR(34),
" timeZone=",CHAR(34),AG91,CHAR(34))))),
IF(W91=2,CONCATENATE(" dates='[{",
CHAR(34),"startDate",CHAR(34),":",CHAR(34),TEXT(G91,"yyyy-mm-dd"),CHAR(34),", ",
,CHAR(34),"endDate",CHAR(34),":",CHAR(34),TEXT(G91,"yyyy-mm-dd"),CHAR(34),
IF(OR(ISBLANK(AE91),ISBLANK(AF91)),"",(CONCATENATE(", ",CHAR(34),"startTime",CHAR(34),":",CHAR(34),TEXT(AE91,"hh:mm"),CHAR(34),", ",CHAR(34),"endTime",CHAR(34),":",CHAR(34),TEXT(AF91,"hh:mm"),CHAR(34),", ",CHAR(34),"timeZone",CHAR(34),":",CHAR(34),AG91,CHAR(34)))),"}, {",
,CHAR(34),"startDate",CHAR(34),":",CHAR(34),TEXT(G91+1,"yyyy-mm-dd"),CHAR(34),", ",
,CHAR(34),"endDate",CHAR(34),":",CHAR(34),TEXT(G91+W91-1,"yyyy-mm-dd"),CHAR(34),
IF(OR(ISBLANK(AE91),ISBLANK(AF91)),"",(CONCATENATE(", ",CHAR(34),"startTime",CHAR(34),":",CHAR(34),TEXT(AE91,"hh:mm"),CHAR(34),", ",CHAR(34),"endTime",CHAR(34),":",CHAR(34),TEXT(AF91,"hh:mm"),CHAR(34),", ",CHAR(34),"timeZone",CHAR(34),":",CHAR(34),AG91,CHAR(34)))),"}]'"),
CONCATENATE(
"{  startDate=",CHAR(34),TEXT(G91,"yyyy-mm-dd"),CHAR(34),
"  endDate=",CHAR(34),TEXT(G91+W91-1,"yyyy-mm-dd"),CHAR(34),"}"))),
" &gt;&lt;/add-to-calendar-button&gt;")</f>
        <v>&lt;add-to-calendar-button  name="Antioch Baptist Church Singing"   location="Antioch Baptist Church, 844 Co Rd 783, Ider, AL 35981"   description="9:30am; shapenotesingings.com"   options="'Apple','Google','iCal','Outlook.com'"   styleLight="--btn-background: #550000; --btn-text: #fff; --btn-shadow:#fff;"startDate="2026-04-12"{endDate="2026-04-12" startTime="09:30" endTime="15:00" timeZone="America/Chicago" &gt;&lt;/add-to-calendar-button&gt;</v>
      </c>
      <c r="AE91" s="24">
        <v>0.39583333333333331</v>
      </c>
      <c r="AF91" s="24">
        <v>0.625</v>
      </c>
      <c r="AG91" s="25" t="s">
        <v>1533</v>
      </c>
    </row>
    <row r="92" spans="1:33" x14ac:dyDescent="0.3">
      <c r="A92" t="s">
        <v>8</v>
      </c>
      <c r="B92" t="s">
        <v>17</v>
      </c>
      <c r="C92" t="s">
        <v>1140</v>
      </c>
      <c r="D92" t="s">
        <v>315</v>
      </c>
      <c r="E92" t="s">
        <v>2178</v>
      </c>
      <c r="F92" t="s">
        <v>313</v>
      </c>
      <c r="G92" s="7">
        <f ca="1">X92</f>
        <v>46130</v>
      </c>
      <c r="H92" s="5" t="s">
        <v>314</v>
      </c>
      <c r="I92" t="s">
        <v>1028</v>
      </c>
      <c r="J92" s="36" t="s">
        <v>2661</v>
      </c>
      <c r="K92" t="s">
        <v>1077</v>
      </c>
      <c r="M92" s="16" t="s">
        <v>1523</v>
      </c>
      <c r="N92" s="16" t="s">
        <v>316</v>
      </c>
      <c r="O92" s="7">
        <v>44936</v>
      </c>
      <c r="P92" s="7" t="s">
        <v>926</v>
      </c>
      <c r="Q92" s="18">
        <v>4</v>
      </c>
      <c r="R92" s="18">
        <v>3</v>
      </c>
      <c r="S92" s="18">
        <v>1</v>
      </c>
      <c r="T92" s="4">
        <f>DATE(AI$2,$Q92,1+(($R92-($S92&gt;=WEEKDAY(DATE(AI$2,$Q92,1))))*7)+($S92-WEEKDAY(DATE(AI$2,$Q92,1))))</f>
        <v>45767</v>
      </c>
      <c r="U92" s="4">
        <f>DATE(AJ$2,$Q92,1+(($R92-($S92&gt;=WEEKDAY(DATE(AJ$2,$Q92,1))))*7)+($S92-WEEKDAY(DATE(AJ$2,$Q92,1))))</f>
        <v>46131</v>
      </c>
      <c r="V92" s="20">
        <v>-1</v>
      </c>
      <c r="W92" s="20">
        <v>1</v>
      </c>
      <c r="X92" s="4">
        <f ca="1">Y92-(W92-1)</f>
        <v>46130</v>
      </c>
      <c r="Y92" s="5">
        <f ca="1">IF(OR(T92+V92&lt;(NOW()-0.5),ISNUMBER(SEARCH("&lt;h4&gt;",K92))),U92+V92,T92+V92)</f>
        <v>46130</v>
      </c>
      <c r="Z92" t="str">
        <f ca="1">CONCATENATE(IF(OR(Y92=X92,ISBLANK(Y92)),TEXT(X92,"mmmm d"),CONCATENATE(TEXT(X92,"mmmm d"),"-",IF(TEXT(X92,"mmmm")=TEXT(Y92,"mmmm"),TEXT(Y92,"d"),TEXT(Y92,"mmmm d")))),", ",YEAR(Y92))</f>
        <v>April 18, 2026</v>
      </c>
      <c r="AA92" s="7">
        <f>O92</f>
        <v>44936</v>
      </c>
      <c r="AB92" s="14">
        <f>T92+V92-(W92-1)</f>
        <v>45766</v>
      </c>
      <c r="AC92" t="s">
        <v>1522</v>
      </c>
      <c r="AD92" s="23" t="str">
        <f ca="1">CONCATENATE("&lt;add-to-calendar-button  name=",CHAR(34),H92,CHAR(34),
IF(ISBLANK(M92),"",CONCATENATE("   location=",CHAR(34),RIGHT(M92,LEN(M92)-SEARCH("|",M92)-1),CHAR(34))),
"   description=",CHAR(34),IF(ISBLANK(I92),"",CONCATENATE(I92,"; ")),"shapenotesingings.com",CHAR(34),
"   options=",CHAR(34),"'Apple','Google','iCal','Outlook.com'",CHAR(34),"   styleLight=",CHAR(34),"--btn-background: #550000; --btn-text: #fff; --btn-shadow:#fff;",CHAR(34),
IF(W92=1,CONCATENATE(
"startDate=",CHAR(34),TEXT(G92,"yyyy-mm-dd"),CHAR(34),
"{endDate=",CHAR(34),TEXT(G92,"yyyy-mm-dd"),CHAR(34),
IF(OR(ISBLANK(AE92),ISBLANK(AF92)),"",(CONCATENATE(" startTime=",CHAR(34),TEXT(AE92,"hh:mm"),CHAR(34)," endTime=",CHAR(34),TEXT(AF92,"h:mm"),CHAR(34),
" timeZone=",CHAR(34),AG92,CHAR(34))))),
IF(W92=2,CONCATENATE(" dates='[{",
CHAR(34),"startDate",CHAR(34),":",CHAR(34),TEXT(G92,"yyyy-mm-dd"),CHAR(34),", ",
,CHAR(34),"endDate",CHAR(34),":",CHAR(34),TEXT(G92,"yyyy-mm-dd"),CHAR(34),
IF(OR(ISBLANK(AE92),ISBLANK(AF92)),"",(CONCATENATE(", ",CHAR(34),"startTime",CHAR(34),":",CHAR(34),TEXT(AE92,"hh:mm"),CHAR(34),", ",CHAR(34),"endTime",CHAR(34),":",CHAR(34),TEXT(AF92,"hh:mm"),CHAR(34),", ",CHAR(34),"timeZone",CHAR(34),":",CHAR(34),AG92,CHAR(34)))),"}, {",
,CHAR(34),"startDate",CHAR(34),":",CHAR(34),TEXT(G92+1,"yyyy-mm-dd"),CHAR(34),", ",
,CHAR(34),"endDate",CHAR(34),":",CHAR(34),TEXT(G92+W92-1,"yyyy-mm-dd"),CHAR(34),
IF(OR(ISBLANK(AE92),ISBLANK(AF92)),"",(CONCATENATE(", ",CHAR(34),"startTime",CHAR(34),":",CHAR(34),TEXT(AE92,"hh:mm"),CHAR(34),", ",CHAR(34),"endTime",CHAR(34),":",CHAR(34),TEXT(AF92,"hh:mm"),CHAR(34),", ",CHAR(34),"timeZone",CHAR(34),":",CHAR(34),AG92,CHAR(34)))),"}]'"),
CONCATENATE(
"{  startDate=",CHAR(34),TEXT(G92,"yyyy-mm-dd"),CHAR(34),
"  endDate=",CHAR(34),TEXT(G92+W92-1,"yyyy-mm-dd"),CHAR(34),"}"))),
" &gt;&lt;/add-to-calendar-button&gt;")</f>
        <v>&lt;add-to-calendar-button  name="Middle Georgia Sacred Harp Singing"   location="Union Church, Johnstonville Rd &amp; Farm Rd, Barnesville GA 30204"   description="10am; shapenotesingings.com"   options="'Apple','Google','iCal','Outlook.com'"   styleLight="--btn-background: #550000; --btn-text: #fff; --btn-shadow:#fff;"startDate="2026-04-18"{endDate="2026-04-18" startTime="10:00" endTime="15:00" timeZone="America/New_York" &gt;&lt;/add-to-calendar-button&gt;</v>
      </c>
      <c r="AE92" s="24">
        <v>0.41666666666666669</v>
      </c>
      <c r="AF92" s="24">
        <v>0.625</v>
      </c>
      <c r="AG92" s="25" t="s">
        <v>1532</v>
      </c>
    </row>
    <row r="93" spans="1:33" x14ac:dyDescent="0.3">
      <c r="A93" t="s">
        <v>8</v>
      </c>
      <c r="B93" t="s">
        <v>1398</v>
      </c>
      <c r="C93" t="s">
        <v>1399</v>
      </c>
      <c r="D93" t="s">
        <v>1790</v>
      </c>
      <c r="E93" t="s">
        <v>2178</v>
      </c>
      <c r="F93" t="s">
        <v>313</v>
      </c>
      <c r="G93" s="7">
        <f ca="1">X93</f>
        <v>46130</v>
      </c>
      <c r="H93" s="5" t="s">
        <v>1400</v>
      </c>
      <c r="I93" t="s">
        <v>1037</v>
      </c>
      <c r="J93" s="36" t="s">
        <v>2662</v>
      </c>
      <c r="L93" t="s">
        <v>2030</v>
      </c>
      <c r="M93" s="16" t="s">
        <v>1792</v>
      </c>
      <c r="N93" s="16" t="s">
        <v>1793</v>
      </c>
      <c r="O93" s="7">
        <v>45247</v>
      </c>
      <c r="P93" s="7" t="s">
        <v>1791</v>
      </c>
      <c r="Q93" s="18">
        <v>4</v>
      </c>
      <c r="R93" s="18">
        <v>3</v>
      </c>
      <c r="S93" s="18">
        <v>1</v>
      </c>
      <c r="T93" s="4">
        <f>DATE(AI$2,$Q93,1+(($R93-($S93&gt;=WEEKDAY(DATE(AI$2,$Q93,1))))*7)+($S93-WEEKDAY(DATE(AI$2,$Q93,1))))</f>
        <v>45767</v>
      </c>
      <c r="U93" s="4">
        <f>DATE(AJ$2,$Q93,1+(($R93-($S93&gt;=WEEKDAY(DATE(AJ$2,$Q93,1))))*7)+($S93-WEEKDAY(DATE(AJ$2,$Q93,1))))</f>
        <v>46131</v>
      </c>
      <c r="V93" s="20">
        <v>-1</v>
      </c>
      <c r="W93" s="20">
        <v>1</v>
      </c>
      <c r="X93" s="4">
        <f ca="1">Y93-(W93-1)</f>
        <v>46130</v>
      </c>
      <c r="Y93" s="5">
        <f ca="1">IF(OR(T93+V93&lt;(NOW()-0.5),ISNUMBER(SEARCH("&lt;h4&gt;",K93))),U93+V93,T93+V93)</f>
        <v>46130</v>
      </c>
      <c r="Z93" t="str">
        <f ca="1">CONCATENATE(IF(OR(Y93=X93,ISBLANK(Y93)),TEXT(X93,"mmmm d"),CONCATENATE(TEXT(X93,"mmmm d"),"-",IF(TEXT(X93,"mmmm")=TEXT(Y93,"mmmm"),TEXT(Y93,"d"),TEXT(Y93,"mmmm d")))),", ",YEAR(Y93))</f>
        <v>April 18, 2026</v>
      </c>
      <c r="AA93" s="7">
        <f>O93</f>
        <v>45247</v>
      </c>
      <c r="AB93" s="14">
        <f>T93+V93-(W93-1)</f>
        <v>45766</v>
      </c>
      <c r="AC93" t="s">
        <v>1794</v>
      </c>
      <c r="AD93" s="23" t="str">
        <f ca="1">CONCATENATE("&lt;add-to-calendar-button  name=",CHAR(34),H93,CHAR(34),
IF(ISBLANK(M93),"",CONCATENATE("   location=",CHAR(34),RIGHT(M93,LEN(M93)-SEARCH("|",M93)-1),CHAR(34))),
"   description=",CHAR(34),IF(ISBLANK(I93),"",CONCATENATE(I93,"; ")),"shapenotesingings.com",CHAR(34),
"   options=",CHAR(34),"'Apple','Google','iCal','Outlook.com'",CHAR(34),"   styleLight=",CHAR(34),"--btn-background: #550000; --btn-text: #fff; --btn-shadow:#fff;",CHAR(34),
IF(W93=1,CONCATENATE(
"startDate=",CHAR(34),TEXT(G93,"yyyy-mm-dd"),CHAR(34),
"{endDate=",CHAR(34),TEXT(G93,"yyyy-mm-dd"),CHAR(34),
IF(OR(ISBLANK(AE93),ISBLANK(AF93)),"",(CONCATENATE(" startTime=",CHAR(34),TEXT(AE93,"hh:mm"),CHAR(34)," endTime=",CHAR(34),TEXT(AF93,"h:mm"),CHAR(34),
" timeZone=",CHAR(34),AG93,CHAR(34))))),
IF(W93=2,CONCATENATE(" dates='[{",
CHAR(34),"startDate",CHAR(34),":",CHAR(34),TEXT(G93,"yyyy-mm-dd"),CHAR(34),", ",
,CHAR(34),"endDate",CHAR(34),":",CHAR(34),TEXT(G93,"yyyy-mm-dd"),CHAR(34),
IF(OR(ISBLANK(AE93),ISBLANK(AF93)),"",(CONCATENATE(", ",CHAR(34),"startTime",CHAR(34),":",CHAR(34),TEXT(AE93,"hh:mm"),CHAR(34),", ",CHAR(34),"endTime",CHAR(34),":",CHAR(34),TEXT(AF93,"hh:mm"),CHAR(34),", ",CHAR(34),"timeZone",CHAR(34),":",CHAR(34),AG93,CHAR(34)))),"}, {",
,CHAR(34),"startDate",CHAR(34),":",CHAR(34),TEXT(G93+1,"yyyy-mm-dd"),CHAR(34),", ",
,CHAR(34),"endDate",CHAR(34),":",CHAR(34),TEXT(G93+W93-1,"yyyy-mm-dd"),CHAR(34),
IF(OR(ISBLANK(AE93),ISBLANK(AF93)),"",(CONCATENATE(", ",CHAR(34),"startTime",CHAR(34),":",CHAR(34),TEXT(AE93,"hh:mm"),CHAR(34),", ",CHAR(34),"endTime",CHAR(34),":",CHAR(34),TEXT(AF93,"hh:mm"),CHAR(34),", ",CHAR(34),"timeZone",CHAR(34),":",CHAR(34),AG93,CHAR(34)))),"}]'"),
CONCATENATE(
"{  startDate=",CHAR(34),TEXT(G93,"yyyy-mm-dd"),CHAR(34),
"  endDate=",CHAR(34),TEXT(G93+W93-1,"yyyy-mm-dd"),CHAR(34),"}"))),
" &gt;&lt;/add-to-calendar-button&gt;")</f>
        <v>&lt;add-to-calendar-button  name="Rhode Island All-Day Singing"   location="Providence Friends Meeting, 99 Morris Ave, Providence, RI 02906"   description="10am-3pm; shapenotesingings.com"   options="'Apple','Google','iCal','Outlook.com'"   styleLight="--btn-background: #550000; --btn-text: #fff; --btn-shadow:#fff;"startDate="2026-04-18"{endDate="2026-04-18" startTime="10:00" endTime="15:00" timeZone="America/New_York" &gt;&lt;/add-to-calendar-button&gt;</v>
      </c>
      <c r="AE93" s="24">
        <v>0.41666666666666669</v>
      </c>
      <c r="AF93" s="24">
        <v>0.625</v>
      </c>
      <c r="AG93" s="25" t="s">
        <v>1532</v>
      </c>
    </row>
    <row r="94" spans="1:33" x14ac:dyDescent="0.3">
      <c r="A94" t="s">
        <v>8</v>
      </c>
      <c r="B94" t="s">
        <v>11</v>
      </c>
      <c r="C94" t="s">
        <v>1134</v>
      </c>
      <c r="D94" t="s">
        <v>168</v>
      </c>
      <c r="E94" t="s">
        <v>2932</v>
      </c>
      <c r="F94" t="s">
        <v>385</v>
      </c>
      <c r="G94" s="7">
        <f ca="1">X94</f>
        <v>45794</v>
      </c>
      <c r="H94" s="5" t="s">
        <v>1168</v>
      </c>
      <c r="I94" t="s">
        <v>1459</v>
      </c>
      <c r="L94" t="s">
        <v>2933</v>
      </c>
      <c r="M94" s="16" t="s">
        <v>1169</v>
      </c>
      <c r="N94" s="16" t="s">
        <v>1170</v>
      </c>
      <c r="O94" s="7">
        <v>45758</v>
      </c>
      <c r="P94" s="7" t="s">
        <v>2931</v>
      </c>
      <c r="Q94" s="18">
        <v>5</v>
      </c>
      <c r="R94" s="18">
        <v>3</v>
      </c>
      <c r="S94" s="18">
        <v>1</v>
      </c>
      <c r="T94" s="4">
        <f>DATE(AI$2,$Q94,1+(($R94-($S94&gt;=WEEKDAY(DATE(AI$2,$Q94,1))))*7)+($S94-WEEKDAY(DATE(AI$2,$Q94,1))))</f>
        <v>45795</v>
      </c>
      <c r="U94" s="4">
        <f>DATE(AJ$2,$Q94,1+(($R94-($S94&gt;=WEEKDAY(DATE(AJ$2,$Q94,1))))*7)+($S94-WEEKDAY(DATE(AJ$2,$Q94,1))))</f>
        <v>46159</v>
      </c>
      <c r="V94" s="20">
        <v>-1</v>
      </c>
      <c r="W94" s="20">
        <v>1</v>
      </c>
      <c r="X94" s="4">
        <f ca="1">Y94-(W94-1)</f>
        <v>45794</v>
      </c>
      <c r="Y94" s="5">
        <f ca="1">IF(OR(T94+V94&lt;(NOW()-0.5),ISNUMBER(SEARCH("&lt;h4&gt;",K94))),U94+V94,T94+V94)</f>
        <v>45794</v>
      </c>
      <c r="Z94" t="str">
        <f ca="1">CONCATENATE(IF(OR(Y94=X94,ISBLANK(Y94)),TEXT(X94,"mmmm d"),CONCATENATE(TEXT(X94,"mmmm d"),"-",IF(TEXT(X94,"mmmm")=TEXT(Y94,"mmmm"),TEXT(Y94,"d"),TEXT(Y94,"mmmm d")))),", ",YEAR(Y94))</f>
        <v>May 17, 2025</v>
      </c>
      <c r="AA94" s="7">
        <f>O94</f>
        <v>45758</v>
      </c>
      <c r="AB94" s="14">
        <f>T94+V94-(W94-1)</f>
        <v>45794</v>
      </c>
      <c r="AC94" t="s">
        <v>1249</v>
      </c>
      <c r="AD94" s="23" t="str">
        <f ca="1">CONCATENATE("&lt;add-to-calendar-button  name=",CHAR(34),H94,CHAR(34),
IF(ISBLANK(M94),"",CONCATENATE("   location=",CHAR(34),RIGHT(M94,LEN(M94)-SEARCH("|",M94)-1),CHAR(34))),
"   description=",CHAR(34),IF(ISBLANK(I94),"",CONCATENATE(I94,"; ")),"shapenotesingings.com",CHAR(34),
"   options=",CHAR(34),"'Apple','Google','iCal','Outlook.com'",CHAR(34),"   styleLight=",CHAR(34),"--btn-background: #550000; --btn-text: #fff; --btn-shadow:#fff;",CHAR(34),
IF(W94=1,CONCATENATE(
"startDate=",CHAR(34),TEXT(G94,"yyyy-mm-dd"),CHAR(34),
"{endDate=",CHAR(34),TEXT(G94,"yyyy-mm-dd"),CHAR(34),
IF(OR(ISBLANK(AE94),ISBLANK(AF94)),"",(CONCATENATE(" startTime=",CHAR(34),TEXT(AE94,"hh:mm"),CHAR(34)," endTime=",CHAR(34),TEXT(AF94,"h:mm"),CHAR(34),
" timeZone=",CHAR(34),AG94,CHAR(34))))),
IF(W94=2,CONCATENATE(" dates='[{",
CHAR(34),"startDate",CHAR(34),":",CHAR(34),TEXT(G94,"yyyy-mm-dd"),CHAR(34),", ",
,CHAR(34),"endDate",CHAR(34),":",CHAR(34),TEXT(G94,"yyyy-mm-dd"),CHAR(34),
IF(OR(ISBLANK(AE94),ISBLANK(AF94)),"",(CONCATENATE(", ",CHAR(34),"startTime",CHAR(34),":",CHAR(34),TEXT(AE94,"hh:mm"),CHAR(34),", ",CHAR(34),"endTime",CHAR(34),":",CHAR(34),TEXT(AF94,"hh:mm"),CHAR(34),", ",CHAR(34),"timeZone",CHAR(34),":",CHAR(34),AG94,CHAR(34)))),"}, {",
,CHAR(34),"startDate",CHAR(34),":",CHAR(34),TEXT(G94+1,"yyyy-mm-dd"),CHAR(34),", ",
,CHAR(34),"endDate",CHAR(34),":",CHAR(34),TEXT(G94+W94-1,"yyyy-mm-dd"),CHAR(34),
IF(OR(ISBLANK(AE94),ISBLANK(AF94)),"",(CONCATENATE(", ",CHAR(34),"startTime",CHAR(34),":",CHAR(34),TEXT(AE94,"hh:mm"),CHAR(34),", ",CHAR(34),"endTime",CHAR(34),":",CHAR(34),TEXT(AF94,"hh:mm"),CHAR(34),", ",CHAR(34),"timeZone",CHAR(34),":",CHAR(34),AG94,CHAR(34)))),"}]'"),
CONCATENATE(
"{  startDate=",CHAR(34),TEXT(G94,"yyyy-mm-dd"),CHAR(34),
"  endDate=",CHAR(34),TEXT(G94+W94-1,"yyyy-mm-dd"),CHAR(34),"}"))),
" &gt;&lt;/add-to-calendar-button&gt;")</f>
        <v>&lt;add-to-calendar-button  name="Judge Jackson Memorial Singing"   location="Union Grove Baptist Church, Co Rd 30, Ozark, AL 36360"   description="2pm; shapenotesingings.com"   options="'Apple','Google','iCal','Outlook.com'"   styleLight="--btn-background: #550000; --btn-text: #fff; --btn-shadow:#fff;"startDate="2025-05-17"{endDate="2025-05-17" &gt;&lt;/add-to-calendar-button&gt;</v>
      </c>
      <c r="AE94" s="24">
        <v>0.58333333333333337</v>
      </c>
      <c r="AG94" s="25" t="s">
        <v>1533</v>
      </c>
    </row>
    <row r="95" spans="1:33" x14ac:dyDescent="0.3">
      <c r="A95" t="s">
        <v>8</v>
      </c>
      <c r="B95" t="s">
        <v>324</v>
      </c>
      <c r="C95" t="s">
        <v>1139</v>
      </c>
      <c r="D95" t="s">
        <v>325</v>
      </c>
      <c r="E95" t="s">
        <v>2178</v>
      </c>
      <c r="F95" t="s">
        <v>63</v>
      </c>
      <c r="G95" s="7">
        <f ca="1">X95</f>
        <v>46131</v>
      </c>
      <c r="H95" s="5" t="s">
        <v>323</v>
      </c>
      <c r="I95" t="s">
        <v>1037</v>
      </c>
      <c r="J95" s="36" t="s">
        <v>2663</v>
      </c>
      <c r="L95" t="s">
        <v>2407</v>
      </c>
      <c r="M95" s="16" t="s">
        <v>2409</v>
      </c>
      <c r="N95" s="16" t="s">
        <v>2410</v>
      </c>
      <c r="O95" s="7">
        <v>45638</v>
      </c>
      <c r="P95" s="7" t="s">
        <v>2408</v>
      </c>
      <c r="Q95" s="18">
        <v>4</v>
      </c>
      <c r="R95" s="18">
        <v>3</v>
      </c>
      <c r="S95" s="18">
        <v>1</v>
      </c>
      <c r="T95" s="4">
        <f>DATE(AI$2,$Q95,1+(($R95-($S95&gt;=WEEKDAY(DATE(AI$2,$Q95,1))))*7)+($S95-WEEKDAY(DATE(AI$2,$Q95,1))))</f>
        <v>45767</v>
      </c>
      <c r="U95" s="4">
        <f>DATE(AJ$2,$Q95,1+(($R95-($S95&gt;=WEEKDAY(DATE(AJ$2,$Q95,1))))*7)+($S95-WEEKDAY(DATE(AJ$2,$Q95,1))))</f>
        <v>46131</v>
      </c>
      <c r="V95" s="20">
        <v>0</v>
      </c>
      <c r="W95" s="20">
        <v>1</v>
      </c>
      <c r="X95" s="4">
        <f ca="1">Y95-(W95-1)</f>
        <v>46131</v>
      </c>
      <c r="Y95" s="5">
        <f ca="1">IF(OR(T95+V95&lt;(NOW()-0.5),ISNUMBER(SEARCH("&lt;h4&gt;",K95))),U95+V95,T95+V95)</f>
        <v>46131</v>
      </c>
      <c r="Z95" t="str">
        <f ca="1">CONCATENATE(IF(OR(Y95=X95,ISBLANK(Y95)),TEXT(X95,"mmmm d"),CONCATENATE(TEXT(X95,"mmmm d"),"-",IF(TEXT(X95,"mmmm")=TEXT(Y95,"mmmm"),TEXT(Y95,"d"),TEXT(Y95,"mmmm d")))),", ",YEAR(Y95))</f>
        <v>April 19, 2026</v>
      </c>
      <c r="AA95" s="7">
        <f>O95</f>
        <v>45638</v>
      </c>
      <c r="AB95" s="14">
        <f>T95+V95-(W95-1)</f>
        <v>45767</v>
      </c>
      <c r="AC95" t="s">
        <v>2411</v>
      </c>
      <c r="AD95" s="23" t="str">
        <f ca="1">CONCATENATE("&lt;add-to-calendar-button  name=",CHAR(34),H95,CHAR(34),
IF(ISBLANK(M95),"",CONCATENATE("   location=",CHAR(34),RIGHT(M95,LEN(M95)-SEARCH("|",M95)-1),CHAR(34))),
"   description=",CHAR(34),IF(ISBLANK(I95),"",CONCATENATE(I95,"; ")),"shapenotesingings.com",CHAR(34),
"   options=",CHAR(34),"'Apple','Google','iCal','Outlook.com'",CHAR(34),"   styleLight=",CHAR(34),"--btn-background: #550000; --btn-text: #fff; --btn-shadow:#fff;",CHAR(34),
IF(W95=1,CONCATENATE(
"startDate=",CHAR(34),TEXT(G95,"yyyy-mm-dd"),CHAR(34),
"{endDate=",CHAR(34),TEXT(G95,"yyyy-mm-dd"),CHAR(34),
IF(OR(ISBLANK(AE95),ISBLANK(AF95)),"",(CONCATENATE(" startTime=",CHAR(34),TEXT(AE95,"hh:mm"),CHAR(34)," endTime=",CHAR(34),TEXT(AF95,"h:mm"),CHAR(34),
" timeZone=",CHAR(34),AG95,CHAR(34))))),
IF(W95=2,CONCATENATE(" dates='[{",
CHAR(34),"startDate",CHAR(34),":",CHAR(34),TEXT(G95,"yyyy-mm-dd"),CHAR(34),", ",
,CHAR(34),"endDate",CHAR(34),":",CHAR(34),TEXT(G95,"yyyy-mm-dd"),CHAR(34),
IF(OR(ISBLANK(AE95),ISBLANK(AF95)),"",(CONCATENATE(", ",CHAR(34),"startTime",CHAR(34),":",CHAR(34),TEXT(AE95,"hh:mm"),CHAR(34),", ",CHAR(34),"endTime",CHAR(34),":",CHAR(34),TEXT(AF95,"hh:mm"),CHAR(34),", ",CHAR(34),"timeZone",CHAR(34),":",CHAR(34),AG95,CHAR(34)))),"}, {",
,CHAR(34),"startDate",CHAR(34),":",CHAR(34),TEXT(G95+1,"yyyy-mm-dd"),CHAR(34),", ",
,CHAR(34),"endDate",CHAR(34),":",CHAR(34),TEXT(G95+W95-1,"yyyy-mm-dd"),CHAR(34),
IF(OR(ISBLANK(AE95),ISBLANK(AF95)),"",(CONCATENATE(", ",CHAR(34),"startTime",CHAR(34),":",CHAR(34),TEXT(AE95,"hh:mm"),CHAR(34),", ",CHAR(34),"endTime",CHAR(34),":",CHAR(34),TEXT(AF95,"hh:mm"),CHAR(34),", ",CHAR(34),"timeZone",CHAR(34),":",CHAR(34),AG95,CHAR(34)))),"}]'"),
CONCATENATE(
"{  startDate=",CHAR(34),TEXT(G95,"yyyy-mm-dd"),CHAR(34),
"  endDate=",CHAR(34),TEXT(G95+W95-1,"yyyy-mm-dd"),CHAR(34),"}"))),
" &gt;&lt;/add-to-calendar-button&gt;")</f>
        <v>&lt;add-to-calendar-button  name="New Haven Singing"   location="Rosenfeld Hall, 109 Grove St, New Haven, CT 06510"   description="10am-3pm; shapenotesingings.com"   options="'Apple','Google','iCal','Outlook.com'"   styleLight="--btn-background: #550000; --btn-text: #fff; --btn-shadow:#fff;"startDate="2026-04-19"{endDate="2026-04-19" startTime="10:00" endTime="15:00" timeZone="America/New_York" &gt;&lt;/add-to-calendar-button&gt;</v>
      </c>
      <c r="AE95" s="24">
        <v>0.41666666666666669</v>
      </c>
      <c r="AF95" s="24">
        <v>0.625</v>
      </c>
      <c r="AG95" s="25" t="s">
        <v>1532</v>
      </c>
    </row>
    <row r="96" spans="1:33" x14ac:dyDescent="0.3">
      <c r="A96" t="s">
        <v>8</v>
      </c>
      <c r="B96" t="s">
        <v>273</v>
      </c>
      <c r="C96" t="s">
        <v>1160</v>
      </c>
      <c r="D96" t="s">
        <v>1463</v>
      </c>
      <c r="E96" t="s">
        <v>777</v>
      </c>
      <c r="F96" t="s">
        <v>63</v>
      </c>
      <c r="G96" s="7">
        <f ca="1">X96</f>
        <v>46131</v>
      </c>
      <c r="H96" s="5" t="s">
        <v>1464</v>
      </c>
      <c r="I96" t="s">
        <v>1459</v>
      </c>
      <c r="J96" s="36" t="s">
        <v>2586</v>
      </c>
      <c r="L96" t="s">
        <v>1448</v>
      </c>
      <c r="M96" s="16" t="s">
        <v>1466</v>
      </c>
      <c r="N96" s="16" t="s">
        <v>1467</v>
      </c>
      <c r="O96" s="7">
        <v>45012</v>
      </c>
      <c r="P96" s="7" t="s">
        <v>1509</v>
      </c>
      <c r="Q96" s="18">
        <v>4</v>
      </c>
      <c r="R96" s="18">
        <v>3</v>
      </c>
      <c r="S96" s="18">
        <v>1</v>
      </c>
      <c r="T96" s="4">
        <f>DATE(AI$2,$Q96,1+(($R96-($S96&gt;=WEEKDAY(DATE(AI$2,$Q96,1))))*7)+($S96-WEEKDAY(DATE(AI$2,$Q96,1))))</f>
        <v>45767</v>
      </c>
      <c r="U96" s="4">
        <f>DATE(AJ$2,$Q96,1+(($R96-($S96&gt;=WEEKDAY(DATE(AJ$2,$Q96,1))))*7)+($S96-WEEKDAY(DATE(AJ$2,$Q96,1))))</f>
        <v>46131</v>
      </c>
      <c r="V96" s="20">
        <v>0</v>
      </c>
      <c r="W96" s="20">
        <v>1</v>
      </c>
      <c r="X96" s="4">
        <f ca="1">Y96-(W96-1)</f>
        <v>46131</v>
      </c>
      <c r="Y96" s="5">
        <f ca="1">IF(OR(T96+V96&lt;(NOW()-0.5),ISNUMBER(SEARCH("&lt;h4&gt;",K96))),U96+V96,T96+V96)</f>
        <v>46131</v>
      </c>
      <c r="Z96" t="str">
        <f ca="1">CONCATENATE(IF(OR(Y96=X96,ISBLANK(Y96)),TEXT(X96,"mmmm d"),CONCATENATE(TEXT(X96,"mmmm d"),"-",IF(TEXT(X96,"mmmm")=TEXT(Y96,"mmmm"),TEXT(Y96,"d"),TEXT(Y96,"mmmm d")))),", ",YEAR(Y96))</f>
        <v>April 19, 2026</v>
      </c>
      <c r="AA96" s="7">
        <f>O96</f>
        <v>45012</v>
      </c>
      <c r="AB96" s="14">
        <f>T96+V96-(W96-1)</f>
        <v>45767</v>
      </c>
      <c r="AC96" t="s">
        <v>1465</v>
      </c>
      <c r="AD96" s="23" t="str">
        <f ca="1">CONCATENATE("&lt;add-to-calendar-button  name=",CHAR(34),H96,CHAR(34),
IF(ISBLANK(M96),"",CONCATENATE("   location=",CHAR(34),RIGHT(M96,LEN(M96)-SEARCH("|",M96)-1),CHAR(34))),
"   description=",CHAR(34),IF(ISBLANK(I96),"",CONCATENATE(I96,"; ")),"shapenotesingings.com",CHAR(34),
"   options=",CHAR(34),"'Apple','Google','iCal','Outlook.com'",CHAR(34),"   styleLight=",CHAR(34),"--btn-background: #550000; --btn-text: #fff; --btn-shadow:#fff;",CHAR(34),
IF(W96=1,CONCATENATE(
"startDate=",CHAR(34),TEXT(G96,"yyyy-mm-dd"),CHAR(34),
"{endDate=",CHAR(34),TEXT(G96,"yyyy-mm-dd"),CHAR(34),
IF(OR(ISBLANK(AE96),ISBLANK(AF96)),"",(CONCATENATE(" startTime=",CHAR(34),TEXT(AE96,"hh:mm"),CHAR(34)," endTime=",CHAR(34),TEXT(AF96,"h:mm"),CHAR(34),
" timeZone=",CHAR(34),AG96,CHAR(34))))),
IF(W96=2,CONCATENATE(" dates='[{",
CHAR(34),"startDate",CHAR(34),":",CHAR(34),TEXT(G96,"yyyy-mm-dd"),CHAR(34),", ",
,CHAR(34),"endDate",CHAR(34),":",CHAR(34),TEXT(G96,"yyyy-mm-dd"),CHAR(34),
IF(OR(ISBLANK(AE96),ISBLANK(AF96)),"",(CONCATENATE(", ",CHAR(34),"startTime",CHAR(34),":",CHAR(34),TEXT(AE96,"hh:mm"),CHAR(34),", ",CHAR(34),"endTime",CHAR(34),":",CHAR(34),TEXT(AF96,"hh:mm"),CHAR(34),", ",CHAR(34),"timeZone",CHAR(34),":",CHAR(34),AG96,CHAR(34)))),"}, {",
,CHAR(34),"startDate",CHAR(34),":",CHAR(34),TEXT(G96+1,"yyyy-mm-dd"),CHAR(34),", ",
,CHAR(34),"endDate",CHAR(34),":",CHAR(34),TEXT(G96+W96-1,"yyyy-mm-dd"),CHAR(34),
IF(OR(ISBLANK(AE96),ISBLANK(AF96)),"",(CONCATENATE(", ",CHAR(34),"startTime",CHAR(34),":",CHAR(34),TEXT(AE96,"hh:mm"),CHAR(34),", ",CHAR(34),"endTime",CHAR(34),":",CHAR(34),TEXT(AF96,"hh:mm"),CHAR(34),", ",CHAR(34),"timeZone",CHAR(34),":",CHAR(34),AG96,CHAR(34)))),"}]'"),
CONCATENATE(
"{  startDate=",CHAR(34),TEXT(G96,"yyyy-mm-dd"),CHAR(34),
"  endDate=",CHAR(34),TEXT(G96+W96-1,"yyyy-mm-dd"),CHAR(34),"}"))),
" &gt;&lt;/add-to-calendar-button&gt;")</f>
        <v>&lt;add-to-calendar-button  name="Tuckaleechee United Methodist Church Singing"   location="Tuckaleechee UMC, 7322 Old Tuckaleechee Rd, Townsend, TN 37882"   description="2pm; shapenotesingings.com"   options="'Apple','Google','iCal','Outlook.com'"   styleLight="--btn-background: #550000; --btn-text: #fff; --btn-shadow:#fff;"startDate="2026-04-19"{endDate="2026-04-19" &gt;&lt;/add-to-calendar-button&gt;</v>
      </c>
      <c r="AG96" s="25" t="s">
        <v>1532</v>
      </c>
    </row>
    <row r="97" spans="1:33" x14ac:dyDescent="0.3">
      <c r="A97" t="s">
        <v>8</v>
      </c>
      <c r="B97" t="s">
        <v>11</v>
      </c>
      <c r="C97" t="s">
        <v>1134</v>
      </c>
      <c r="D97" t="s">
        <v>85</v>
      </c>
      <c r="E97" t="s">
        <v>2178</v>
      </c>
      <c r="F97" t="s">
        <v>63</v>
      </c>
      <c r="G97" s="7">
        <f ca="1">X97</f>
        <v>46131</v>
      </c>
      <c r="H97" s="5" t="s">
        <v>320</v>
      </c>
      <c r="I97" t="s">
        <v>1040</v>
      </c>
      <c r="J97" s="36" t="s">
        <v>2664</v>
      </c>
      <c r="K97" t="s">
        <v>1079</v>
      </c>
      <c r="M97" s="16" t="s">
        <v>321</v>
      </c>
      <c r="N97" s="16" t="s">
        <v>322</v>
      </c>
      <c r="O97" s="7">
        <v>44936</v>
      </c>
      <c r="P97" s="7" t="s">
        <v>926</v>
      </c>
      <c r="Q97" s="18">
        <v>4</v>
      </c>
      <c r="R97" s="18">
        <v>3</v>
      </c>
      <c r="S97" s="18">
        <v>1</v>
      </c>
      <c r="T97" s="4">
        <f>DATE(AI$2,$Q97,1+(($R97-($S97&gt;=WEEKDAY(DATE(AI$2,$Q97,1))))*7)+($S97-WEEKDAY(DATE(AI$2,$Q97,1))))</f>
        <v>45767</v>
      </c>
      <c r="U97" s="4">
        <f>DATE(AJ$2,$Q97,1+(($R97-($S97&gt;=WEEKDAY(DATE(AJ$2,$Q97,1))))*7)+($S97-WEEKDAY(DATE(AJ$2,$Q97,1))))</f>
        <v>46131</v>
      </c>
      <c r="V97" s="20">
        <v>0</v>
      </c>
      <c r="W97" s="20">
        <v>1</v>
      </c>
      <c r="X97" s="4">
        <f ca="1">Y97-(W97-1)</f>
        <v>46131</v>
      </c>
      <c r="Y97" s="5">
        <f ca="1">IF(OR(T97+V97&lt;(NOW()-0.5),ISNUMBER(SEARCH("&lt;h4&gt;",K97))),U97+V97,T97+V97)</f>
        <v>46131</v>
      </c>
      <c r="Z97" t="str">
        <f ca="1">CONCATENATE(IF(OR(Y97=X97,ISBLANK(Y97)),TEXT(X97,"mmmm d"),CONCATENATE(TEXT(X97,"mmmm d"),"-",IF(TEXT(X97,"mmmm")=TEXT(Y97,"mmmm"),TEXT(Y97,"d"),TEXT(Y97,"mmmm d")))),", ",YEAR(Y97))</f>
        <v>April 19, 2026</v>
      </c>
      <c r="AA97" s="7">
        <f>O97</f>
        <v>44936</v>
      </c>
      <c r="AB97" s="14">
        <f>T97+V97-(W97-1)</f>
        <v>45767</v>
      </c>
      <c r="AC97" t="s">
        <v>1251</v>
      </c>
      <c r="AD97" s="23" t="str">
        <f ca="1">CONCATENATE("&lt;add-to-calendar-button  name=",CHAR(34),H97,CHAR(34),
IF(ISBLANK(M97),"",CONCATENATE("   location=",CHAR(34),RIGHT(M97,LEN(M97)-SEARCH("|",M97)-1),CHAR(34))),
"   description=",CHAR(34),IF(ISBLANK(I97),"",CONCATENATE(I97,"; ")),"shapenotesingings.com",CHAR(34),
"   options=",CHAR(34),"'Apple','Google','iCal','Outlook.com'",CHAR(34),"   styleLight=",CHAR(34),"--btn-background: #550000; --btn-text: #fff; --btn-shadow:#fff;",CHAR(34),
IF(W97=1,CONCATENATE(
"startDate=",CHAR(34),TEXT(G97,"yyyy-mm-dd"),CHAR(34),
"{endDate=",CHAR(34),TEXT(G97,"yyyy-mm-dd"),CHAR(34),
IF(OR(ISBLANK(AE97),ISBLANK(AF97)),"",(CONCATENATE(" startTime=",CHAR(34),TEXT(AE97,"hh:mm"),CHAR(34)," endTime=",CHAR(34),TEXT(AF97,"h:mm"),CHAR(34),
" timeZone=",CHAR(34),AG97,CHAR(34))))),
IF(W97=2,CONCATENATE(" dates='[{",
CHAR(34),"startDate",CHAR(34),":",CHAR(34),TEXT(G97,"yyyy-mm-dd"),CHAR(34),", ",
,CHAR(34),"endDate",CHAR(34),":",CHAR(34),TEXT(G97,"yyyy-mm-dd"),CHAR(34),
IF(OR(ISBLANK(AE97),ISBLANK(AF97)),"",(CONCATENATE(", ",CHAR(34),"startTime",CHAR(34),":",CHAR(34),TEXT(AE97,"hh:mm"),CHAR(34),", ",CHAR(34),"endTime",CHAR(34),":",CHAR(34),TEXT(AF97,"hh:mm"),CHAR(34),", ",CHAR(34),"timeZone",CHAR(34),":",CHAR(34),AG97,CHAR(34)))),"}, {",
,CHAR(34),"startDate",CHAR(34),":",CHAR(34),TEXT(G97+1,"yyyy-mm-dd"),CHAR(34),", ",
,CHAR(34),"endDate",CHAR(34),":",CHAR(34),TEXT(G97+W97-1,"yyyy-mm-dd"),CHAR(34),
IF(OR(ISBLANK(AE97),ISBLANK(AF97)),"",(CONCATENATE(", ",CHAR(34),"startTime",CHAR(34),":",CHAR(34),TEXT(AE97,"hh:mm"),CHAR(34),", ",CHAR(34),"endTime",CHAR(34),":",CHAR(34),TEXT(AF97,"hh:mm"),CHAR(34),", ",CHAR(34),"timeZone",CHAR(34),":",CHAR(34),AG97,CHAR(34)))),"}]'"),
CONCATENATE(
"{  startDate=",CHAR(34),TEXT(G97,"yyyy-mm-dd"),CHAR(34),
"  endDate=",CHAR(34),TEXT(G97+W97-1,"yyyy-mm-dd"),CHAR(34),"}"))),
" &gt;&lt;/add-to-calendar-button&gt;")</f>
        <v>&lt;add-to-calendar-button  name="Old Harmony Singing"   location="Old Harmony Primitive Baptist Church, 3490 County Road 60, Heflin, Alabama"   description="9:30am; shapenotesingings.com"   options="'Apple','Google','iCal','Outlook.com'"   styleLight="--btn-background: #550000; --btn-text: #fff; --btn-shadow:#fff;"startDate="2026-04-19"{endDate="2026-04-19" startTime="09:30" endTime="15:00" timeZone="America/Chicago" &gt;&lt;/add-to-calendar-button&gt;</v>
      </c>
      <c r="AE97" s="24">
        <v>0.39583333333333331</v>
      </c>
      <c r="AF97" s="24">
        <v>0.625</v>
      </c>
      <c r="AG97" s="25" t="s">
        <v>1533</v>
      </c>
    </row>
    <row r="98" spans="1:33" x14ac:dyDescent="0.3">
      <c r="A98" t="s">
        <v>8</v>
      </c>
      <c r="B98" t="s">
        <v>11</v>
      </c>
      <c r="C98" t="s">
        <v>1134</v>
      </c>
      <c r="D98" t="s">
        <v>12</v>
      </c>
      <c r="E98" t="s">
        <v>2178</v>
      </c>
      <c r="F98" t="s">
        <v>63</v>
      </c>
      <c r="G98" s="7">
        <f ca="1">X98</f>
        <v>46131</v>
      </c>
      <c r="H98" s="5" t="s">
        <v>13</v>
      </c>
      <c r="J98" s="36" t="s">
        <v>2665</v>
      </c>
      <c r="K98" t="s">
        <v>1078</v>
      </c>
      <c r="L98" t="s">
        <v>2412</v>
      </c>
      <c r="M98" s="16" t="s">
        <v>1000</v>
      </c>
      <c r="N98" s="16" t="s">
        <v>127</v>
      </c>
      <c r="O98" s="7">
        <v>44936</v>
      </c>
      <c r="P98" s="7" t="s">
        <v>926</v>
      </c>
      <c r="Q98" s="18">
        <v>4</v>
      </c>
      <c r="R98" s="18">
        <v>3</v>
      </c>
      <c r="S98" s="18">
        <v>1</v>
      </c>
      <c r="T98" s="4">
        <f>DATE(AI$2,$Q98,1+(($R98-($S98&gt;=WEEKDAY(DATE(AI$2,$Q98,1))))*7)+($S98-WEEKDAY(DATE(AI$2,$Q98,1))))</f>
        <v>45767</v>
      </c>
      <c r="U98" s="4">
        <f>DATE(AJ$2,$Q98,1+(($R98-($S98&gt;=WEEKDAY(DATE(AJ$2,$Q98,1))))*7)+($S98-WEEKDAY(DATE(AJ$2,$Q98,1))))</f>
        <v>46131</v>
      </c>
      <c r="V98" s="20">
        <v>0</v>
      </c>
      <c r="W98" s="20">
        <v>1</v>
      </c>
      <c r="X98" s="4">
        <f ca="1">Y98-(W98-1)</f>
        <v>46131</v>
      </c>
      <c r="Y98" s="5">
        <f ca="1">IF(OR(T98+V98&lt;(NOW()-0.5),ISNUMBER(SEARCH("&lt;h4&gt;",K98))),U98+V98,T98+V98)</f>
        <v>46131</v>
      </c>
      <c r="Z98" t="str">
        <f ca="1">CONCATENATE(IF(OR(Y98=X98,ISBLANK(Y98)),TEXT(X98,"mmmm d"),CONCATENATE(TEXT(X98,"mmmm d"),"-",IF(TEXT(X98,"mmmm")=TEXT(Y98,"mmmm"),TEXT(Y98,"d"),TEXT(Y98,"mmmm d")))),", ",YEAR(Y98))</f>
        <v>April 19, 2026</v>
      </c>
      <c r="AA98" s="7">
        <f>O98</f>
        <v>44936</v>
      </c>
      <c r="AB98" s="14">
        <f>T98+V98-(W98-1)</f>
        <v>45767</v>
      </c>
      <c r="AC98" t="s">
        <v>1250</v>
      </c>
      <c r="AD98" s="23" t="str">
        <f ca="1">CONCATENATE("&lt;add-to-calendar-button  name=",CHAR(34),H98,CHAR(34),
IF(ISBLANK(M98),"",CONCATENATE("   location=",CHAR(34),RIGHT(M98,LEN(M98)-SEARCH("|",M98)-1),CHAR(34))),
"   description=",CHAR(34),IF(ISBLANK(I98),"",CONCATENATE(I98,"; ")),"shapenotesingings.com",CHAR(34),
"   options=",CHAR(34),"'Apple','Google','iCal','Outlook.com'",CHAR(34),"   styleLight=",CHAR(34),"--btn-background: #550000; --btn-text: #fff; --btn-shadow:#fff;",CHAR(34),
IF(W98=1,CONCATENATE(
"startDate=",CHAR(34),TEXT(G98,"yyyy-mm-dd"),CHAR(34),
"{endDate=",CHAR(34),TEXT(G98,"yyyy-mm-dd"),CHAR(34),
IF(OR(ISBLANK(AE98),ISBLANK(AF98)),"",(CONCATENATE(" startTime=",CHAR(34),TEXT(AE98,"hh:mm"),CHAR(34)," endTime=",CHAR(34),TEXT(AF98,"h:mm"),CHAR(34),
" timeZone=",CHAR(34),AG98,CHAR(34))))),
IF(W98=2,CONCATENATE(" dates='[{",
CHAR(34),"startDate",CHAR(34),":",CHAR(34),TEXT(G98,"yyyy-mm-dd"),CHAR(34),", ",
,CHAR(34),"endDate",CHAR(34),":",CHAR(34),TEXT(G98,"yyyy-mm-dd"),CHAR(34),
IF(OR(ISBLANK(AE98),ISBLANK(AF98)),"",(CONCATENATE(", ",CHAR(34),"startTime",CHAR(34),":",CHAR(34),TEXT(AE98,"hh:mm"),CHAR(34),", ",CHAR(34),"endTime",CHAR(34),":",CHAR(34),TEXT(AF98,"hh:mm"),CHAR(34),", ",CHAR(34),"timeZone",CHAR(34),":",CHAR(34),AG98,CHAR(34)))),"}, {",
,CHAR(34),"startDate",CHAR(34),":",CHAR(34),TEXT(G98+1,"yyyy-mm-dd"),CHAR(34),", ",
,CHAR(34),"endDate",CHAR(34),":",CHAR(34),TEXT(G98+W98-1,"yyyy-mm-dd"),CHAR(34),
IF(OR(ISBLANK(AE98),ISBLANK(AF98)),"",(CONCATENATE(", ",CHAR(34),"startTime",CHAR(34),":",CHAR(34),TEXT(AE98,"hh:mm"),CHAR(34),", ",CHAR(34),"endTime",CHAR(34),":",CHAR(34),TEXT(AF98,"hh:mm"),CHAR(34),", ",CHAR(34),"timeZone",CHAR(34),":",CHAR(34),AG98,CHAR(34)))),"}]'"),
CONCATENATE(
"{  startDate=",CHAR(34),TEXT(G98,"yyyy-mm-dd"),CHAR(34),
"  endDate=",CHAR(34),TEXT(G98+W98-1,"yyyy-mm-dd"),CHAR(34),"}"))),
" &gt;&lt;/add-to-calendar-button&gt;")</f>
        <v>&lt;add-to-calendar-button  name="Pine Grove Church"   location="34.218083185834935, -85.8574255146684 - Pine Grove Church, Collinsville AL 35961"   description="shapenotesingings.com"   options="'Apple','Google','iCal','Outlook.com'"   styleLight="--btn-background: #550000; --btn-text: #fff; --btn-shadow:#fff;"startDate="2026-04-19"{endDate="2026-04-19" &gt;&lt;/add-to-calendar-button&gt;</v>
      </c>
      <c r="AG98" s="25" t="s">
        <v>1533</v>
      </c>
    </row>
    <row r="99" spans="1:33" x14ac:dyDescent="0.3">
      <c r="A99" t="s">
        <v>144</v>
      </c>
      <c r="B99" t="s">
        <v>144</v>
      </c>
      <c r="C99" t="s">
        <v>1162</v>
      </c>
      <c r="D99" t="s">
        <v>344</v>
      </c>
      <c r="E99" t="s">
        <v>2179</v>
      </c>
      <c r="F99" t="s">
        <v>340</v>
      </c>
      <c r="G99" s="7">
        <f ca="1">X99</f>
        <v>46137</v>
      </c>
      <c r="H99" s="5" t="s">
        <v>343</v>
      </c>
      <c r="I99" t="s">
        <v>1028</v>
      </c>
      <c r="J99" s="36" t="s">
        <v>2667</v>
      </c>
      <c r="K99" t="s">
        <v>2882</v>
      </c>
      <c r="L99" t="s">
        <v>2821</v>
      </c>
      <c r="M99" s="16" t="s">
        <v>341</v>
      </c>
      <c r="N99" s="16" t="s">
        <v>342</v>
      </c>
      <c r="O99" s="7">
        <v>44956</v>
      </c>
      <c r="P99" s="7" t="s">
        <v>932</v>
      </c>
      <c r="Q99" s="18">
        <v>4</v>
      </c>
      <c r="R99" s="18">
        <v>4</v>
      </c>
      <c r="S99" s="18">
        <v>1</v>
      </c>
      <c r="T99" s="4">
        <f>DATE(AI$2,$Q99,1+(($R99-($S99&gt;=WEEKDAY(DATE(AI$2,$Q99,1))))*7)+($S99-WEEKDAY(DATE(AI$2,$Q99,1))))</f>
        <v>45774</v>
      </c>
      <c r="U99" s="4">
        <f>DATE(AJ$2,$Q99,1+(($R99-($S99&gt;=WEEKDAY(DATE(AJ$2,$Q99,1))))*7)+($S99-WEEKDAY(DATE(AJ$2,$Q99,1))))</f>
        <v>46138</v>
      </c>
      <c r="V99" s="20">
        <v>0</v>
      </c>
      <c r="W99" s="20">
        <v>2</v>
      </c>
      <c r="X99" s="4">
        <f ca="1">Y99-(W99-1)</f>
        <v>46137</v>
      </c>
      <c r="Y99" s="5">
        <f ca="1">IF(OR(T99+V99&lt;(NOW()-0.5),ISNUMBER(SEARCH("&lt;h4&gt;",K99))),U99+V99,T99+V99)</f>
        <v>46138</v>
      </c>
      <c r="Z99" t="str">
        <f ca="1">CONCATENATE(IF(OR(Y99=X99,ISBLANK(Y99)),TEXT(X99,"mmmm d"),CONCATENATE(TEXT(X99,"mmmm d"),"-",IF(TEXT(X99,"mmmm")=TEXT(Y99,"mmmm"),TEXT(Y99,"d"),TEXT(Y99,"mmmm d")))),", ",YEAR(Y99))</f>
        <v>April 25-26, 2026</v>
      </c>
      <c r="AA99" s="7">
        <f>O99</f>
        <v>44956</v>
      </c>
      <c r="AB99" s="14">
        <f>T99+V99-(W99-1)</f>
        <v>45773</v>
      </c>
      <c r="AC99" t="s">
        <v>1255</v>
      </c>
      <c r="AD99" s="23" t="str">
        <f ca="1">CONCATENATE("&lt;add-to-calendar-button  name=",CHAR(34),H99,CHAR(34),
IF(ISBLANK(M99),"",CONCATENATE("   location=",CHAR(34),RIGHT(M99,LEN(M99)-SEARCH("|",M99)-1),CHAR(34))),
"   description=",CHAR(34),IF(ISBLANK(I99),"",CONCATENATE(I99,"; ")),"shapenotesingings.com",CHAR(34),
"   options=",CHAR(34),"'Apple','Google','iCal','Outlook.com'",CHAR(34),"   styleLight=",CHAR(34),"--btn-background: #550000; --btn-text: #fff; --btn-shadow:#fff;",CHAR(34),
IF(W99=1,CONCATENATE(
"startDate=",CHAR(34),TEXT(G99,"yyyy-mm-dd"),CHAR(34),
"{endDate=",CHAR(34),TEXT(G99,"yyyy-mm-dd"),CHAR(34),
IF(OR(ISBLANK(AE99),ISBLANK(AF99)),"",(CONCATENATE(" startTime=",CHAR(34),TEXT(AE99,"hh:mm"),CHAR(34)," endTime=",CHAR(34),TEXT(AF99,"h:mm"),CHAR(34),
" timeZone=",CHAR(34),AG99,CHAR(34))))),
IF(W99=2,CONCATENATE(" dates='[{",
CHAR(34),"startDate",CHAR(34),":",CHAR(34),TEXT(G99,"yyyy-mm-dd"),CHAR(34),", ",
,CHAR(34),"endDate",CHAR(34),":",CHAR(34),TEXT(G99,"yyyy-mm-dd"),CHAR(34),
IF(OR(ISBLANK(AE99),ISBLANK(AF99)),"",(CONCATENATE(", ",CHAR(34),"startTime",CHAR(34),":",CHAR(34),TEXT(AE99,"hh:mm"),CHAR(34),", ",CHAR(34),"endTime",CHAR(34),":",CHAR(34),TEXT(AF99,"hh:mm"),CHAR(34),", ",CHAR(34),"timeZone",CHAR(34),":",CHAR(34),AG99,CHAR(34)))),"}, {",
,CHAR(34),"startDate",CHAR(34),":",CHAR(34),TEXT(G99+1,"yyyy-mm-dd"),CHAR(34),", ",
,CHAR(34),"endDate",CHAR(34),":",CHAR(34),TEXT(G99+W99-1,"yyyy-mm-dd"),CHAR(34),
IF(OR(ISBLANK(AE99),ISBLANK(AF99)),"",(CONCATENATE(", ",CHAR(34),"startTime",CHAR(34),":",CHAR(34),TEXT(AE99,"hh:mm"),CHAR(34),", ",CHAR(34),"endTime",CHAR(34),":",CHAR(34),TEXT(AF99,"hh:mm"),CHAR(34),", ",CHAR(34),"timeZone",CHAR(34),":",CHAR(34),AG99,CHAR(34)))),"}]'"),
CONCATENATE(
"{  startDate=",CHAR(34),TEXT(G99,"yyyy-mm-dd"),CHAR(34),
"  endDate=",CHAR(34),TEXT(G99+W99-1,"yyyy-mm-dd"),CHAR(34),"}"))),
" &gt;&lt;/add-to-calendar-button&gt;")</f>
        <v>&lt;add-to-calendar-button  name="East Midlands Sacred Harp Convention"   location="Kegworth Village Hall, Nottingham Road Kegworth, Leicestershire, DE74 2FH, United Kingdom "   description="10am; shapenotesingings.com"   options="'Apple','Google','iCal','Outlook.com'"   styleLight="--btn-background: #550000; --btn-text: #fff; --btn-shadow:#fff;" dates='[{"startDate":"2026-04-25", "endDate":"2026-04-25", "startTime":"10:00", "endTime":"15:00", "timeZone":"Europe/London"}, {"startDate":"2026-04-26", "endDate":"2026-04-26", "startTime":"10:00", "endTime":"15:00", "timeZone":"Europe/London"}]' &gt;&lt;/add-to-calendar-button&gt;</v>
      </c>
      <c r="AE99" s="24">
        <v>0.41666666666666669</v>
      </c>
      <c r="AF99" s="24">
        <v>0.625</v>
      </c>
      <c r="AG99" s="25" t="s">
        <v>1535</v>
      </c>
    </row>
    <row r="100" spans="1:33" x14ac:dyDescent="0.3">
      <c r="A100" t="s">
        <v>8</v>
      </c>
      <c r="B100" t="s">
        <v>17</v>
      </c>
      <c r="C100" t="s">
        <v>1140</v>
      </c>
      <c r="D100" t="s">
        <v>1402</v>
      </c>
      <c r="E100" t="s">
        <v>2178</v>
      </c>
      <c r="F100" t="s">
        <v>328</v>
      </c>
      <c r="G100" s="7">
        <f ca="1">X100</f>
        <v>46137</v>
      </c>
      <c r="H100" s="5" t="s">
        <v>330</v>
      </c>
      <c r="I100" t="s">
        <v>1175</v>
      </c>
      <c r="J100" s="36" t="s">
        <v>2668</v>
      </c>
      <c r="K100" t="s">
        <v>1991</v>
      </c>
      <c r="L100" t="s">
        <v>2772</v>
      </c>
      <c r="M100" s="16" t="s">
        <v>2439</v>
      </c>
      <c r="N100" s="16" t="s">
        <v>2440</v>
      </c>
      <c r="O100" s="7">
        <v>45644</v>
      </c>
      <c r="P100" s="7" t="s">
        <v>2441</v>
      </c>
      <c r="Q100" s="18">
        <v>4</v>
      </c>
      <c r="R100" s="18">
        <v>4</v>
      </c>
      <c r="S100" s="18">
        <v>1</v>
      </c>
      <c r="T100" s="4">
        <f>DATE(AI$2,$Q100,1+(($R100-($S100&gt;=WEEKDAY(DATE(AI$2,$Q100,1))))*7)+($S100-WEEKDAY(DATE(AI$2,$Q100,1))))</f>
        <v>45774</v>
      </c>
      <c r="U100" s="4">
        <f>DATE(AJ$2,$Q100,1+(($R100-($S100&gt;=WEEKDAY(DATE(AJ$2,$Q100,1))))*7)+($S100-WEEKDAY(DATE(AJ$2,$Q100,1))))</f>
        <v>46138</v>
      </c>
      <c r="V100" s="20">
        <v>-1</v>
      </c>
      <c r="W100" s="20">
        <v>1</v>
      </c>
      <c r="X100" s="4">
        <f ca="1">Y100-(W100-1)</f>
        <v>46137</v>
      </c>
      <c r="Y100" s="5">
        <f ca="1">IF(OR(T100+V100&lt;(NOW()-0.5),ISNUMBER(SEARCH("&lt;h4&gt;",K100))),U100+V100,T100+V100)</f>
        <v>46137</v>
      </c>
      <c r="Z100" t="str">
        <f ca="1">CONCATENATE(IF(OR(Y100=X100,ISBLANK(Y100)),TEXT(X100,"mmmm d"),CONCATENATE(TEXT(X100,"mmmm d"),"-",IF(TEXT(X100,"mmmm")=TEXT(Y100,"mmmm"),TEXT(Y100,"d"),TEXT(Y100,"mmmm d")))),", ",YEAR(Y100))</f>
        <v>April 25, 2026</v>
      </c>
      <c r="AA100" s="7">
        <f>O100</f>
        <v>45644</v>
      </c>
      <c r="AB100" s="14">
        <f>T100+V100-(W100-1)</f>
        <v>45773</v>
      </c>
      <c r="AC100" t="s">
        <v>2442</v>
      </c>
      <c r="AD100" s="23" t="str">
        <f ca="1">CONCATENATE("&lt;add-to-calendar-button  name=",CHAR(34),H100,CHAR(34),
IF(ISBLANK(M100),"",CONCATENATE("   location=",CHAR(34),RIGHT(M100,LEN(M100)-SEARCH("|",M100)-1),CHAR(34))),
"   description=",CHAR(34),IF(ISBLANK(I100),"",CONCATENATE(I100,"; ")),"shapenotesingings.com",CHAR(34),
"   options=",CHAR(34),"'Apple','Google','iCal','Outlook.com'",CHAR(34),"   styleLight=",CHAR(34),"--btn-background: #550000; --btn-text: #fff; --btn-shadow:#fff;",CHAR(34),
IF(W100=1,CONCATENATE(
"startDate=",CHAR(34),TEXT(G100,"yyyy-mm-dd"),CHAR(34),
"{endDate=",CHAR(34),TEXT(G100,"yyyy-mm-dd"),CHAR(34),
IF(OR(ISBLANK(AE100),ISBLANK(AF100)),"",(CONCATENATE(" startTime=",CHAR(34),TEXT(AE100,"hh:mm"),CHAR(34)," endTime=",CHAR(34),TEXT(AF100,"h:mm"),CHAR(34),
" timeZone=",CHAR(34),AG100,CHAR(34))))),
IF(W100=2,CONCATENATE(" dates='[{",
CHAR(34),"startDate",CHAR(34),":",CHAR(34),TEXT(G100,"yyyy-mm-dd"),CHAR(34),", ",
,CHAR(34),"endDate",CHAR(34),":",CHAR(34),TEXT(G100,"yyyy-mm-dd"),CHAR(34),
IF(OR(ISBLANK(AE100),ISBLANK(AF100)),"",(CONCATENATE(", ",CHAR(34),"startTime",CHAR(34),":",CHAR(34),TEXT(AE100,"hh:mm"),CHAR(34),", ",CHAR(34),"endTime",CHAR(34),":",CHAR(34),TEXT(AF100,"hh:mm"),CHAR(34),", ",CHAR(34),"timeZone",CHAR(34),":",CHAR(34),AG100,CHAR(34)))),"}, {",
,CHAR(34),"startDate",CHAR(34),":",CHAR(34),TEXT(G100+1,"yyyy-mm-dd"),CHAR(34),", ",
,CHAR(34),"endDate",CHAR(34),":",CHAR(34),TEXT(G100+W100-1,"yyyy-mm-dd"),CHAR(34),
IF(OR(ISBLANK(AE100),ISBLANK(AF100)),"",(CONCATENATE(", ",CHAR(34),"startTime",CHAR(34),":",CHAR(34),TEXT(AE100,"hh:mm"),CHAR(34),", ",CHAR(34),"endTime",CHAR(34),":",CHAR(34),TEXT(AF100,"hh:mm"),CHAR(34),", ",CHAR(34),"timeZone",CHAR(34),":",CHAR(34),AG100,CHAR(34)))),"}]'"),
CONCATENATE(
"{  startDate=",CHAR(34),TEXT(G100,"yyyy-mm-dd"),CHAR(34),
"  endDate=",CHAR(34),TEXT(G100+W100-1,"yyyy-mm-dd"),CHAR(34),"}"))),
" &gt;&lt;/add-to-calendar-button&gt;")</f>
        <v>&lt;add-to-calendar-button  name="Atlanta Sacred Harp Singing"   location="First Existentialist Congregation of Atlanta, 470 Candler Park Dr NE, Atlanta, GA 30307"   description="10am-2:30pm; shapenotesingings.com"   options="'Apple','Google','iCal','Outlook.com'"   styleLight="--btn-background: #550000; --btn-text: #fff; --btn-shadow:#fff;"startDate="2026-04-25"{endDate="2026-04-25" startTime="10:00" endTime="14:30" timeZone="America/New_York" &gt;&lt;/add-to-calendar-button&gt;</v>
      </c>
      <c r="AE100" s="24">
        <v>0.41666666666666669</v>
      </c>
      <c r="AF100" s="24">
        <v>0.60416666666666663</v>
      </c>
      <c r="AG100" s="25" t="s">
        <v>1532</v>
      </c>
    </row>
    <row r="101" spans="1:33" x14ac:dyDescent="0.3">
      <c r="A101" t="s">
        <v>8</v>
      </c>
      <c r="B101" t="s">
        <v>333</v>
      </c>
      <c r="C101" t="s">
        <v>452</v>
      </c>
      <c r="D101" t="s">
        <v>334</v>
      </c>
      <c r="E101" t="s">
        <v>2178</v>
      </c>
      <c r="F101" t="s">
        <v>328</v>
      </c>
      <c r="G101" s="7">
        <f ca="1">X101</f>
        <v>46137</v>
      </c>
      <c r="H101" s="5" t="s">
        <v>335</v>
      </c>
      <c r="I101" t="s">
        <v>1039</v>
      </c>
      <c r="J101" s="36" t="s">
        <v>2940</v>
      </c>
      <c r="L101" t="s">
        <v>2942</v>
      </c>
      <c r="M101" s="16" t="s">
        <v>331</v>
      </c>
      <c r="N101" s="16" t="s">
        <v>332</v>
      </c>
      <c r="O101" s="7">
        <v>45768</v>
      </c>
      <c r="P101" s="7" t="s">
        <v>2941</v>
      </c>
      <c r="Q101" s="18">
        <v>4</v>
      </c>
      <c r="R101" s="18">
        <v>4</v>
      </c>
      <c r="S101" s="18">
        <v>1</v>
      </c>
      <c r="T101" s="4">
        <f>DATE('Annual Singings'!AI$2,$Q101,1+(($R101-($S101&gt;=WEEKDAY(DATE('Annual Singings'!AI$2,$Q101,1))))*7)+($S101-WEEKDAY(DATE('Annual Singings'!AI$2,$Q101,1))))</f>
        <v>45774</v>
      </c>
      <c r="U101" s="4">
        <f>DATE('Annual Singings'!AJ$2,$Q101,1+(($R101-($S101&gt;=WEEKDAY(DATE('Annual Singings'!AJ$2,$Q101,1))))*7)+($S101-WEEKDAY(DATE('Annual Singings'!AJ$2,$Q101,1))))</f>
        <v>46138</v>
      </c>
      <c r="V101" s="20">
        <v>-1</v>
      </c>
      <c r="W101" s="20">
        <v>1</v>
      </c>
      <c r="X101" s="4">
        <f ca="1">Y101-(W101-1)</f>
        <v>46137</v>
      </c>
      <c r="Y101" s="5">
        <f ca="1">IF(OR(T101+V101&lt;(NOW()-0.5),ISNUMBER(SEARCH("&lt;h4&gt;",L101))),U101+V101,T101+V101)</f>
        <v>46137</v>
      </c>
      <c r="Z101" t="str">
        <f ca="1">CONCATENATE(IF(OR(Y101=X101,ISBLANK(Y101)),TEXT(X101,"mmmm d"),CONCATENATE(TEXT(X101,"mmmm d"),"-",IF(TEXT(X101,"mmmm")=TEXT(Y101,"mmmm"),TEXT(Y101,"d"),TEXT(Y101,"mmmm d")))),", ",YEAR(Y101))</f>
        <v>April 25, 2026</v>
      </c>
      <c r="AA101" s="7">
        <f>O101</f>
        <v>45768</v>
      </c>
      <c r="AB101" s="14">
        <f>T101+V101-(W101-1)</f>
        <v>45773</v>
      </c>
      <c r="AC101" t="s">
        <v>1253</v>
      </c>
      <c r="AD101" s="23" t="str">
        <f ca="1">CONCATENATE("&lt;add-to-calendar-button  name=",CHAR(34),H101,CHAR(34),
IF(ISBLANK(M101),"",CONCATENATE("   location=",CHAR(34),RIGHT(M101,LEN(M101)-SEARCH("|",M101)-1),CHAR(34))),
"   description=",CHAR(34),IF(ISBLANK(I101),"",CONCATENATE(I101,"; ")),"shapenotesingings.com",CHAR(34),
"   options=",CHAR(34),"'Apple','Google','iCal','Outlook.com'",CHAR(34),"   styleLight=",CHAR(34),"--btn-background: #550000; --btn-text: #fff; --btn-shadow:#fff;",CHAR(34),
IF(W101=1,CONCATENATE(
"startDate=",CHAR(34),TEXT(G101,"yyyy-mm-dd"),CHAR(34),
"{endDate=",CHAR(34),TEXT(G101,"yyyy-mm-dd"),CHAR(34),
IF(OR(ISBLANK(AE101),ISBLANK(AF101)),"",(CONCATENATE(" startTime=",CHAR(34),TEXT(AE101,"hh:mm"),CHAR(34)," endTime=",CHAR(34),TEXT(AF101,"h:mm"),CHAR(34),
" timeZone=",CHAR(34),AG101,CHAR(34))))),
IF(W101=2,CONCATENATE(" dates='[{",
CHAR(34),"startDate",CHAR(34),":",CHAR(34),TEXT(G101,"yyyy-mm-dd"),CHAR(34),", ",
,CHAR(34),"endDate",CHAR(34),":",CHAR(34),TEXT(G101,"yyyy-mm-dd"),CHAR(34),
IF(OR(ISBLANK(AE101),ISBLANK(AF101)),"",(CONCATENATE(", ",CHAR(34),"startTime",CHAR(34),":",CHAR(34),TEXT(AE101,"hh:mm"),CHAR(34),", ",CHAR(34),"endTime",CHAR(34),":",CHAR(34),TEXT(AF101,"hh:mm"),CHAR(34),", ",CHAR(34),"timeZone",CHAR(34),":",CHAR(34),AG101,CHAR(34)))),"}, {",
,CHAR(34),"startDate",CHAR(34),":",CHAR(34),TEXT(G101+1,"yyyy-mm-dd"),CHAR(34),", ",
,CHAR(34),"endDate",CHAR(34),":",CHAR(34),TEXT(G101+W101-1,"yyyy-mm-dd"),CHAR(34),
IF(OR(ISBLANK(AE101),ISBLANK(AF101)),"",(CONCATENATE(", ",CHAR(34),"startTime",CHAR(34),":",CHAR(34),TEXT(AE101,"hh:mm"),CHAR(34),", ",CHAR(34),"endTime",CHAR(34),":",CHAR(34),TEXT(AF101,"hh:mm"),CHAR(34),", ",CHAR(34),"timeZone",CHAR(34),":",CHAR(34),AG101,CHAR(34)))),"}]'"),
CONCATENATE(
"{  startDate=",CHAR(34),TEXT(G101,"yyyy-mm-dd"),CHAR(34),
"  endDate=",CHAR(34),TEXT(G101+W101-1,"yyyy-mm-dd"),CHAR(34),"}"))),
" &gt;&lt;/add-to-calendar-button&gt;")</f>
        <v>&lt;add-to-calendar-button  name="New York State Regional (Spring)"   location="Ithaca Friends Meeting House, 120 3rd St., Ithaca, NY 14850"   description="10am-3:30pm; shapenotesingings.com"   options="'Apple','Google','iCal','Outlook.com'"   styleLight="--btn-background: #550000; --btn-text: #fff; --btn-shadow:#fff;"startDate="2026-04-25"{endDate="2026-04-25" startTime="10:00" endTime="15:30" timeZone="America/New_York" &gt;&lt;/add-to-calendar-button&gt;</v>
      </c>
      <c r="AE101" s="24">
        <v>0.41666666666666669</v>
      </c>
      <c r="AF101" s="24">
        <v>0.64583333333333337</v>
      </c>
      <c r="AG101" s="25" t="s">
        <v>1532</v>
      </c>
    </row>
    <row r="102" spans="1:33" x14ac:dyDescent="0.3">
      <c r="A102" t="s">
        <v>8</v>
      </c>
      <c r="B102" t="s">
        <v>176</v>
      </c>
      <c r="C102" t="s">
        <v>1157</v>
      </c>
      <c r="D102" t="s">
        <v>327</v>
      </c>
      <c r="E102" t="s">
        <v>2178</v>
      </c>
      <c r="F102" t="s">
        <v>328</v>
      </c>
      <c r="G102" s="7">
        <f ca="1">X102</f>
        <v>46137</v>
      </c>
      <c r="H102" s="5" t="s">
        <v>326</v>
      </c>
      <c r="I102" t="s">
        <v>1039</v>
      </c>
      <c r="J102" s="36" t="s">
        <v>2669</v>
      </c>
      <c r="L102" t="s">
        <v>2010</v>
      </c>
      <c r="M102" s="16" t="s">
        <v>1404</v>
      </c>
      <c r="N102" s="16" t="s">
        <v>1405</v>
      </c>
      <c r="O102" s="7">
        <v>44993</v>
      </c>
      <c r="P102" s="7" t="s">
        <v>1979</v>
      </c>
      <c r="Q102" s="18">
        <v>4</v>
      </c>
      <c r="R102" s="18">
        <v>4</v>
      </c>
      <c r="S102" s="18">
        <v>1</v>
      </c>
      <c r="T102" s="4">
        <f>DATE(AI$2,$Q102,1+(($R102-($S102&gt;=WEEKDAY(DATE(AI$2,$Q102,1))))*7)+($S102-WEEKDAY(DATE(AI$2,$Q102,1))))</f>
        <v>45774</v>
      </c>
      <c r="U102" s="4">
        <f>DATE(AJ$2,$Q102,1+(($R102-($S102&gt;=WEEKDAY(DATE(AJ$2,$Q102,1))))*7)+($S102-WEEKDAY(DATE(AJ$2,$Q102,1))))</f>
        <v>46138</v>
      </c>
      <c r="V102" s="20">
        <v>-1</v>
      </c>
      <c r="W102" s="20">
        <v>1</v>
      </c>
      <c r="X102" s="4">
        <f ca="1">Y102-(W102-1)</f>
        <v>46137</v>
      </c>
      <c r="Y102" s="5">
        <f ca="1">IF(OR(T102+V102&lt;(NOW()-0.5),ISNUMBER(SEARCH("&lt;h4&gt;",K102))),U102+V102,T102+V102)</f>
        <v>46137</v>
      </c>
      <c r="Z102" t="str">
        <f ca="1">CONCATENATE(IF(OR(Y102=X102,ISBLANK(Y102)),TEXT(X102,"mmmm d"),CONCATENATE(TEXT(X102,"mmmm d"),"-",IF(TEXT(X102,"mmmm")=TEXT(Y102,"mmmm"),TEXT(Y102,"d"),TEXT(Y102,"mmmm d")))),", ",YEAR(Y102))</f>
        <v>April 25, 2026</v>
      </c>
      <c r="AA102" s="7">
        <f>O102</f>
        <v>44993</v>
      </c>
      <c r="AB102" s="14">
        <f>T102+V102-(W102-1)</f>
        <v>45773</v>
      </c>
      <c r="AC102" t="s">
        <v>1406</v>
      </c>
      <c r="AD102" s="23" t="str">
        <f ca="1">CONCATENATE("&lt;add-to-calendar-button  name=",CHAR(34),H102,CHAR(34),
IF(ISBLANK(M102),"",CONCATENATE("   location=",CHAR(34),RIGHT(M102,LEN(M102)-SEARCH("|",M102)-1),CHAR(34))),
"   description=",CHAR(34),IF(ISBLANK(I102),"",CONCATENATE(I102,"; ")),"shapenotesingings.com",CHAR(34),
"   options=",CHAR(34),"'Apple','Google','iCal','Outlook.com'",CHAR(34),"   styleLight=",CHAR(34),"--btn-background: #550000; --btn-text: #fff; --btn-shadow:#fff;",CHAR(34),
IF(W102=1,CONCATENATE(
"startDate=",CHAR(34),TEXT(G102,"yyyy-mm-dd"),CHAR(34),
"{endDate=",CHAR(34),TEXT(G102,"yyyy-mm-dd"),CHAR(34),
IF(OR(ISBLANK(AE102),ISBLANK(AF102)),"",(CONCATENATE(" startTime=",CHAR(34),TEXT(AE102,"hh:mm"),CHAR(34)," endTime=",CHAR(34),TEXT(AF102,"h:mm"),CHAR(34),
" timeZone=",CHAR(34),AG102,CHAR(34))))),
IF(W102=2,CONCATENATE(" dates='[{",
CHAR(34),"startDate",CHAR(34),":",CHAR(34),TEXT(G102,"yyyy-mm-dd"),CHAR(34),", ",
,CHAR(34),"endDate",CHAR(34),":",CHAR(34),TEXT(G102,"yyyy-mm-dd"),CHAR(34),
IF(OR(ISBLANK(AE102),ISBLANK(AF102)),"",(CONCATENATE(", ",CHAR(34),"startTime",CHAR(34),":",CHAR(34),TEXT(AE102,"hh:mm"),CHAR(34),", ",CHAR(34),"endTime",CHAR(34),":",CHAR(34),TEXT(AF102,"hh:mm"),CHAR(34),", ",CHAR(34),"timeZone",CHAR(34),":",CHAR(34),AG102,CHAR(34)))),"}, {",
,CHAR(34),"startDate",CHAR(34),":",CHAR(34),TEXT(G102+1,"yyyy-mm-dd"),CHAR(34),", ",
,CHAR(34),"endDate",CHAR(34),":",CHAR(34),TEXT(G102+W102-1,"yyyy-mm-dd"),CHAR(34),
IF(OR(ISBLANK(AE102),ISBLANK(AF102)),"",(CONCATENATE(", ",CHAR(34),"startTime",CHAR(34),":",CHAR(34),TEXT(AE102,"hh:mm"),CHAR(34),", ",CHAR(34),"endTime",CHAR(34),":",CHAR(34),TEXT(AF102,"hh:mm"),CHAR(34),", ",CHAR(34),"timeZone",CHAR(34),":",CHAR(34),AG102,CHAR(34)))),"}]'"),
CONCATENATE(
"{  startDate=",CHAR(34),TEXT(G102,"yyyy-mm-dd"),CHAR(34),
"  endDate=",CHAR(34),TEXT(G102+W102-1,"yyyy-mm-dd"),CHAR(34),"}"))),
" &gt;&lt;/add-to-calendar-button&gt;")</f>
        <v>&lt;add-to-calendar-button  name="Oliver Kindig-Stokes Memorial"   location="Hope Born in Christ Church, 2600 Marietta Ave, Lancaster, PA 17601"   description="10am-3:30pm; shapenotesingings.com"   options="'Apple','Google','iCal','Outlook.com'"   styleLight="--btn-background: #550000; --btn-text: #fff; --btn-shadow:#fff;"startDate="2026-04-25"{endDate="2026-04-25" startTime="10:00" endTime="15:30" timeZone="America/New_York" &gt;&lt;/add-to-calendar-button&gt;</v>
      </c>
      <c r="AE102" s="24">
        <v>0.41666666666666669</v>
      </c>
      <c r="AF102" s="24">
        <v>0.64583333333333337</v>
      </c>
      <c r="AG102" s="25" t="s">
        <v>1532</v>
      </c>
    </row>
    <row r="103" spans="1:33" x14ac:dyDescent="0.3">
      <c r="A103" t="s">
        <v>8</v>
      </c>
      <c r="B103" t="s">
        <v>1906</v>
      </c>
      <c r="C103" t="s">
        <v>1907</v>
      </c>
      <c r="D103" t="s">
        <v>1908</v>
      </c>
      <c r="E103" t="s">
        <v>2178</v>
      </c>
      <c r="F103" t="s">
        <v>328</v>
      </c>
      <c r="G103" s="7">
        <f ca="1">X103</f>
        <v>46137</v>
      </c>
      <c r="H103" s="5" t="s">
        <v>1909</v>
      </c>
      <c r="I103" t="s">
        <v>1048</v>
      </c>
      <c r="J103" s="36" t="s">
        <v>2670</v>
      </c>
      <c r="L103" t="s">
        <v>2748</v>
      </c>
      <c r="M103" s="16" t="s">
        <v>1910</v>
      </c>
      <c r="N103" s="16" t="s">
        <v>1911</v>
      </c>
      <c r="O103" s="7">
        <v>45312</v>
      </c>
      <c r="P103" s="7" t="s">
        <v>1912</v>
      </c>
      <c r="Q103" s="18">
        <v>4</v>
      </c>
      <c r="R103" s="18">
        <v>4</v>
      </c>
      <c r="S103" s="18">
        <v>1</v>
      </c>
      <c r="T103" s="4">
        <f>DATE(AI$2,$Q103,1+(($R103-($S103&gt;=WEEKDAY(DATE(AI$2,$Q103,1))))*7)+($S103-WEEKDAY(DATE(AI$2,$Q103,1))))</f>
        <v>45774</v>
      </c>
      <c r="U103" s="4">
        <f>DATE(AJ$2,$Q103,1+(($R103-($S103&gt;=WEEKDAY(DATE(AJ$2,$Q103,1))))*7)+($S103-WEEKDAY(DATE(AJ$2,$Q103,1))))</f>
        <v>46138</v>
      </c>
      <c r="V103" s="20">
        <v>-1</v>
      </c>
      <c r="W103" s="20">
        <v>1</v>
      </c>
      <c r="X103" s="4">
        <f ca="1">Y103-(W103-1)</f>
        <v>46137</v>
      </c>
      <c r="Y103" s="5">
        <f ca="1">IF(OR(T103+V103&lt;(NOW()-0.5),ISNUMBER(SEARCH("&lt;h4&gt;",K103))),U103+V103,T103+V103)</f>
        <v>46137</v>
      </c>
      <c r="Z103" t="str">
        <f ca="1">CONCATENATE(IF(OR(Y103=X103,ISBLANK(Y103)),TEXT(X103,"mmmm d"),CONCATENATE(TEXT(X103,"mmmm d"),"-",IF(TEXT(X103,"mmmm")=TEXT(Y103,"mmmm"),TEXT(Y103,"d"),TEXT(Y103,"mmmm d")))),", ",YEAR(Y103))</f>
        <v>April 25, 2026</v>
      </c>
      <c r="AA103" s="7">
        <f>O103</f>
        <v>45312</v>
      </c>
      <c r="AB103" s="14">
        <f>T103+V103-(W103-1)</f>
        <v>45773</v>
      </c>
      <c r="AC103" t="s">
        <v>1913</v>
      </c>
      <c r="AD103" s="23" t="str">
        <f ca="1">CONCATENATE("&lt;add-to-calendar-button  name=",CHAR(34),H103,CHAR(34),
IF(ISBLANK(M103),"",CONCATENATE("   location=",CHAR(34),RIGHT(M103,LEN(M103)-SEARCH("|",M103)-1),CHAR(34))),
"   description=",CHAR(34),IF(ISBLANK(I103),"",CONCATENATE(I103,"; ")),"shapenotesingings.com",CHAR(34),
"   options=",CHAR(34),"'Apple','Google','iCal','Outlook.com'",CHAR(34),"   styleLight=",CHAR(34),"--btn-background: #550000; --btn-text: #fff; --btn-shadow:#fff;",CHAR(34),
IF(W103=1,CONCATENATE(
"startDate=",CHAR(34),TEXT(G103,"yyyy-mm-dd"),CHAR(34),
"{endDate=",CHAR(34),TEXT(G103,"yyyy-mm-dd"),CHAR(34),
IF(OR(ISBLANK(AE103),ISBLANK(AF103)),"",(CONCATENATE(" startTime=",CHAR(34),TEXT(AE103,"hh:mm"),CHAR(34)," endTime=",CHAR(34),TEXT(AF103,"h:mm"),CHAR(34),
" timeZone=",CHAR(34),AG103,CHAR(34))))),
IF(W103=2,CONCATENATE(" dates='[{",
CHAR(34),"startDate",CHAR(34),":",CHAR(34),TEXT(G103,"yyyy-mm-dd"),CHAR(34),", ",
,CHAR(34),"endDate",CHAR(34),":",CHAR(34),TEXT(G103,"yyyy-mm-dd"),CHAR(34),
IF(OR(ISBLANK(AE103),ISBLANK(AF103)),"",(CONCATENATE(", ",CHAR(34),"startTime",CHAR(34),":",CHAR(34),TEXT(AE103,"hh:mm"),CHAR(34),", ",CHAR(34),"endTime",CHAR(34),":",CHAR(34),TEXT(AF103,"hh:mm"),CHAR(34),", ",CHAR(34),"timeZone",CHAR(34),":",CHAR(34),AG103,CHAR(34)))),"}, {",
,CHAR(34),"startDate",CHAR(34),":",CHAR(34),TEXT(G103+1,"yyyy-mm-dd"),CHAR(34),", ",
,CHAR(34),"endDate",CHAR(34),":",CHAR(34),TEXT(G103+W103-1,"yyyy-mm-dd"),CHAR(34),
IF(OR(ISBLANK(AE103),ISBLANK(AF103)),"",(CONCATENATE(", ",CHAR(34),"startTime",CHAR(34),":",CHAR(34),TEXT(AE103,"hh:mm"),CHAR(34),", ",CHAR(34),"endTime",CHAR(34),":",CHAR(34),TEXT(AF103,"hh:mm"),CHAR(34),", ",CHAR(34),"timeZone",CHAR(34),":",CHAR(34),AG103,CHAR(34)))),"}]'"),
CONCATENATE(
"{  startDate=",CHAR(34),TEXT(G103,"yyyy-mm-dd"),CHAR(34),
"  endDate=",CHAR(34),TEXT(G103+W103-1,"yyyy-mm-dd"),CHAR(34),"}"))),
" &gt;&lt;/add-to-calendar-button&gt;")</f>
        <v>&lt;add-to-calendar-button  name="University of Oklahoma Singing"   location="Cattlett Music Center, 500 W Boyd St, Norman, OK 73069"   description="9:30am-3pm; shapenotesingings.com"   options="'Apple','Google','iCal','Outlook.com'"   styleLight="--btn-background: #550000; --btn-text: #fff; --btn-shadow:#fff;"startDate="2026-04-25"{endDate="2026-04-25" startTime="09:30" endTime="15:00" timeZone="America/Chicago" &gt;&lt;/add-to-calendar-button&gt;</v>
      </c>
      <c r="AE103" s="24">
        <v>0.39583333333333331</v>
      </c>
      <c r="AF103" s="24">
        <v>0.625</v>
      </c>
      <c r="AG103" s="25" t="s">
        <v>1533</v>
      </c>
    </row>
    <row r="104" spans="1:33" x14ac:dyDescent="0.3">
      <c r="A104" t="s">
        <v>8</v>
      </c>
      <c r="B104" t="s">
        <v>11</v>
      </c>
      <c r="C104" t="s">
        <v>1134</v>
      </c>
      <c r="D104" t="s">
        <v>516</v>
      </c>
      <c r="E104" t="s">
        <v>2178</v>
      </c>
      <c r="F104" t="s">
        <v>328</v>
      </c>
      <c r="G104" s="7">
        <f ca="1">X104</f>
        <v>46137</v>
      </c>
      <c r="H104" s="5" t="s">
        <v>2443</v>
      </c>
      <c r="I104" t="s">
        <v>1028</v>
      </c>
      <c r="J104" s="36" t="s">
        <v>2671</v>
      </c>
      <c r="L104" t="s">
        <v>2958</v>
      </c>
      <c r="M104" s="16" t="s">
        <v>1879</v>
      </c>
      <c r="N104" s="16" t="s">
        <v>1880</v>
      </c>
      <c r="O104" s="7">
        <v>45644</v>
      </c>
      <c r="P104" s="7" t="s">
        <v>2444</v>
      </c>
      <c r="Q104" s="18">
        <v>4</v>
      </c>
      <c r="R104" s="18">
        <v>4</v>
      </c>
      <c r="S104" s="18">
        <v>1</v>
      </c>
      <c r="T104" s="4">
        <f>DATE(AI$2,$Q104,1+(($R104-($S104&gt;=WEEKDAY(DATE(AI$2,$Q104,1))))*7)+($S104-WEEKDAY(DATE(AI$2,$Q104,1))))</f>
        <v>45774</v>
      </c>
      <c r="U104" s="4">
        <f>DATE(AJ$2,$Q104,1+(($R104-($S104&gt;=WEEKDAY(DATE(AJ$2,$Q104,1))))*7)+($S104-WEEKDAY(DATE(AJ$2,$Q104,1))))</f>
        <v>46138</v>
      </c>
      <c r="V104" s="20">
        <v>-1</v>
      </c>
      <c r="W104" s="20">
        <v>1</v>
      </c>
      <c r="X104" s="4">
        <f ca="1">Y104-(W104-1)</f>
        <v>46137</v>
      </c>
      <c r="Y104" s="5">
        <f ca="1">IF(OR(T104+V104&lt;(NOW()-0.5),ISNUMBER(SEARCH("&lt;h4&gt;",K104))),U104+V104,T104+V104)</f>
        <v>46137</v>
      </c>
      <c r="Z104" t="str">
        <f ca="1">CONCATENATE(IF(OR(Y104=X104,ISBLANK(Y104)),TEXT(X104,"mmmm d"),CONCATENATE(TEXT(X104,"mmmm d"),"-",IF(TEXT(X104,"mmmm")=TEXT(Y104,"mmmm"),TEXT(Y104,"d"),TEXT(Y104,"mmmm d")))),", ",YEAR(Y104))</f>
        <v>April 25, 2026</v>
      </c>
      <c r="AA104" s="7">
        <f>O104</f>
        <v>45644</v>
      </c>
      <c r="AB104" s="14">
        <f>T104+V104-(W104-1)</f>
        <v>45773</v>
      </c>
      <c r="AC104" t="s">
        <v>1881</v>
      </c>
      <c r="AD104" s="23" t="str">
        <f ca="1">CONCATENATE("&lt;add-to-calendar-button  name=",CHAR(34),H104,CHAR(34),
IF(ISBLANK(M104),"",CONCATENATE("   location=",CHAR(34),RIGHT(M104,LEN(M104)-SEARCH("|",M104)-1),CHAR(34))),
"   description=",CHAR(34),IF(ISBLANK(I104),"",CONCATENATE(I104,"; ")),"shapenotesingings.com",CHAR(34),
"   options=",CHAR(34),"'Apple','Google','iCal','Outlook.com'",CHAR(34),"   styleLight=",CHAR(34),"--btn-background: #550000; --btn-text: #fff; --btn-shadow:#fff;",CHAR(34),
IF(W104=1,CONCATENATE(
"startDate=",CHAR(34),TEXT(G104,"yyyy-mm-dd"),CHAR(34),
"{endDate=",CHAR(34),TEXT(G104,"yyyy-mm-dd"),CHAR(34),
IF(OR(ISBLANK(AE104),ISBLANK(AF104)),"",(CONCATENATE(" startTime=",CHAR(34),TEXT(AE104,"hh:mm"),CHAR(34)," endTime=",CHAR(34),TEXT(AF104,"h:mm"),CHAR(34),
" timeZone=",CHAR(34),AG104,CHAR(34))))),
IF(W104=2,CONCATENATE(" dates='[{",
CHAR(34),"startDate",CHAR(34),":",CHAR(34),TEXT(G104,"yyyy-mm-dd"),CHAR(34),", ",
,CHAR(34),"endDate",CHAR(34),":",CHAR(34),TEXT(G104,"yyyy-mm-dd"),CHAR(34),
IF(OR(ISBLANK(AE104),ISBLANK(AF104)),"",(CONCATENATE(", ",CHAR(34),"startTime",CHAR(34),":",CHAR(34),TEXT(AE104,"hh:mm"),CHAR(34),", ",CHAR(34),"endTime",CHAR(34),":",CHAR(34),TEXT(AF104,"hh:mm"),CHAR(34),", ",CHAR(34),"timeZone",CHAR(34),":",CHAR(34),AG104,CHAR(34)))),"}, {",
,CHAR(34),"startDate",CHAR(34),":",CHAR(34),TEXT(G104+1,"yyyy-mm-dd"),CHAR(34),", ",
,CHAR(34),"endDate",CHAR(34),":",CHAR(34),TEXT(G104+W104-1,"yyyy-mm-dd"),CHAR(34),
IF(OR(ISBLANK(AE104),ISBLANK(AF104)),"",(CONCATENATE(", ",CHAR(34),"startTime",CHAR(34),":",CHAR(34),TEXT(AE104,"hh:mm"),CHAR(34),", ",CHAR(34),"endTime",CHAR(34),":",CHAR(34),TEXT(AF104,"hh:mm"),CHAR(34),", ",CHAR(34),"timeZone",CHAR(34),":",CHAR(34),AG104,CHAR(34)))),"}]'"),
CONCATENATE(
"{  startDate=",CHAR(34),TEXT(G104,"yyyy-mm-dd"),CHAR(34),
"  endDate=",CHAR(34),TEXT(G104+W104-1,"yyyy-mm-dd"),CHAR(34),"}"))),
" &gt;&lt;/add-to-calendar-button&gt;")</f>
        <v>&lt;add-to-calendar-button  name="E. T. White Memorial Singing"   location="Valley Grove Community Center, 308 Co Rd 426, Cullman, AL 35057"   description="10am; shapenotesingings.com"   options="'Apple','Google','iCal','Outlook.com'"   styleLight="--btn-background: #550000; --btn-text: #fff; --btn-shadow:#fff;"startDate="2026-04-25"{endDate="2026-04-25" startTime="09:30" endTime="15:00" timeZone="America/Chicago" &gt;&lt;/add-to-calendar-button&gt;</v>
      </c>
      <c r="AE104" s="24">
        <v>0.39583333333333331</v>
      </c>
      <c r="AF104" s="24">
        <v>0.625</v>
      </c>
      <c r="AG104" s="25" t="s">
        <v>1533</v>
      </c>
    </row>
    <row r="105" spans="1:33" x14ac:dyDescent="0.3">
      <c r="A105" t="s">
        <v>8</v>
      </c>
      <c r="B105" t="s">
        <v>151</v>
      </c>
      <c r="C105" t="s">
        <v>1137</v>
      </c>
      <c r="D105" t="s">
        <v>1924</v>
      </c>
      <c r="E105" t="s">
        <v>2178</v>
      </c>
      <c r="F105" t="s">
        <v>340</v>
      </c>
      <c r="G105" s="7">
        <f ca="1">X105</f>
        <v>46137</v>
      </c>
      <c r="H105" s="5" t="s">
        <v>329</v>
      </c>
      <c r="I105" t="s">
        <v>1041</v>
      </c>
      <c r="J105" s="36" t="s">
        <v>2674</v>
      </c>
      <c r="K105" t="s">
        <v>2643</v>
      </c>
      <c r="L105" t="s">
        <v>1923</v>
      </c>
      <c r="M105" s="16" t="s">
        <v>2641</v>
      </c>
      <c r="N105" s="16" t="s">
        <v>2642</v>
      </c>
      <c r="O105" s="7">
        <v>45669</v>
      </c>
      <c r="P105" s="7" t="s">
        <v>1618</v>
      </c>
      <c r="Q105" s="18">
        <v>4</v>
      </c>
      <c r="R105" s="18">
        <v>4</v>
      </c>
      <c r="S105" s="18">
        <v>1</v>
      </c>
      <c r="T105" s="4">
        <f>DATE(AI$2,$Q105,1+(($R105-($S105&gt;=WEEKDAY(DATE(AI$2,$Q105,1))))*7)+($S105-WEEKDAY(DATE(AI$2,$Q105,1))))</f>
        <v>45774</v>
      </c>
      <c r="U105" s="4">
        <f>DATE(AJ$2,$Q105,1+(($R105-($S105&gt;=WEEKDAY(DATE(AJ$2,$Q105,1))))*7)+($S105-WEEKDAY(DATE(AJ$2,$Q105,1))))</f>
        <v>46138</v>
      </c>
      <c r="V105" s="20">
        <v>0</v>
      </c>
      <c r="W105" s="20">
        <v>2</v>
      </c>
      <c r="X105" s="4">
        <f ca="1">Y105-(W105-1)</f>
        <v>46137</v>
      </c>
      <c r="Y105" s="5">
        <f ca="1">IF(OR(T105+V105&lt;(NOW()-0.5),ISNUMBER(SEARCH("&lt;h4&gt;",K105))),U105+V105,T105+V105)</f>
        <v>46138</v>
      </c>
      <c r="Z105" t="str">
        <f ca="1">CONCATENATE(IF(OR(Y105=X105,ISBLANK(Y105)),TEXT(X105,"mmmm d"),CONCATENATE(TEXT(X105,"mmmm d"),"-",IF(TEXT(X105,"mmmm")=TEXT(Y105,"mmmm"),TEXT(Y105,"d"),TEXT(Y105,"mmmm d")))),", ",YEAR(Y105))</f>
        <v>April 25-26, 2026</v>
      </c>
      <c r="AA105" s="7">
        <f>O105</f>
        <v>45669</v>
      </c>
      <c r="AB105" s="14">
        <f>T105+V105-(W105-1)</f>
        <v>45773</v>
      </c>
      <c r="AC105" t="s">
        <v>2644</v>
      </c>
      <c r="AD105" s="23" t="str">
        <f ca="1">CONCATENATE("&lt;add-to-calendar-button  name=",CHAR(34),H105,CHAR(34),
IF(ISBLANK(M105),"",CONCATENATE("   location=",CHAR(34),RIGHT(M105,LEN(M105)-SEARCH("|",M105)-1),CHAR(34))),
"   description=",CHAR(34),IF(ISBLANK(I105),"",CONCATENATE(I105,"; ")),"shapenotesingings.com",CHAR(34),
"   options=",CHAR(34),"'Apple','Google','iCal','Outlook.com'",CHAR(34),"   styleLight=",CHAR(34),"--btn-background: #550000; --btn-text: #fff; --btn-shadow:#fff;",CHAR(34),
IF(W105=1,CONCATENATE(
"startDate=",CHAR(34),TEXT(G105,"yyyy-mm-dd"),CHAR(34),
"{endDate=",CHAR(34),TEXT(G105,"yyyy-mm-dd"),CHAR(34),
IF(OR(ISBLANK(AE105),ISBLANK(AF105)),"",(CONCATENATE(" startTime=",CHAR(34),TEXT(AE105,"hh:mm"),CHAR(34)," endTime=",CHAR(34),TEXT(AF105,"h:mm"),CHAR(34),
" timeZone=",CHAR(34),AG105,CHAR(34))))),
IF(W105=2,CONCATENATE(" dates='[{",
CHAR(34),"startDate",CHAR(34),":",CHAR(34),TEXT(G105,"yyyy-mm-dd"),CHAR(34),", ",
,CHAR(34),"endDate",CHAR(34),":",CHAR(34),TEXT(G105,"yyyy-mm-dd"),CHAR(34),
IF(OR(ISBLANK(AE105),ISBLANK(AF105)),"",(CONCATENATE(", ",CHAR(34),"startTime",CHAR(34),":",CHAR(34),TEXT(AE105,"hh:mm"),CHAR(34),", ",CHAR(34),"endTime",CHAR(34),":",CHAR(34),TEXT(AF105,"hh:mm"),CHAR(34),", ",CHAR(34),"timeZone",CHAR(34),":",CHAR(34),AG105,CHAR(34)))),"}, {",
,CHAR(34),"startDate",CHAR(34),":",CHAR(34),TEXT(G105+1,"yyyy-mm-dd"),CHAR(34),", ",
,CHAR(34),"endDate",CHAR(34),":",CHAR(34),TEXT(G105+W105-1,"yyyy-mm-dd"),CHAR(34),
IF(OR(ISBLANK(AE105),ISBLANK(AF105)),"",(CONCATENATE(", ",CHAR(34),"startTime",CHAR(34),":",CHAR(34),TEXT(AE105,"hh:mm"),CHAR(34),", ",CHAR(34),"endTime",CHAR(34),":",CHAR(34),TEXT(AF105,"hh:mm"),CHAR(34),", ",CHAR(34),"timeZone",CHAR(34),":",CHAR(34),AG105,CHAR(34)))),"}]'"),
CONCATENATE(
"{  startDate=",CHAR(34),TEXT(G105,"yyyy-mm-dd"),CHAR(34),
"  endDate=",CHAR(34),TEXT(G105+W105-1,"yyyy-mm-dd"),CHAR(34),"}"))),
" &gt;&lt;/add-to-calendar-button&gt;")</f>
        <v>&lt;add-to-calendar-button  name="Golden Gate All-Day Singing"   location="Good Shepherd Episcopal Church, 1823 Ninth St, Berkeley, CA 94710"   description="10:30am; shapenotesingings.com"   options="'Apple','Google','iCal','Outlook.com'"   styleLight="--btn-background: #550000; --btn-text: #fff; --btn-shadow:#fff;" dates='[{"startDate":"2026-04-25", "endDate":"2026-04-25", "startTime":"09:00", "endTime":"15:00", "timeZone":"America/Los_Angeles"}, {"startDate":"2026-04-26", "endDate":"2026-04-26", "startTime":"09:00", "endTime":"15:00", "timeZone":"America/Los_Angeles"}]' &gt;&lt;/add-to-calendar-button&gt;</v>
      </c>
      <c r="AE105" s="24">
        <v>0.375</v>
      </c>
      <c r="AF105" s="24">
        <v>0.625</v>
      </c>
      <c r="AG105" s="25" t="s">
        <v>1534</v>
      </c>
    </row>
    <row r="106" spans="1:33" x14ac:dyDescent="0.3">
      <c r="A106" t="s">
        <v>8</v>
      </c>
      <c r="B106" t="s">
        <v>40</v>
      </c>
      <c r="C106" t="s">
        <v>1161</v>
      </c>
      <c r="D106" t="s">
        <v>339</v>
      </c>
      <c r="E106" t="s">
        <v>1436</v>
      </c>
      <c r="F106" t="s">
        <v>340</v>
      </c>
      <c r="G106" s="7">
        <f ca="1">X106</f>
        <v>46137</v>
      </c>
      <c r="H106" s="5" t="s">
        <v>338</v>
      </c>
      <c r="I106" t="s">
        <v>1048</v>
      </c>
      <c r="J106" s="36" t="s">
        <v>2585</v>
      </c>
      <c r="K106" t="s">
        <v>1174</v>
      </c>
      <c r="L106" t="s">
        <v>1975</v>
      </c>
      <c r="M106" s="16" t="s">
        <v>336</v>
      </c>
      <c r="N106" s="16" t="s">
        <v>337</v>
      </c>
      <c r="O106" s="7">
        <v>44978</v>
      </c>
      <c r="P106" s="7" t="s">
        <v>1992</v>
      </c>
      <c r="Q106" s="18">
        <v>4</v>
      </c>
      <c r="R106" s="18">
        <v>4</v>
      </c>
      <c r="S106" s="18">
        <v>1</v>
      </c>
      <c r="T106" s="33">
        <f>IF(DATE(AI$2,$Q106,1+(($R106-($S106&gt;=WEEKDAY(DATE(AI$2,$Q106,1))))*7)+($S106-WEEKDAY(DATE(AI$2,$Q106,1))))=$AI$5,DATE(AI$2,$Q106,1+(($R106-1-($S106&gt;=WEEKDAY(DATE(AI$2,$Q106,1))))*7)+($S106-WEEKDAY(DATE(AI$2,$Q106,1)))),DATE(AI$2,$Q106,1+(($R106-($S106&gt;=WEEKDAY(DATE(AI$2,$Q106,1))))*7)+($S106-WEEKDAY(DATE(AI$2,$Q106,1)))))</f>
        <v>45774</v>
      </c>
      <c r="U106" s="33">
        <f>IF(DATE(AJ$2,$Q106,1+(($R106-($S106&gt;=WEEKDAY(DATE(AJ$2,$Q106,1))))*7)+($S106-WEEKDAY(DATE(AJ$2,$Q106,1))))=$AI$5,DATE(AJ$2,$Q106,1+(($R106-1-($S106&gt;=WEEKDAY(DATE(AJ$2,$Q106,1))))*7)+($S106-WEEKDAY(DATE(AJ$2,$Q106,1)))),DATE(AJ$2,$Q106,1+(($R106-($S106&gt;=WEEKDAY(DATE(AJ$2,$Q106,1))))*7)+($S106-WEEKDAY(DATE(AJ$2,$Q106,1)))))</f>
        <v>46138</v>
      </c>
      <c r="V106" s="20">
        <v>0</v>
      </c>
      <c r="W106" s="20">
        <v>2</v>
      </c>
      <c r="X106" s="4">
        <f ca="1">Y106-(W106-1)</f>
        <v>46137</v>
      </c>
      <c r="Y106" s="5">
        <f ca="1">IF(OR(T106+V106&lt;(NOW()-0.5),ISNUMBER(SEARCH("&lt;h4&gt;",K106))),U106+V106,T106+V106)</f>
        <v>46138</v>
      </c>
      <c r="Z106" t="str">
        <f ca="1">CONCATENATE(IF(OR(Y106=X106,ISBLANK(Y106)),TEXT(X106,"mmmm d"),CONCATENATE(TEXT(X106,"mmmm d"),"-",IF(TEXT(X106,"mmmm")=TEXT(Y106,"mmmm"),TEXT(Y106,"d"),TEXT(Y106,"mmmm d")))),", ",YEAR(Y106))</f>
        <v>April 25-26, 2026</v>
      </c>
      <c r="AA106" s="7">
        <f>O106</f>
        <v>44978</v>
      </c>
      <c r="AB106" s="14">
        <f>T106+V106-(W106-1)</f>
        <v>45773</v>
      </c>
      <c r="AC106" t="s">
        <v>1254</v>
      </c>
      <c r="AD106" s="23" t="str">
        <f ca="1">CONCATENATE("&lt;add-to-calendar-button  name=",CHAR(34),H106,CHAR(34),
IF(ISBLANK(M106),"",CONCATENATE("   location=",CHAR(34),RIGHT(M106,LEN(M106)-SEARCH("|",M106)-1),CHAR(34))),
"   description=",CHAR(34),IF(ISBLANK(I106),"",CONCATENATE(I106,"; ")),"shapenotesingings.com",CHAR(34),
"   options=",CHAR(34),"'Apple','Google','iCal','Outlook.com'",CHAR(34),"   styleLight=",CHAR(34),"--btn-background: #550000; --btn-text: #fff; --btn-shadow:#fff;",CHAR(34),
IF(W106=1,CONCATENATE(
"startDate=",CHAR(34),TEXT(G106,"yyyy-mm-dd"),CHAR(34),
"{endDate=",CHAR(34),TEXT(G106,"yyyy-mm-dd"),CHAR(34),
IF(OR(ISBLANK(AE106),ISBLANK(AF106)),"",(CONCATENATE(" startTime=",CHAR(34),TEXT(AE106,"hh:mm"),CHAR(34)," endTime=",CHAR(34),TEXT(AF106,"h:mm"),CHAR(34),
" timeZone=",CHAR(34),AG106,CHAR(34))))),
IF(W106=2,CONCATENATE(" dates='[{",
CHAR(34),"startDate",CHAR(34),":",CHAR(34),TEXT(G106,"yyyy-mm-dd"),CHAR(34),", ",
,CHAR(34),"endDate",CHAR(34),":",CHAR(34),TEXT(G106,"yyyy-mm-dd"),CHAR(34),
IF(OR(ISBLANK(AE106),ISBLANK(AF106)),"",(CONCATENATE(", ",CHAR(34),"startTime",CHAR(34),":",CHAR(34),TEXT(AE106,"hh:mm"),CHAR(34),", ",CHAR(34),"endTime",CHAR(34),":",CHAR(34),TEXT(AF106,"hh:mm"),CHAR(34),", ",CHAR(34),"timeZone",CHAR(34),":",CHAR(34),AG106,CHAR(34)))),"}, {",
,CHAR(34),"startDate",CHAR(34),":",CHAR(34),TEXT(G106+1,"yyyy-mm-dd"),CHAR(34),", ",
,CHAR(34),"endDate",CHAR(34),":",CHAR(34),TEXT(G106+W106-1,"yyyy-mm-dd"),CHAR(34),
IF(OR(ISBLANK(AE106),ISBLANK(AF106)),"",(CONCATENATE(", ",CHAR(34),"startTime",CHAR(34),":",CHAR(34),TEXT(AE106,"hh:mm"),CHAR(34),", ",CHAR(34),"endTime",CHAR(34),":",CHAR(34),TEXT(AF106,"hh:mm"),CHAR(34),", ",CHAR(34),"timeZone",CHAR(34),":",CHAR(34),AG106,CHAR(34)))),"}]'"),
CONCATENATE(
"{  startDate=",CHAR(34),TEXT(G106,"yyyy-mm-dd"),CHAR(34),
"  endDate=",CHAR(34),TEXT(G106+W106-1,"yyyy-mm-dd"),CHAR(34),"}"))),
" &gt;&lt;/add-to-calendar-button&gt;")</f>
        <v>&lt;add-to-calendar-button  name="Rusk County Convention"   location="Old Pine Grove Church, 4401-5065 County Rd 364 S, Henderson, TX 75654"   description="9:30am-3pm; shapenotesingings.com"   options="'Apple','Google','iCal','Outlook.com'"   styleLight="--btn-background: #550000; --btn-text: #fff; --btn-shadow:#fff;" dates='[{"startDate":"2026-04-25", "endDate":"2026-04-25", "startTime":"09:30", "endTime":"15:00", "timeZone":"America/Chicago"}, {"startDate":"2026-04-26", "endDate":"2026-04-26", "startTime":"09:30", "endTime":"15:00", "timeZone":"America/Chicago"}]' &gt;&lt;/add-to-calendar-button&gt;</v>
      </c>
      <c r="AE106" s="24">
        <v>0.39583333333333331</v>
      </c>
      <c r="AF106" s="24">
        <v>0.625</v>
      </c>
      <c r="AG106" s="25" t="s">
        <v>1533</v>
      </c>
    </row>
    <row r="107" spans="1:33" x14ac:dyDescent="0.3">
      <c r="A107" t="s">
        <v>8</v>
      </c>
      <c r="B107" t="s">
        <v>11</v>
      </c>
      <c r="C107" t="s">
        <v>1134</v>
      </c>
      <c r="D107" t="s">
        <v>184</v>
      </c>
      <c r="E107" t="s">
        <v>34</v>
      </c>
      <c r="F107" t="s">
        <v>328</v>
      </c>
      <c r="G107" s="7">
        <f ca="1">X107</f>
        <v>46137</v>
      </c>
      <c r="H107" s="5" t="s">
        <v>1553</v>
      </c>
      <c r="L107" t="s">
        <v>953</v>
      </c>
      <c r="M107" s="16" t="s">
        <v>999</v>
      </c>
      <c r="N107" s="16" t="s">
        <v>186</v>
      </c>
      <c r="O107" s="7">
        <v>45037</v>
      </c>
      <c r="P107" s="7" t="s">
        <v>1552</v>
      </c>
      <c r="Q107" s="18">
        <v>4</v>
      </c>
      <c r="R107" s="18">
        <v>4</v>
      </c>
      <c r="S107" s="18">
        <v>1</v>
      </c>
      <c r="T107" s="4">
        <f>DATE(AI$2,$Q107,1+(($R107-($S107&gt;=WEEKDAY(DATE(AI$2,$Q107,1))))*7)+($S107-WEEKDAY(DATE(AI$2,$Q107,1))))</f>
        <v>45774</v>
      </c>
      <c r="U107" s="4">
        <f>DATE(AJ$2,$Q107,1+(($R107-($S107&gt;=WEEKDAY(DATE(AJ$2,$Q107,1))))*7)+($S107-WEEKDAY(DATE(AJ$2,$Q107,1))))</f>
        <v>46138</v>
      </c>
      <c r="V107" s="20">
        <v>-1</v>
      </c>
      <c r="W107" s="20">
        <v>1</v>
      </c>
      <c r="X107" s="4">
        <f ca="1">Y107-(W107-1)</f>
        <v>46137</v>
      </c>
      <c r="Y107" s="5">
        <f ca="1">IF(OR(T107+V107&lt;(NOW()-0.5),ISNUMBER(SEARCH("&lt;h4&gt;",K107))),U107+V107,T107+V107)</f>
        <v>46137</v>
      </c>
      <c r="Z107" t="str">
        <f ca="1">CONCATENATE(IF(OR(Y107=X107,ISBLANK(Y107)),TEXT(X107,"mmmm d"),CONCATENATE(TEXT(X107,"mmmm d"),"-",IF(TEXT(X107,"mmmm")=TEXT(Y107,"mmmm"),TEXT(Y107,"d"),TEXT(Y107,"mmmm d")))),", ",YEAR(Y107))</f>
        <v>April 25, 2026</v>
      </c>
      <c r="AA107" s="7">
        <f>O107</f>
        <v>45037</v>
      </c>
      <c r="AB107" s="14">
        <f>T107+V107-(W107-1)</f>
        <v>45773</v>
      </c>
      <c r="AC107" t="s">
        <v>1257</v>
      </c>
      <c r="AD107" s="23" t="str">
        <f ca="1">CONCATENATE("&lt;add-to-calendar-button  name=",CHAR(34),H107,CHAR(34),
IF(ISBLANK(M107),"",CONCATENATE("   location=",CHAR(34),RIGHT(M107,LEN(M107)-SEARCH("|",M107)-1),CHAR(34))),
"   description=",CHAR(34),IF(ISBLANK(I107),"",CONCATENATE(I107,"; ")),"shapenotesingings.com",CHAR(34),
"   options=",CHAR(34),"'Apple','Google','iCal','Outlook.com'",CHAR(34),"   styleLight=",CHAR(34),"--btn-background: #550000; --btn-text: #fff; --btn-shadow:#fff;",CHAR(34),
IF(W107=1,CONCATENATE(
"startDate=",CHAR(34),TEXT(G107,"yyyy-mm-dd"),CHAR(34),
"{endDate=",CHAR(34),TEXT(G107,"yyyy-mm-dd"),CHAR(34),
IF(OR(ISBLANK(AE107),ISBLANK(AF107)),"",(CONCATENATE(" startTime=",CHAR(34),TEXT(AE107,"hh:mm"),CHAR(34)," endTime=",CHAR(34),TEXT(AF107,"h:mm"),CHAR(34),
" timeZone=",CHAR(34),AG107,CHAR(34))))),
IF(W107=2,CONCATENATE(" dates='[{",
CHAR(34),"startDate",CHAR(34),":",CHAR(34),TEXT(G107,"yyyy-mm-dd"),CHAR(34),", ",
,CHAR(34),"endDate",CHAR(34),":",CHAR(34),TEXT(G107,"yyyy-mm-dd"),CHAR(34),
IF(OR(ISBLANK(AE107),ISBLANK(AF107)),"",(CONCATENATE(", ",CHAR(34),"startTime",CHAR(34),":",CHAR(34),TEXT(AE107,"hh:mm"),CHAR(34),", ",CHAR(34),"endTime",CHAR(34),":",CHAR(34),TEXT(AF107,"hh:mm"),CHAR(34),", ",CHAR(34),"timeZone",CHAR(34),":",CHAR(34),AG107,CHAR(34)))),"}, {",
,CHAR(34),"startDate",CHAR(34),":",CHAR(34),TEXT(G107+1,"yyyy-mm-dd"),CHAR(34),", ",
,CHAR(34),"endDate",CHAR(34),":",CHAR(34),TEXT(G107+W107-1,"yyyy-mm-dd"),CHAR(34),
IF(OR(ISBLANK(AE107),ISBLANK(AF107)),"",(CONCATENATE(", ",CHAR(34),"startTime",CHAR(34),":",CHAR(34),TEXT(AE107,"hh:mm"),CHAR(34),", ",CHAR(34),"endTime",CHAR(34),":",CHAR(34),TEXT(AF107,"hh:mm"),CHAR(34),", ",CHAR(34),"timeZone",CHAR(34),":",CHAR(34),AG107,CHAR(34)))),"}]'"),
CONCATENATE(
"{  startDate=",CHAR(34),TEXT(G107,"yyyy-mm-dd"),CHAR(34),
"  endDate=",CHAR(34),TEXT(G107+W107-1,"yyyy-mm-dd"),CHAR(34),"}"))),
" &gt;&lt;/add-to-calendar-button&gt;")</f>
        <v>&lt;add-to-calendar-button  name="State of Alabama Convention (Semi-Annual Session)"   location="Traveler's Rest Church, 654 Traveler's Rest Rd, Samson, AL 36477"   description="shapenotesingings.com"   options="'Apple','Google','iCal','Outlook.com'"   styleLight="--btn-background: #550000; --btn-text: #fff; --btn-shadow:#fff;"startDate="2026-04-25"{endDate="2026-04-25" &gt;&lt;/add-to-calendar-button&gt;</v>
      </c>
      <c r="AG107" s="25" t="s">
        <v>1533</v>
      </c>
    </row>
    <row r="108" spans="1:33" x14ac:dyDescent="0.3">
      <c r="A108" t="s">
        <v>8</v>
      </c>
      <c r="B108" t="s">
        <v>11</v>
      </c>
      <c r="C108" t="s">
        <v>1134</v>
      </c>
      <c r="D108" t="s">
        <v>166</v>
      </c>
      <c r="E108" t="s">
        <v>2178</v>
      </c>
      <c r="F108" t="s">
        <v>346</v>
      </c>
      <c r="G108" s="7">
        <f ca="1">X108</f>
        <v>46138</v>
      </c>
      <c r="H108" s="5" t="s">
        <v>352</v>
      </c>
      <c r="I108" t="s">
        <v>1040</v>
      </c>
      <c r="J108" s="36" t="s">
        <v>2672</v>
      </c>
      <c r="K108" t="s">
        <v>1083</v>
      </c>
      <c r="M108" s="16" t="s">
        <v>350</v>
      </c>
      <c r="N108" s="16" t="s">
        <v>351</v>
      </c>
      <c r="O108" s="7">
        <v>44936</v>
      </c>
      <c r="P108" s="7" t="s">
        <v>926</v>
      </c>
      <c r="Q108" s="18">
        <v>4</v>
      </c>
      <c r="R108" s="18">
        <v>4</v>
      </c>
      <c r="S108" s="18">
        <v>1</v>
      </c>
      <c r="T108" s="4">
        <f>DATE(AI$2,$Q108,1+(($R108-($S108&gt;=WEEKDAY(DATE(AI$2,$Q108,1))))*7)+($S108-WEEKDAY(DATE(AI$2,$Q108,1))))</f>
        <v>45774</v>
      </c>
      <c r="U108" s="4">
        <f>DATE(AJ$2,$Q108,1+(($R108-($S108&gt;=WEEKDAY(DATE(AJ$2,$Q108,1))))*7)+($S108-WEEKDAY(DATE(AJ$2,$Q108,1))))</f>
        <v>46138</v>
      </c>
      <c r="V108" s="20">
        <v>0</v>
      </c>
      <c r="W108" s="20">
        <v>1</v>
      </c>
      <c r="X108" s="4">
        <f ca="1">Y108-(W108-1)</f>
        <v>46138</v>
      </c>
      <c r="Y108" s="5">
        <f ca="1">IF(OR(T108+V108&lt;(NOW()-0.5),ISNUMBER(SEARCH("&lt;h4&gt;",K108))),U108+V108,T108+V108)</f>
        <v>46138</v>
      </c>
      <c r="Z108" t="str">
        <f ca="1">CONCATENATE(IF(OR(Y108=X108,ISBLANK(Y108)),TEXT(X108,"mmmm d"),CONCATENATE(TEXT(X108,"mmmm d"),"-",IF(TEXT(X108,"mmmm")=TEXT(Y108,"mmmm"),TEXT(Y108,"d"),TEXT(Y108,"mmmm d")))),", ",YEAR(Y108))</f>
        <v>April 26, 2026</v>
      </c>
      <c r="AA108" s="7">
        <f>O108</f>
        <v>44936</v>
      </c>
      <c r="AB108" s="14">
        <f>T108+V108-(W108-1)</f>
        <v>45774</v>
      </c>
      <c r="AC108" t="s">
        <v>1189</v>
      </c>
      <c r="AD108" s="23" t="str">
        <f ca="1">CONCATENATE("&lt;add-to-calendar-button  name=",CHAR(34),H108,CHAR(34),
IF(ISBLANK(M108),"",CONCATENATE("   location=",CHAR(34),RIGHT(M108,LEN(M108)-SEARCH("|",M108)-1),CHAR(34))),
"   description=",CHAR(34),IF(ISBLANK(I108),"",CONCATENATE(I108,"; ")),"shapenotesingings.com",CHAR(34),
"   options=",CHAR(34),"'Apple','Google','iCal','Outlook.com'",CHAR(34),"   styleLight=",CHAR(34),"--btn-background: #550000; --btn-text: #fff; --btn-shadow:#fff;",CHAR(34),
IF(W108=1,CONCATENATE(
"startDate=",CHAR(34),TEXT(G108,"yyyy-mm-dd"),CHAR(34),
"{endDate=",CHAR(34),TEXT(G108,"yyyy-mm-dd"),CHAR(34),
IF(OR(ISBLANK(AE108),ISBLANK(AF108)),"",(CONCATENATE(" startTime=",CHAR(34),TEXT(AE108,"hh:mm"),CHAR(34)," endTime=",CHAR(34),TEXT(AF108,"h:mm"),CHAR(34),
" timeZone=",CHAR(34),AG108,CHAR(34))))),
IF(W108=2,CONCATENATE(" dates='[{",
CHAR(34),"startDate",CHAR(34),":",CHAR(34),TEXT(G108,"yyyy-mm-dd"),CHAR(34),", ",
,CHAR(34),"endDate",CHAR(34),":",CHAR(34),TEXT(G108,"yyyy-mm-dd"),CHAR(34),
IF(OR(ISBLANK(AE108),ISBLANK(AF108)),"",(CONCATENATE(", ",CHAR(34),"startTime",CHAR(34),":",CHAR(34),TEXT(AE108,"hh:mm"),CHAR(34),", ",CHAR(34),"endTime",CHAR(34),":",CHAR(34),TEXT(AF108,"hh:mm"),CHAR(34),", ",CHAR(34),"timeZone",CHAR(34),":",CHAR(34),AG108,CHAR(34)))),"}, {",
,CHAR(34),"startDate",CHAR(34),":",CHAR(34),TEXT(G108+1,"yyyy-mm-dd"),CHAR(34),", ",
,CHAR(34),"endDate",CHAR(34),":",CHAR(34),TEXT(G108+W108-1,"yyyy-mm-dd"),CHAR(34),
IF(OR(ISBLANK(AE108),ISBLANK(AF108)),"",(CONCATENATE(", ",CHAR(34),"startTime",CHAR(34),":",CHAR(34),TEXT(AE108,"hh:mm"),CHAR(34),", ",CHAR(34),"endTime",CHAR(34),":",CHAR(34),TEXT(AF108,"hh:mm"),CHAR(34),", ",CHAR(34),"timeZone",CHAR(34),":",CHAR(34),AG108,CHAR(34)))),"}]'"),
CONCATENATE(
"{  startDate=",CHAR(34),TEXT(G108,"yyyy-mm-dd"),CHAR(34),
"  endDate=",CHAR(34),TEXT(G108+W108-1,"yyyy-mm-dd"),CHAR(34),"}"))),
" &gt;&lt;/add-to-calendar-button&gt;")</f>
        <v>&lt;add-to-calendar-button  name="Alewin-Laminack Memorial"   location="St. Michael Lutheran Church, 2213 County Road 14, Muscadine, AL"   description="9:30am; shapenotesingings.com"   options="'Apple','Google','iCal','Outlook.com'"   styleLight="--btn-background: #550000; --btn-text: #fff; --btn-shadow:#fff;"startDate="2026-04-26"{endDate="2026-04-26" startTime="09:30" endTime="15:00" timeZone="America/Chicago" &gt;&lt;/add-to-calendar-button&gt;</v>
      </c>
      <c r="AE108" s="24">
        <v>0.39583333333333331</v>
      </c>
      <c r="AF108" s="24">
        <v>0.625</v>
      </c>
      <c r="AG108" s="25" t="s">
        <v>1533</v>
      </c>
    </row>
    <row r="109" spans="1:33" x14ac:dyDescent="0.3">
      <c r="A109" t="s">
        <v>8</v>
      </c>
      <c r="B109" t="s">
        <v>11</v>
      </c>
      <c r="C109" t="s">
        <v>1134</v>
      </c>
      <c r="D109" t="s">
        <v>349</v>
      </c>
      <c r="E109" t="s">
        <v>2178</v>
      </c>
      <c r="F109" t="s">
        <v>346</v>
      </c>
      <c r="G109" s="7">
        <f ca="1">X109</f>
        <v>46138</v>
      </c>
      <c r="H109" s="5" t="s">
        <v>345</v>
      </c>
      <c r="I109" t="s">
        <v>1028</v>
      </c>
      <c r="J109" s="36" t="s">
        <v>2673</v>
      </c>
      <c r="K109" t="s">
        <v>1082</v>
      </c>
      <c r="L109" t="s">
        <v>2959</v>
      </c>
      <c r="M109" s="16" t="s">
        <v>347</v>
      </c>
      <c r="N109" s="16" t="s">
        <v>348</v>
      </c>
      <c r="O109" s="7">
        <v>44936</v>
      </c>
      <c r="P109" s="7" t="s">
        <v>926</v>
      </c>
      <c r="Q109" s="18">
        <v>4</v>
      </c>
      <c r="R109" s="18">
        <v>4</v>
      </c>
      <c r="S109" s="18">
        <v>1</v>
      </c>
      <c r="T109" s="4">
        <f>DATE(AI$2,$Q109,1+(($R109-($S109&gt;=WEEKDAY(DATE(AI$2,$Q109,1))))*7)+($S109-WEEKDAY(DATE(AI$2,$Q109,1))))</f>
        <v>45774</v>
      </c>
      <c r="U109" s="4">
        <f>DATE(AJ$2,$Q109,1+(($R109-($S109&gt;=WEEKDAY(DATE(AJ$2,$Q109,1))))*7)+($S109-WEEKDAY(DATE(AJ$2,$Q109,1))))</f>
        <v>46138</v>
      </c>
      <c r="V109" s="20">
        <v>0</v>
      </c>
      <c r="W109" s="20">
        <v>1</v>
      </c>
      <c r="X109" s="4">
        <f ca="1">Y109-(W109-1)</f>
        <v>46138</v>
      </c>
      <c r="Y109" s="5">
        <f ca="1">IF(OR(T109+V109&lt;(NOW()-0.5),ISNUMBER(SEARCH("&lt;h4&gt;",K109))),U109+V109,T109+V109)</f>
        <v>46138</v>
      </c>
      <c r="Z109" t="str">
        <f ca="1">CONCATENATE(IF(OR(Y109=X109,ISBLANK(Y109)),TEXT(X109,"mmmm d"),CONCATENATE(TEXT(X109,"mmmm d"),"-",IF(TEXT(X109,"mmmm")=TEXT(Y109,"mmmm"),TEXT(Y109,"d"),TEXT(Y109,"mmmm d")))),", ",YEAR(Y109))</f>
        <v>April 26, 2026</v>
      </c>
      <c r="AA109" s="7">
        <f>O109</f>
        <v>44936</v>
      </c>
      <c r="AB109" s="14">
        <f>T109+V109-(W109-1)</f>
        <v>45774</v>
      </c>
      <c r="AC109" t="s">
        <v>1256</v>
      </c>
      <c r="AD109" s="23" t="str">
        <f ca="1">CONCATENATE("&lt;add-to-calendar-button  name=",CHAR(34),H109,CHAR(34),
IF(ISBLANK(M109),"",CONCATENATE("   location=",CHAR(34),RIGHT(M109,LEN(M109)-SEARCH("|",M109)-1),CHAR(34))),
"   description=",CHAR(34),IF(ISBLANK(I109),"",CONCATENATE(I109,"; ")),"shapenotesingings.com",CHAR(34),
"   options=",CHAR(34),"'Apple','Google','iCal','Outlook.com'",CHAR(34),"   styleLight=",CHAR(34),"--btn-background: #550000; --btn-text: #fff; --btn-shadow:#fff;",CHAR(34),
IF(W109=1,CONCATENATE(
"startDate=",CHAR(34),TEXT(G109,"yyyy-mm-dd"),CHAR(34),
"{endDate=",CHAR(34),TEXT(G109,"yyyy-mm-dd"),CHAR(34),
IF(OR(ISBLANK(AE109),ISBLANK(AF109)),"",(CONCATENATE(" startTime=",CHAR(34),TEXT(AE109,"hh:mm"),CHAR(34)," endTime=",CHAR(34),TEXT(AF109,"h:mm"),CHAR(34),
" timeZone=",CHAR(34),AG109,CHAR(34))))),
IF(W109=2,CONCATENATE(" dates='[{",
CHAR(34),"startDate",CHAR(34),":",CHAR(34),TEXT(G109,"yyyy-mm-dd"),CHAR(34),", ",
,CHAR(34),"endDate",CHAR(34),":",CHAR(34),TEXT(G109,"yyyy-mm-dd"),CHAR(34),
IF(OR(ISBLANK(AE109),ISBLANK(AF109)),"",(CONCATENATE(", ",CHAR(34),"startTime",CHAR(34),":",CHAR(34),TEXT(AE109,"hh:mm"),CHAR(34),", ",CHAR(34),"endTime",CHAR(34),":",CHAR(34),TEXT(AF109,"hh:mm"),CHAR(34),", ",CHAR(34),"timeZone",CHAR(34),":",CHAR(34),AG109,CHAR(34)))),"}, {",
,CHAR(34),"startDate",CHAR(34),":",CHAR(34),TEXT(G109+1,"yyyy-mm-dd"),CHAR(34),", ",
,CHAR(34),"endDate",CHAR(34),":",CHAR(34),TEXT(G109+W109-1,"yyyy-mm-dd"),CHAR(34),
IF(OR(ISBLANK(AE109),ISBLANK(AF109)),"",(CONCATENATE(", ",CHAR(34),"startTime",CHAR(34),":",CHAR(34),TEXT(AE109,"hh:mm"),CHAR(34),", ",CHAR(34),"endTime",CHAR(34),":",CHAR(34),TEXT(AF109,"hh:mm"),CHAR(34),", ",CHAR(34),"timeZone",CHAR(34),":",CHAR(34),AG109,CHAR(34)))),"}]'"),
CONCATENATE(
"{  startDate=",CHAR(34),TEXT(G109,"yyyy-mm-dd"),CHAR(34),
"  endDate=",CHAR(34),TEXT(G109+W109-1,"yyyy-mm-dd"),CHAR(34),"}"))),
" &gt;&lt;/add-to-calendar-button&gt;")</f>
        <v>&lt;add-to-calendar-button  name="Friendship Church Singing"   location="Friendship Church, 1847 Co Rd 23, Haleyville, AL 35565"   description="10am; shapenotesingings.com"   options="'Apple','Google','iCal','Outlook.com'"   styleLight="--btn-background: #550000; --btn-text: #fff; --btn-shadow:#fff;"startDate="2026-04-26"{endDate="2026-04-26" startTime="10:00" endTime="15:00" timeZone="America/Chicago" &gt;&lt;/add-to-calendar-button&gt;</v>
      </c>
      <c r="AE109" s="24">
        <v>0.41666666666666669</v>
      </c>
      <c r="AF109" s="24">
        <v>0.625</v>
      </c>
      <c r="AG109" s="25" t="s">
        <v>1533</v>
      </c>
    </row>
    <row r="110" spans="1:33" x14ac:dyDescent="0.3">
      <c r="A110" t="s">
        <v>8</v>
      </c>
      <c r="B110" t="s">
        <v>11</v>
      </c>
      <c r="C110" t="s">
        <v>1134</v>
      </c>
      <c r="D110" t="s">
        <v>353</v>
      </c>
      <c r="E110" t="s">
        <v>2178</v>
      </c>
      <c r="F110" t="s">
        <v>354</v>
      </c>
      <c r="G110" s="7">
        <f ca="1">X110</f>
        <v>46144</v>
      </c>
      <c r="H110" s="5" t="s">
        <v>355</v>
      </c>
      <c r="I110" t="s">
        <v>1051</v>
      </c>
      <c r="J110" s="36" t="s">
        <v>2675</v>
      </c>
      <c r="L110" t="s">
        <v>1729</v>
      </c>
      <c r="M110" s="16" t="s">
        <v>2016</v>
      </c>
      <c r="N110" s="16" t="s">
        <v>2015</v>
      </c>
      <c r="O110" s="7">
        <v>45401</v>
      </c>
      <c r="P110" s="7" t="s">
        <v>2017</v>
      </c>
      <c r="Q110" s="18">
        <v>5</v>
      </c>
      <c r="R110" s="18">
        <v>1</v>
      </c>
      <c r="S110" s="18">
        <v>1</v>
      </c>
      <c r="T110" s="4">
        <f>DATE(AI$2,$Q110,1+(($R110-($S110&gt;=WEEKDAY(DATE(AI$2,$Q110,1))))*7)+($S110-WEEKDAY(DATE(AI$2,$Q110,1))))</f>
        <v>45781</v>
      </c>
      <c r="U110" s="4">
        <f>DATE(AJ$2,$Q110,1+(($R110-($S110&gt;=WEEKDAY(DATE(AJ$2,$Q110,1))))*7)+($S110-WEEKDAY(DATE(AJ$2,$Q110,1))))</f>
        <v>46145</v>
      </c>
      <c r="V110" s="20">
        <v>-1</v>
      </c>
      <c r="W110" s="20">
        <v>1</v>
      </c>
      <c r="X110" s="4">
        <f ca="1">Y110-(W110-1)</f>
        <v>46144</v>
      </c>
      <c r="Y110" s="5">
        <f ca="1">IF(OR(T110+V110&lt;(NOW()-0.5),ISNUMBER(SEARCH("&lt;h4&gt;",K110))),U110+V110,T110+V110)</f>
        <v>46144</v>
      </c>
      <c r="Z110" t="str">
        <f ca="1">CONCATENATE(IF(OR(Y110=X110,ISBLANK(Y110)),TEXT(X110,"mmmm d"),CONCATENATE(TEXT(X110,"mmmm d"),"-",IF(TEXT(X110,"mmmm")=TEXT(Y110,"mmmm"),TEXT(Y110,"d"),TEXT(Y110,"mmmm d")))),", ",YEAR(Y110))</f>
        <v>May 2, 2026</v>
      </c>
      <c r="AA110" s="7">
        <f>O110</f>
        <v>45401</v>
      </c>
      <c r="AB110" s="14">
        <f>T110+V110-(W110-1)</f>
        <v>45780</v>
      </c>
      <c r="AC110" t="s">
        <v>2018</v>
      </c>
      <c r="AD110" s="23" t="str">
        <f ca="1">CONCATENATE("&lt;add-to-calendar-button  name=",CHAR(34),H110,CHAR(34),
IF(ISBLANK(M110),"",CONCATENATE("   location=",CHAR(34),RIGHT(M110,LEN(M110)-SEARCH("|",M110)-1),CHAR(34))),
"   description=",CHAR(34),IF(ISBLANK(I110),"",CONCATENATE(I110,"; ")),"shapenotesingings.com",CHAR(34),
"   options=",CHAR(34),"'Apple','Google','iCal','Outlook.com'",CHAR(34),"   styleLight=",CHAR(34),"--btn-background: #550000; --btn-text: #fff; --btn-shadow:#fff;",CHAR(34),
IF(W110=1,CONCATENATE(
"startDate=",CHAR(34),TEXT(G110,"yyyy-mm-dd"),CHAR(34),
"{endDate=",CHAR(34),TEXT(G110,"yyyy-mm-dd"),CHAR(34),
IF(OR(ISBLANK(AE110),ISBLANK(AF110)),"",(CONCATENATE(" startTime=",CHAR(34),TEXT(AE110,"hh:mm"),CHAR(34)," endTime=",CHAR(34),TEXT(AF110,"h:mm"),CHAR(34),
" timeZone=",CHAR(34),AG110,CHAR(34))))),
IF(W110=2,CONCATENATE(" dates='[{",
CHAR(34),"startDate",CHAR(34),":",CHAR(34),TEXT(G110,"yyyy-mm-dd"),CHAR(34),", ",
,CHAR(34),"endDate",CHAR(34),":",CHAR(34),TEXT(G110,"yyyy-mm-dd"),CHAR(34),
IF(OR(ISBLANK(AE110),ISBLANK(AF110)),"",(CONCATENATE(", ",CHAR(34),"startTime",CHAR(34),":",CHAR(34),TEXT(AE110,"hh:mm"),CHAR(34),", ",CHAR(34),"endTime",CHAR(34),":",CHAR(34),TEXT(AF110,"hh:mm"),CHAR(34),", ",CHAR(34),"timeZone",CHAR(34),":",CHAR(34),AG110,CHAR(34)))),"}, {",
,CHAR(34),"startDate",CHAR(34),":",CHAR(34),TEXT(G110+1,"yyyy-mm-dd"),CHAR(34),", ",
,CHAR(34),"endDate",CHAR(34),":",CHAR(34),TEXT(G110+W110-1,"yyyy-mm-dd"),CHAR(34),
IF(OR(ISBLANK(AE110),ISBLANK(AF110)),"",(CONCATENATE(", ",CHAR(34),"startTime",CHAR(34),":",CHAR(34),TEXT(AE110,"hh:mm"),CHAR(34),", ",CHAR(34),"endTime",CHAR(34),":",CHAR(34),TEXT(AF110,"hh:mm"),CHAR(34),", ",CHAR(34),"timeZone",CHAR(34),":",CHAR(34),AG110,CHAR(34)))),"}]'"),
CONCATENATE(
"{  startDate=",CHAR(34),TEXT(G110,"yyyy-mm-dd"),CHAR(34),
"  endDate=",CHAR(34),TEXT(G110+W110-1,"yyyy-mm-dd"),CHAR(34),"}"))),
" &gt;&lt;/add-to-calendar-button&gt;")</f>
        <v>&lt;add-to-calendar-button  name="Huntsville Sacred Harp Singing"   location="Burritt on the Mountain, 3101 Burritt Dr SE, Huntsville, AL 35801"   description="9:30am-2:30pm; shapenotesingings.com"   options="'Apple','Google','iCal','Outlook.com'"   styleLight="--btn-background: #550000; --btn-text: #fff; --btn-shadow:#fff;"startDate="2026-05-02"{endDate="2026-05-02" startTime="09:30" endTime="14:30" timeZone="America/Chicago" &gt;&lt;/add-to-calendar-button&gt;</v>
      </c>
      <c r="AE110" s="24">
        <v>0.39583333333333331</v>
      </c>
      <c r="AF110" s="24">
        <v>0.60416666666666663</v>
      </c>
      <c r="AG110" s="25" t="s">
        <v>1533</v>
      </c>
    </row>
    <row r="111" spans="1:33" x14ac:dyDescent="0.3">
      <c r="A111" t="s">
        <v>8</v>
      </c>
      <c r="B111" t="s">
        <v>20</v>
      </c>
      <c r="C111" t="s">
        <v>1156</v>
      </c>
      <c r="D111" t="s">
        <v>21</v>
      </c>
      <c r="E111" t="s">
        <v>2183</v>
      </c>
      <c r="F111" t="s">
        <v>356</v>
      </c>
      <c r="G111" s="7">
        <f ca="1">X111</f>
        <v>46144</v>
      </c>
      <c r="H111" s="5" t="s">
        <v>1186</v>
      </c>
      <c r="I111" t="s">
        <v>1048</v>
      </c>
      <c r="J111" s="36" t="s">
        <v>2589</v>
      </c>
      <c r="K111" t="s">
        <v>1828</v>
      </c>
      <c r="L111" t="s">
        <v>1938</v>
      </c>
      <c r="M111" s="16" t="s">
        <v>685</v>
      </c>
      <c r="N111" s="16" t="s">
        <v>686</v>
      </c>
      <c r="O111" s="7">
        <v>44979</v>
      </c>
      <c r="P111" s="7" t="s">
        <v>1993</v>
      </c>
      <c r="Q111" s="18">
        <v>5</v>
      </c>
      <c r="R111" s="18">
        <v>1</v>
      </c>
      <c r="S111" s="18">
        <v>1</v>
      </c>
      <c r="T111" s="4">
        <f>DATE(AI$2,$Q111,1+(($R111-($S111&gt;=WEEKDAY(DATE(AI$2,$Q111,1))))*7)+($S111-WEEKDAY(DATE(AI$2,$Q111,1))))</f>
        <v>45781</v>
      </c>
      <c r="U111" s="4">
        <f>DATE(AJ$2,$Q111,1+(($R111-($S111&gt;=WEEKDAY(DATE(AJ$2,$Q111,1))))*7)+($S111-WEEKDAY(DATE(AJ$2,$Q111,1))))</f>
        <v>46145</v>
      </c>
      <c r="V111" s="20">
        <v>0</v>
      </c>
      <c r="W111" s="20">
        <v>2</v>
      </c>
      <c r="X111" s="4">
        <f ca="1">Y111-(W111-1)</f>
        <v>46144</v>
      </c>
      <c r="Y111" s="5">
        <f ca="1">IF(OR(T111+V111&lt;(NOW()-0.5),ISNUMBER(SEARCH("&lt;h4&gt;",K111))),U111+V111,T111+V111)</f>
        <v>46145</v>
      </c>
      <c r="Z111" t="str">
        <f ca="1">CONCATENATE(IF(OR(Y111=X111,ISBLANK(Y111)),TEXT(X111,"mmmm d"),CONCATENATE(TEXT(X111,"mmmm d"),"-",IF(TEXT(X111,"mmmm")=TEXT(Y111,"mmmm"),TEXT(Y111,"d"),TEXT(Y111,"mmmm d")))),", ",YEAR(Y111))</f>
        <v>May 2-3, 2026</v>
      </c>
      <c r="AA111" s="7">
        <f>O111</f>
        <v>44979</v>
      </c>
      <c r="AB111" s="14">
        <f>T111+V111-(W111-1)</f>
        <v>45780</v>
      </c>
      <c r="AC111" t="s">
        <v>1260</v>
      </c>
      <c r="AD111" s="23" t="str">
        <f ca="1">CONCATENATE("&lt;add-to-calendar-button  name=",CHAR(34),H111,CHAR(34),
IF(ISBLANK(M111),"",CONCATENATE("   location=",CHAR(34),RIGHT(M111,LEN(M111)-SEARCH("|",M111)-1),CHAR(34))),
"   description=",CHAR(34),IF(ISBLANK(I111),"",CONCATENATE(I111,"; ")),"shapenotesingings.com",CHAR(34),
"   options=",CHAR(34),"'Apple','Google','iCal','Outlook.com'",CHAR(34),"   styleLight=",CHAR(34),"--btn-background: #550000; --btn-text: #fff; --btn-shadow:#fff;",CHAR(34),
IF(W111=1,CONCATENATE(
"startDate=",CHAR(34),TEXT(G111,"yyyy-mm-dd"),CHAR(34),
"{endDate=",CHAR(34),TEXT(G111,"yyyy-mm-dd"),CHAR(34),
IF(OR(ISBLANK(AE111),ISBLANK(AF111)),"",(CONCATENATE(" startTime=",CHAR(34),TEXT(AE111,"hh:mm"),CHAR(34)," endTime=",CHAR(34),TEXT(AF111,"h:mm"),CHAR(34),
" timeZone=",CHAR(34),AG111,CHAR(34))))),
IF(W111=2,CONCATENATE(" dates='[{",
CHAR(34),"startDate",CHAR(34),":",CHAR(34),TEXT(G111,"yyyy-mm-dd"),CHAR(34),", ",
,CHAR(34),"endDate",CHAR(34),":",CHAR(34),TEXT(G111,"yyyy-mm-dd"),CHAR(34),
IF(OR(ISBLANK(AE111),ISBLANK(AF111)),"",(CONCATENATE(", ",CHAR(34),"startTime",CHAR(34),":",CHAR(34),TEXT(AE111,"hh:mm"),CHAR(34),", ",CHAR(34),"endTime",CHAR(34),":",CHAR(34),TEXT(AF111,"hh:mm"),CHAR(34),", ",CHAR(34),"timeZone",CHAR(34),":",CHAR(34),AG111,CHAR(34)))),"}, {",
,CHAR(34),"startDate",CHAR(34),":",CHAR(34),TEXT(G111+1,"yyyy-mm-dd"),CHAR(34),", ",
,CHAR(34),"endDate",CHAR(34),":",CHAR(34),TEXT(G111+W111-1,"yyyy-mm-dd"),CHAR(34),
IF(OR(ISBLANK(AE111),ISBLANK(AF111)),"",(CONCATENATE(", ",CHAR(34),"startTime",CHAR(34),":",CHAR(34),TEXT(AE111,"hh:mm"),CHAR(34),", ",CHAR(34),"endTime",CHAR(34),":",CHAR(34),TEXT(AF111,"hh:mm"),CHAR(34),", ",CHAR(34),"timeZone",CHAR(34),":",CHAR(34),AG111,CHAR(34)))),"}]'"),
CONCATENATE(
"{  startDate=",CHAR(34),TEXT(G111,"yyyy-mm-dd"),CHAR(34),
"  endDate=",CHAR(34),TEXT(G111+W111-1,"yyyy-mm-dd"),CHAR(34),"}"))),
" &gt;&lt;/add-to-calendar-button&gt;")</f>
        <v>&lt;add-to-calendar-button  name="Portland Double All-Day Singing"   location="The Laurelhurst Club, 3721 SE Ankeny St, Portland, OR 97214"   description="9:30am-3pm; shapenotesingings.com"   options="'Apple','Google','iCal','Outlook.com'"   styleLight="--btn-background: #550000; --btn-text: #fff; --btn-shadow:#fff;" dates='[{"startDate":"2026-05-02", "endDate":"2026-05-02", "startTime":"09:30", "endTime":"15:00", "timeZone":"America/Los_Angeles"}, {"startDate":"2026-05-03", "endDate":"2026-05-03", "startTime":"09:30", "endTime":"15:00", "timeZone":"America/Los_Angeles"}]' &gt;&lt;/add-to-calendar-button&gt;</v>
      </c>
      <c r="AE111" s="24">
        <v>0.39583333333333331</v>
      </c>
      <c r="AF111" s="24">
        <v>0.625</v>
      </c>
      <c r="AG111" s="25" t="s">
        <v>1534</v>
      </c>
    </row>
    <row r="112" spans="1:33" x14ac:dyDescent="0.3">
      <c r="A112" t="s">
        <v>8</v>
      </c>
      <c r="B112" t="s">
        <v>78</v>
      </c>
      <c r="C112" t="s">
        <v>1135</v>
      </c>
      <c r="D112" t="s">
        <v>2026</v>
      </c>
      <c r="E112" t="s">
        <v>2182</v>
      </c>
      <c r="F112" t="s">
        <v>354</v>
      </c>
      <c r="G112" s="7">
        <f ca="1">X112</f>
        <v>46144</v>
      </c>
      <c r="H112" s="5" t="s">
        <v>1673</v>
      </c>
      <c r="I112" t="s">
        <v>2021</v>
      </c>
      <c r="J112" s="36" t="s">
        <v>2676</v>
      </c>
      <c r="K112" t="s">
        <v>2780</v>
      </c>
      <c r="L112" t="s">
        <v>2022</v>
      </c>
      <c r="M112" s="16" t="s">
        <v>2023</v>
      </c>
      <c r="N112" s="16" t="s">
        <v>2024</v>
      </c>
      <c r="O112" s="7">
        <v>45703</v>
      </c>
      <c r="P112" s="7" t="s">
        <v>2781</v>
      </c>
      <c r="Q112" s="18">
        <v>5</v>
      </c>
      <c r="R112" s="18">
        <v>1</v>
      </c>
      <c r="S112" s="18">
        <v>1</v>
      </c>
      <c r="T112" s="4">
        <f>DATE(AI$2,$Q112,1+(($R112-($S112&gt;=WEEKDAY(DATE(AI$2,$Q112,1))))*7)+($S112-WEEKDAY(DATE(AI$2,$Q112,1))))</f>
        <v>45781</v>
      </c>
      <c r="U112" s="4">
        <f>DATE(AJ$2,$Q112,1+(($R112-($S112&gt;=WEEKDAY(DATE(AJ$2,$Q112,1))))*7)+($S112-WEEKDAY(DATE(AJ$2,$Q112,1))))</f>
        <v>46145</v>
      </c>
      <c r="V112" s="20">
        <v>-1</v>
      </c>
      <c r="W112" s="20">
        <v>1</v>
      </c>
      <c r="X112" s="4">
        <f ca="1">Y112-(W112-1)</f>
        <v>46144</v>
      </c>
      <c r="Y112" s="5">
        <f ca="1">IF(OR(T112+V112&lt;(NOW()-0.5),ISNUMBER(SEARCH("&lt;h4&gt;",K112))),U112+V112,T112+V112)</f>
        <v>46144</v>
      </c>
      <c r="Z112" t="str">
        <f ca="1">CONCATENATE(IF(OR(Y112=X112,ISBLANK(Y112)),TEXT(X112,"mmmm d"),CONCATENATE(TEXT(X112,"mmmm d"),"-",IF(TEXT(X112,"mmmm")=TEXT(Y112,"mmmm"),TEXT(Y112,"d"),TEXT(Y112,"mmmm d")))),", ",YEAR(Y112))</f>
        <v>May 2, 2026</v>
      </c>
      <c r="AA112" s="7">
        <f>O112</f>
        <v>45703</v>
      </c>
      <c r="AB112" s="14">
        <f>T112+V112-(W112-1)</f>
        <v>45780</v>
      </c>
      <c r="AC112" t="s">
        <v>2025</v>
      </c>
      <c r="AD112" s="23" t="str">
        <f ca="1">CONCATENATE("&lt;add-to-calendar-button  name=",CHAR(34),H112,CHAR(34),
IF(ISBLANK(M112),"",CONCATENATE("   location=",CHAR(34),RIGHT(M112,LEN(M112)-SEARCH("|",M112)-1),CHAR(34))),
"   description=",CHAR(34),IF(ISBLANK(I112),"",CONCATENATE(I112,"; ")),"shapenotesingings.com",CHAR(34),
"   options=",CHAR(34),"'Apple','Google','iCal','Outlook.com'",CHAR(34),"   styleLight=",CHAR(34),"--btn-background: #550000; --btn-text: #fff; --btn-shadow:#fff;",CHAR(34),
IF(W112=1,CONCATENATE(
"startDate=",CHAR(34),TEXT(G112,"yyyy-mm-dd"),CHAR(34),
"{endDate=",CHAR(34),TEXT(G112,"yyyy-mm-dd"),CHAR(34),
IF(OR(ISBLANK(AE112),ISBLANK(AF112)),"",(CONCATENATE(" startTime=",CHAR(34),TEXT(AE112,"hh:mm"),CHAR(34)," endTime=",CHAR(34),TEXT(AF112,"h:mm"),CHAR(34),
" timeZone=",CHAR(34),AG112,CHAR(34))))),
IF(W112=2,CONCATENATE(" dates='[{",
CHAR(34),"startDate",CHAR(34),":",CHAR(34),TEXT(G112,"yyyy-mm-dd"),CHAR(34),", ",
,CHAR(34),"endDate",CHAR(34),":",CHAR(34),TEXT(G112,"yyyy-mm-dd"),CHAR(34),
IF(OR(ISBLANK(AE112),ISBLANK(AF112)),"",(CONCATENATE(", ",CHAR(34),"startTime",CHAR(34),":",CHAR(34),TEXT(AE112,"hh:mm"),CHAR(34),", ",CHAR(34),"endTime",CHAR(34),":",CHAR(34),TEXT(AF112,"hh:mm"),CHAR(34),", ",CHAR(34),"timeZone",CHAR(34),":",CHAR(34),AG112,CHAR(34)))),"}, {",
,CHAR(34),"startDate",CHAR(34),":",CHAR(34),TEXT(G112+1,"yyyy-mm-dd"),CHAR(34),", ",
,CHAR(34),"endDate",CHAR(34),":",CHAR(34),TEXT(G112+W112-1,"yyyy-mm-dd"),CHAR(34),
IF(OR(ISBLANK(AE112),ISBLANK(AF112)),"",(CONCATENATE(", ",CHAR(34),"startTime",CHAR(34),":",CHAR(34),TEXT(AE112,"hh:mm"),CHAR(34),", ",CHAR(34),"endTime",CHAR(34),":",CHAR(34),TEXT(AF112,"hh:mm"),CHAR(34),", ",CHAR(34),"timeZone",CHAR(34),":",CHAR(34),AG112,CHAR(34)))),"}]'"),
CONCATENATE(
"{  startDate=",CHAR(34),TEXT(G112,"yyyy-mm-dd"),CHAR(34),
"  endDate=",CHAR(34),TEXT(G112+W112-1,"yyyy-mm-dd"),CHAR(34),"}"))),
" &gt;&lt;/add-to-calendar-button&gt;")</f>
        <v>&lt;add-to-calendar-button  name="Northwest Arkansas Spring Singing"   location="Shiloh Museum of Ozark History, 118 W Johnson Ave, Springdale, AR 72764"   description="11am-4pm; shapenotesingings.com"   options="'Apple','Google','iCal','Outlook.com'"   styleLight="--btn-background: #550000; --btn-text: #fff; --btn-shadow:#fff;"startDate="2026-05-02"{endDate="2026-05-02" startTime="11:00" endTime="16:00" timeZone="America/Chicago" &gt;&lt;/add-to-calendar-button&gt;</v>
      </c>
      <c r="AE112" s="24">
        <v>0.45833333333333331</v>
      </c>
      <c r="AF112" s="24">
        <v>0.66666666666666663</v>
      </c>
      <c r="AG112" s="25" t="s">
        <v>1533</v>
      </c>
    </row>
    <row r="113" spans="1:33" x14ac:dyDescent="0.3">
      <c r="A113" t="s">
        <v>8</v>
      </c>
      <c r="B113" t="s">
        <v>114</v>
      </c>
      <c r="C113" t="s">
        <v>1153</v>
      </c>
      <c r="D113" t="s">
        <v>878</v>
      </c>
      <c r="E113" t="s">
        <v>781</v>
      </c>
      <c r="F113" t="s">
        <v>354</v>
      </c>
      <c r="G113" s="7">
        <f ca="1">X113</f>
        <v>46144</v>
      </c>
      <c r="H113" s="5" t="s">
        <v>1518</v>
      </c>
      <c r="I113" t="s">
        <v>1037</v>
      </c>
      <c r="J113" s="36" t="s">
        <v>2587</v>
      </c>
      <c r="L113" t="s">
        <v>1732</v>
      </c>
      <c r="M113" s="16" t="s">
        <v>879</v>
      </c>
      <c r="N113" s="16" t="s">
        <v>880</v>
      </c>
      <c r="O113" s="7">
        <v>45021</v>
      </c>
      <c r="P113" s="7" t="s">
        <v>1517</v>
      </c>
      <c r="Q113" s="18">
        <v>5</v>
      </c>
      <c r="R113" s="18">
        <v>1</v>
      </c>
      <c r="S113" s="18">
        <v>1</v>
      </c>
      <c r="T113" s="4">
        <f>DATE(AI$2,$Q113,1+(($R113-($S113&gt;=WEEKDAY(DATE(AI$2,$Q113,1))))*7)+($S113-WEEKDAY(DATE(AI$2,$Q113,1))))</f>
        <v>45781</v>
      </c>
      <c r="U113" s="4">
        <f>DATE(AJ$2,$Q113,1+(($R113-($S113&gt;=WEEKDAY(DATE(AJ$2,$Q113,1))))*7)+($S113-WEEKDAY(DATE(AJ$2,$Q113,1))))</f>
        <v>46145</v>
      </c>
      <c r="V113" s="20">
        <v>-1</v>
      </c>
      <c r="W113" s="20">
        <v>1</v>
      </c>
      <c r="X113" s="4">
        <f ca="1">Y113-(W113-1)</f>
        <v>46144</v>
      </c>
      <c r="Y113" s="5">
        <f ca="1">IF(OR(T113+V113&lt;(NOW()-0.5),ISNUMBER(SEARCH("&lt;h4&gt;",K113))),U113+V113,T113+V113)</f>
        <v>46144</v>
      </c>
      <c r="Z113" t="str">
        <f ca="1">CONCATENATE(IF(OR(Y113=X113,ISBLANK(Y113)),TEXT(X113,"mmmm d"),CONCATENATE(TEXT(X113,"mmmm d"),"-",IF(TEXT(X113,"mmmm")=TEXT(Y113,"mmmm"),TEXT(Y113,"d"),TEXT(Y113,"mmmm d")))),", ",YEAR(Y113))</f>
        <v>May 2, 2026</v>
      </c>
      <c r="AA113" s="7">
        <f>O113</f>
        <v>45021</v>
      </c>
      <c r="AB113" s="14">
        <f>T113+V113-(W113-1)</f>
        <v>45780</v>
      </c>
      <c r="AC113" t="s">
        <v>1516</v>
      </c>
      <c r="AD113" s="23" t="str">
        <f ca="1">CONCATENATE("&lt;add-to-calendar-button  name=",CHAR(34),H113,CHAR(34),
IF(ISBLANK(M113),"",CONCATENATE("   location=",CHAR(34),RIGHT(M113,LEN(M113)-SEARCH("|",M113)-1),CHAR(34))),
"   description=",CHAR(34),IF(ISBLANK(I113),"",CONCATENATE(I113,"; ")),"shapenotesingings.com",CHAR(34),
"   options=",CHAR(34),"'Apple','Google','iCal','Outlook.com'",CHAR(34),"   styleLight=",CHAR(34),"--btn-background: #550000; --btn-text: #fff; --btn-shadow:#fff;",CHAR(34),
IF(W113=1,CONCATENATE(
"startDate=",CHAR(34),TEXT(G113,"yyyy-mm-dd"),CHAR(34),
"{endDate=",CHAR(34),TEXT(G113,"yyyy-mm-dd"),CHAR(34),
IF(OR(ISBLANK(AE113),ISBLANK(AF113)),"",(CONCATENATE(" startTime=",CHAR(34),TEXT(AE113,"hh:mm"),CHAR(34)," endTime=",CHAR(34),TEXT(AF113,"h:mm"),CHAR(34),
" timeZone=",CHAR(34),AG113,CHAR(34))))),
IF(W113=2,CONCATENATE(" dates='[{",
CHAR(34),"startDate",CHAR(34),":",CHAR(34),TEXT(G113,"yyyy-mm-dd"),CHAR(34),", ",
,CHAR(34),"endDate",CHAR(34),":",CHAR(34),TEXT(G113,"yyyy-mm-dd"),CHAR(34),
IF(OR(ISBLANK(AE113),ISBLANK(AF113)),"",(CONCATENATE(", ",CHAR(34),"startTime",CHAR(34),":",CHAR(34),TEXT(AE113,"hh:mm"),CHAR(34),", ",CHAR(34),"endTime",CHAR(34),":",CHAR(34),TEXT(AF113,"hh:mm"),CHAR(34),", ",CHAR(34),"timeZone",CHAR(34),":",CHAR(34),AG113,CHAR(34)))),"}, {",
,CHAR(34),"startDate",CHAR(34),":",CHAR(34),TEXT(G113+1,"yyyy-mm-dd"),CHAR(34),", ",
,CHAR(34),"endDate",CHAR(34),":",CHAR(34),TEXT(G113+W113-1,"yyyy-mm-dd"),CHAR(34),
IF(OR(ISBLANK(AE113),ISBLANK(AF113)),"",(CONCATENATE(", ",CHAR(34),"startTime",CHAR(34),":",CHAR(34),TEXT(AE113,"hh:mm"),CHAR(34),", ",CHAR(34),"endTime",CHAR(34),":",CHAR(34),TEXT(AF113,"hh:mm"),CHAR(34),", ",CHAR(34),"timeZone",CHAR(34),":",CHAR(34),AG113,CHAR(34)))),"}]'"),
CONCATENATE(
"{  startDate=",CHAR(34),TEXT(G113,"yyyy-mm-dd"),CHAR(34),
"  endDate=",CHAR(34),TEXT(G113+W113-1,"yyyy-mm-dd"),CHAR(34),"}"))),
" &gt;&lt;/add-to-calendar-button&gt;")</f>
        <v>&lt;add-to-calendar-button  name="Etowah Spring Singing"   location="Etowah Lions Club, 447 Etowah School Road, Hendersonville, NC 28739"   description="10am-3pm; shapenotesingings.com"   options="'Apple','Google','iCal','Outlook.com'"   styleLight="--btn-background: #550000; --btn-text: #fff; --btn-shadow:#fff;"startDate="2026-05-02"{endDate="2026-05-02" startTime="10:00" endTime="15:00" timeZone="America/New_York" &gt;&lt;/add-to-calendar-button&gt;</v>
      </c>
      <c r="AE113" s="24">
        <v>0.41666666666666669</v>
      </c>
      <c r="AF113" s="24">
        <v>0.625</v>
      </c>
      <c r="AG113" s="25" t="s">
        <v>1532</v>
      </c>
    </row>
    <row r="114" spans="1:33" x14ac:dyDescent="0.3">
      <c r="A114" t="s">
        <v>8</v>
      </c>
      <c r="B114" t="s">
        <v>11</v>
      </c>
      <c r="C114" t="s">
        <v>1134</v>
      </c>
      <c r="D114" t="s">
        <v>365</v>
      </c>
      <c r="E114" t="s">
        <v>2178</v>
      </c>
      <c r="F114" t="s">
        <v>358</v>
      </c>
      <c r="G114" s="7">
        <f ca="1">X114</f>
        <v>46145</v>
      </c>
      <c r="H114" s="5" t="s">
        <v>364</v>
      </c>
      <c r="I114" t="s">
        <v>1175</v>
      </c>
      <c r="J114" s="36" t="s">
        <v>2677</v>
      </c>
      <c r="L114" t="s">
        <v>2962</v>
      </c>
      <c r="M114" s="16" t="s">
        <v>1130</v>
      </c>
      <c r="N114" s="16" t="s">
        <v>366</v>
      </c>
      <c r="O114" s="7">
        <v>44936</v>
      </c>
      <c r="P114" s="7" t="s">
        <v>926</v>
      </c>
      <c r="Q114" s="18">
        <v>5</v>
      </c>
      <c r="R114" s="18">
        <v>1</v>
      </c>
      <c r="S114" s="18">
        <v>1</v>
      </c>
      <c r="T114" s="4">
        <f>DATE(AI$2,$Q114,1+(($R114-($S114&gt;=WEEKDAY(DATE(AI$2,$Q114,1))))*7)+($S114-WEEKDAY(DATE(AI$2,$Q114,1))))</f>
        <v>45781</v>
      </c>
      <c r="U114" s="4">
        <f>DATE(AJ$2,$Q114,1+(($R114-($S114&gt;=WEEKDAY(DATE(AJ$2,$Q114,1))))*7)+($S114-WEEKDAY(DATE(AJ$2,$Q114,1))))</f>
        <v>46145</v>
      </c>
      <c r="V114" s="20">
        <v>0</v>
      </c>
      <c r="W114" s="20">
        <v>1</v>
      </c>
      <c r="X114" s="4">
        <f ca="1">Y114-(W114-1)</f>
        <v>46145</v>
      </c>
      <c r="Y114" s="5">
        <f ca="1">IF(OR(T114+V114&lt;(NOW()-0.5),ISNUMBER(SEARCH("&lt;h4&gt;",K114))),U114+V114,T114+V114)</f>
        <v>46145</v>
      </c>
      <c r="Z114" t="str">
        <f ca="1">CONCATENATE(IF(OR(Y114=X114,ISBLANK(Y114)),TEXT(X114,"mmmm d"),CONCATENATE(TEXT(X114,"mmmm d"),"-",IF(TEXT(X114,"mmmm")=TEXT(Y114,"mmmm"),TEXT(Y114,"d"),TEXT(Y114,"mmmm d")))),", ",YEAR(Y114))</f>
        <v>May 3, 2026</v>
      </c>
      <c r="AA114" s="7">
        <f>O114</f>
        <v>44936</v>
      </c>
      <c r="AB114" s="14">
        <f>T114+V114-(W114-1)</f>
        <v>45781</v>
      </c>
      <c r="AC114" t="s">
        <v>1262</v>
      </c>
      <c r="AD114" s="23" t="str">
        <f ca="1">CONCATENATE("&lt;add-to-calendar-button  name=",CHAR(34),H114,CHAR(34),
IF(ISBLANK(M114),"",CONCATENATE("   location=",CHAR(34),RIGHT(M114,LEN(M114)-SEARCH("|",M114)-1),CHAR(34))),
"   description=",CHAR(34),IF(ISBLANK(I114),"",CONCATENATE(I114,"; ")),"shapenotesingings.com",CHAR(34),
"   options=",CHAR(34),"'Apple','Google','iCal','Outlook.com'",CHAR(34),"   styleLight=",CHAR(34),"--btn-background: #550000; --btn-text: #fff; --btn-shadow:#fff;",CHAR(34),
IF(W114=1,CONCATENATE(
"startDate=",CHAR(34),TEXT(G114,"yyyy-mm-dd"),CHAR(34),
"{endDate=",CHAR(34),TEXT(G114,"yyyy-mm-dd"),CHAR(34),
IF(OR(ISBLANK(AE114),ISBLANK(AF114)),"",(CONCATENATE(" startTime=",CHAR(34),TEXT(AE114,"hh:mm"),CHAR(34)," endTime=",CHAR(34),TEXT(AF114,"h:mm"),CHAR(34),
" timeZone=",CHAR(34),AG114,CHAR(34))))),
IF(W114=2,CONCATENATE(" dates='[{",
CHAR(34),"startDate",CHAR(34),":",CHAR(34),TEXT(G114,"yyyy-mm-dd"),CHAR(34),", ",
,CHAR(34),"endDate",CHAR(34),":",CHAR(34),TEXT(G114,"yyyy-mm-dd"),CHAR(34),
IF(OR(ISBLANK(AE114),ISBLANK(AF114)),"",(CONCATENATE(", ",CHAR(34),"startTime",CHAR(34),":",CHAR(34),TEXT(AE114,"hh:mm"),CHAR(34),", ",CHAR(34),"endTime",CHAR(34),":",CHAR(34),TEXT(AF114,"hh:mm"),CHAR(34),", ",CHAR(34),"timeZone",CHAR(34),":",CHAR(34),AG114,CHAR(34)))),"}, {",
,CHAR(34),"startDate",CHAR(34),":",CHAR(34),TEXT(G114+1,"yyyy-mm-dd"),CHAR(34),", ",
,CHAR(34),"endDate",CHAR(34),":",CHAR(34),TEXT(G114+W114-1,"yyyy-mm-dd"),CHAR(34),
IF(OR(ISBLANK(AE114),ISBLANK(AF114)),"",(CONCATENATE(", ",CHAR(34),"startTime",CHAR(34),":",CHAR(34),TEXT(AE114,"hh:mm"),CHAR(34),", ",CHAR(34),"endTime",CHAR(34),":",CHAR(34),TEXT(AF114,"hh:mm"),CHAR(34),", ",CHAR(34),"timeZone",CHAR(34),":",CHAR(34),AG114,CHAR(34)))),"}]'"),
CONCATENATE(
"{  startDate=",CHAR(34),TEXT(G114,"yyyy-mm-dd"),CHAR(34),
"  endDate=",CHAR(34),TEXT(G114+W114-1,"yyyy-mm-dd"),CHAR(34),"}"))),
" &gt;&lt;/add-to-calendar-button&gt;")</f>
        <v>&lt;add-to-calendar-button  name="Shady Grove (Keeton Cemetery)"   location="Shady Grove (Keeton Cemetery), 141 Keeton Lane, Nauvoo, Walker County, Alabama"   description="10am-2:30pm; shapenotesingings.com"   options="'Apple','Google','iCal','Outlook.com'"   styleLight="--btn-background: #550000; --btn-text: #fff; --btn-shadow:#fff;"startDate="2026-05-03"{endDate="2026-05-03" startTime="10:00" endTime="14:30" timeZone="America/Chicago" &gt;&lt;/add-to-calendar-button&gt;</v>
      </c>
      <c r="AE114" s="24">
        <v>0.41666666666666669</v>
      </c>
      <c r="AF114" s="24">
        <v>0.60416666666666663</v>
      </c>
      <c r="AG114" s="25" t="s">
        <v>1533</v>
      </c>
    </row>
    <row r="115" spans="1:33" x14ac:dyDescent="0.3">
      <c r="A115" t="s">
        <v>8</v>
      </c>
      <c r="B115" t="s">
        <v>11</v>
      </c>
      <c r="C115" t="s">
        <v>1134</v>
      </c>
      <c r="D115" t="s">
        <v>1572</v>
      </c>
      <c r="E115" t="s">
        <v>2178</v>
      </c>
      <c r="F115" t="s">
        <v>358</v>
      </c>
      <c r="G115" s="7">
        <f ca="1">X115</f>
        <v>46145</v>
      </c>
      <c r="H115" s="5" t="s">
        <v>1573</v>
      </c>
      <c r="I115" t="s">
        <v>1048</v>
      </c>
      <c r="J115" s="36" t="s">
        <v>2678</v>
      </c>
      <c r="K115" s="30" t="s">
        <v>2945</v>
      </c>
      <c r="L115" t="s">
        <v>2679</v>
      </c>
      <c r="M115" s="16" t="s">
        <v>1574</v>
      </c>
      <c r="N115" s="16" t="s">
        <v>1575</v>
      </c>
      <c r="O115" s="7">
        <v>45047</v>
      </c>
      <c r="P115" s="7" t="s">
        <v>1576</v>
      </c>
      <c r="Q115" s="18">
        <v>5</v>
      </c>
      <c r="R115" s="18">
        <v>1</v>
      </c>
      <c r="S115" s="18">
        <v>1</v>
      </c>
      <c r="T115" s="4">
        <f>DATE(AI$2,$Q115,1+(($R115-($S115&gt;=WEEKDAY(DATE(AI$2,$Q115,1))))*7)+($S115-WEEKDAY(DATE(AI$2,$Q115,1))))</f>
        <v>45781</v>
      </c>
      <c r="U115" s="4">
        <f>DATE(AJ$2,$Q115,1+(($R115-($S115&gt;=WEEKDAY(DATE(AJ$2,$Q115,1))))*7)+($S115-WEEKDAY(DATE(AJ$2,$Q115,1))))</f>
        <v>46145</v>
      </c>
      <c r="V115" s="20">
        <v>0</v>
      </c>
      <c r="W115" s="20">
        <v>1</v>
      </c>
      <c r="X115" s="4">
        <f ca="1">Y115-(W115-1)</f>
        <v>46145</v>
      </c>
      <c r="Y115" s="5">
        <f ca="1">IF(OR(T115+V115&lt;(NOW()-0.5),ISNUMBER(SEARCH("&lt;h4&gt;",K115))),U115+V115,T115+V115)</f>
        <v>46145</v>
      </c>
      <c r="Z115" t="str">
        <f ca="1">CONCATENATE(IF(OR(Y115=X115,ISBLANK(Y115)),TEXT(X115,"mmmm d"),CONCATENATE(TEXT(X115,"mmmm d"),"-",IF(TEXT(X115,"mmmm")=TEXT(Y115,"mmmm"),TEXT(Y115,"d"),TEXT(Y115,"mmmm d")))),", ",YEAR(Y115))</f>
        <v>May 3, 2026</v>
      </c>
      <c r="AA115" s="7">
        <f>O115</f>
        <v>45047</v>
      </c>
      <c r="AB115" s="14">
        <f>T115+V115-(W115-1)</f>
        <v>45781</v>
      </c>
      <c r="AC115" t="s">
        <v>1577</v>
      </c>
      <c r="AD115" s="23" t="str">
        <f ca="1">CONCATENATE("&lt;add-to-calendar-button  name=",CHAR(34),H115,CHAR(34),
IF(ISBLANK(M115),"",CONCATENATE("   location=",CHAR(34),RIGHT(M115,LEN(M115)-SEARCH("|",M115)-1),CHAR(34))),
"   description=",CHAR(34),IF(ISBLANK(I115),"",CONCATENATE(I115,"; ")),"shapenotesingings.com",CHAR(34),
"   options=",CHAR(34),"'Apple','Google','iCal','Outlook.com'",CHAR(34),"   styleLight=",CHAR(34),"--btn-background: #550000; --btn-text: #fff; --btn-shadow:#fff;",CHAR(34),
IF(W115=1,CONCATENATE(
"startDate=",CHAR(34),TEXT(G115,"yyyy-mm-dd"),CHAR(34),
"{endDate=",CHAR(34),TEXT(G115,"yyyy-mm-dd"),CHAR(34),
IF(OR(ISBLANK(AE115),ISBLANK(AF115)),"",(CONCATENATE(" startTime=",CHAR(34),TEXT(AE115,"hh:mm"),CHAR(34)," endTime=",CHAR(34),TEXT(AF115,"h:mm"),CHAR(34),
" timeZone=",CHAR(34),AG115,CHAR(34))))),
IF(W115=2,CONCATENATE(" dates='[{",
CHAR(34),"startDate",CHAR(34),":",CHAR(34),TEXT(G115,"yyyy-mm-dd"),CHAR(34),", ",
,CHAR(34),"endDate",CHAR(34),":",CHAR(34),TEXT(G115,"yyyy-mm-dd"),CHAR(34),
IF(OR(ISBLANK(AE115),ISBLANK(AF115)),"",(CONCATENATE(", ",CHAR(34),"startTime",CHAR(34),":",CHAR(34),TEXT(AE115,"hh:mm"),CHAR(34),", ",CHAR(34),"endTime",CHAR(34),":",CHAR(34),TEXT(AF115,"hh:mm"),CHAR(34),", ",CHAR(34),"timeZone",CHAR(34),":",CHAR(34),AG115,CHAR(34)))),"}, {",
,CHAR(34),"startDate",CHAR(34),":",CHAR(34),TEXT(G115+1,"yyyy-mm-dd"),CHAR(34),", ",
,CHAR(34),"endDate",CHAR(34),":",CHAR(34),TEXT(G115+W115-1,"yyyy-mm-dd"),CHAR(34),
IF(OR(ISBLANK(AE115),ISBLANK(AF115)),"",(CONCATENATE(", ",CHAR(34),"startTime",CHAR(34),":",CHAR(34),TEXT(AE115,"hh:mm"),CHAR(34),", ",CHAR(34),"endTime",CHAR(34),":",CHAR(34),TEXT(AF115,"hh:mm"),CHAR(34),", ",CHAR(34),"timeZone",CHAR(34),":",CHAR(34),AG115,CHAR(34)))),"}]'"),
CONCATENATE(
"{  startDate=",CHAR(34),TEXT(G115,"yyyy-mm-dd"),CHAR(34),
"  endDate=",CHAR(34),TEXT(G115+W115-1,"yyyy-mm-dd"),CHAR(34),"}"))),
" &gt;&lt;/add-to-calendar-button&gt;")</f>
        <v>&lt;add-to-calendar-button  name="Eugene Forbes Memorial Singing"   location="Mt. Zion Primitive Baptist Church, Faith Dr &amp; County Road 5, Ashland AL 36251"   description="9:30am-3pm; shapenotesingings.com"   options="'Apple','Google','iCal','Outlook.com'"   styleLight="--btn-background: #550000; --btn-text: #fff; --btn-shadow:#fff;"startDate="2026-05-03"{endDate="2026-05-03" startTime="09:30" endTime="15:00" timeZone="America/Chicago" &gt;&lt;/add-to-calendar-button&gt;</v>
      </c>
      <c r="AE115" s="24">
        <v>0.39583333333333331</v>
      </c>
      <c r="AF115" s="24">
        <v>0.625</v>
      </c>
      <c r="AG115" s="25" t="s">
        <v>1533</v>
      </c>
    </row>
    <row r="116" spans="1:33" x14ac:dyDescent="0.3">
      <c r="A116" t="s">
        <v>8</v>
      </c>
      <c r="B116" t="s">
        <v>114</v>
      </c>
      <c r="C116" t="s">
        <v>1153</v>
      </c>
      <c r="D116" t="s">
        <v>115</v>
      </c>
      <c r="E116" t="s">
        <v>1435</v>
      </c>
      <c r="F116" t="s">
        <v>358</v>
      </c>
      <c r="G116" s="7">
        <f ca="1">X116</f>
        <v>46145</v>
      </c>
      <c r="H116" s="5" t="s">
        <v>2923</v>
      </c>
      <c r="I116" t="s">
        <v>1459</v>
      </c>
      <c r="K116" t="s">
        <v>2927</v>
      </c>
      <c r="L116" t="s">
        <v>2928</v>
      </c>
      <c r="M116" s="16" t="s">
        <v>2924</v>
      </c>
      <c r="N116" s="16" t="s">
        <v>2925</v>
      </c>
      <c r="O116" s="7">
        <v>45755</v>
      </c>
      <c r="P116" s="7" t="s">
        <v>1520</v>
      </c>
      <c r="Q116" s="18">
        <v>5</v>
      </c>
      <c r="R116" s="18">
        <v>1</v>
      </c>
      <c r="S116" s="18">
        <v>1</v>
      </c>
      <c r="T116" s="4">
        <f>DATE(AI$2,$Q116,1+(($R116-($S116&gt;=WEEKDAY(DATE(AI$2,$Q116,1))))*7)+($S116-WEEKDAY(DATE(AI$2,$Q116,1))))</f>
        <v>45781</v>
      </c>
      <c r="U116" s="4">
        <f>DATE(AJ$2,$Q116,1+(($R116-($S116&gt;=WEEKDAY(DATE(AJ$2,$Q116,1))))*7)+($S116-WEEKDAY(DATE(AJ$2,$Q116,1))))</f>
        <v>46145</v>
      </c>
      <c r="V116" s="20">
        <v>0</v>
      </c>
      <c r="W116" s="20">
        <v>1</v>
      </c>
      <c r="X116" s="4">
        <f ca="1">Y116-(W116-1)</f>
        <v>46145</v>
      </c>
      <c r="Y116" s="5">
        <f ca="1">IF(OR(T116+V116&lt;(NOW()-0.5),ISNUMBER(SEARCH("&lt;h4&gt;",K116))),U116+V116,T116+V116)</f>
        <v>46145</v>
      </c>
      <c r="Z116" t="str">
        <f ca="1">CONCATENATE(IF(OR(Y116=X116,ISBLANK(Y116)),TEXT(X116,"mmmm d"),CONCATENATE(TEXT(X116,"mmmm d"),"-",IF(TEXT(X116,"mmmm")=TEXT(Y116,"mmmm"),TEXT(Y116,"d"),TEXT(Y116,"mmmm d")))),", ",YEAR(Y116))</f>
        <v>May 3, 2026</v>
      </c>
      <c r="AA116" s="7">
        <f>O116</f>
        <v>45755</v>
      </c>
      <c r="AB116" s="14">
        <f>T116+V116-(W116-1)</f>
        <v>45781</v>
      </c>
      <c r="AC116" t="s">
        <v>2926</v>
      </c>
      <c r="AD116" s="23" t="str">
        <f ca="1">CONCATENATE("&lt;add-to-calendar-button  name=",CHAR(34),H116,CHAR(34),
IF(ISBLANK(M116),"",CONCATENATE("   location=",CHAR(34),RIGHT(M116,LEN(M116)-SEARCH("|",M116)-1),CHAR(34))),
"   description=",CHAR(34),IF(ISBLANK(I116),"",CONCATENATE(I116,"; ")),"shapenotesingings.com",CHAR(34),
"   options=",CHAR(34),"'Apple','Google','iCal','Outlook.com'",CHAR(34),"   styleLight=",CHAR(34),"--btn-background: #550000; --btn-text: #fff; --btn-shadow:#fff;",CHAR(34),
IF(W116=1,CONCATENATE(
"startDate=",CHAR(34),TEXT(G116,"yyyy-mm-dd"),CHAR(34),
"{endDate=",CHAR(34),TEXT(G116,"yyyy-mm-dd"),CHAR(34),
IF(OR(ISBLANK(AE116),ISBLANK(AF116)),"",(CONCATENATE(" startTime=",CHAR(34),TEXT(AE116,"hh:mm"),CHAR(34)," endTime=",CHAR(34),TEXT(AF116,"h:mm"),CHAR(34),
" timeZone=",CHAR(34),AG116,CHAR(34))))),
IF(W116=2,CONCATENATE(" dates='[{",
CHAR(34),"startDate",CHAR(34),":",CHAR(34),TEXT(G116,"yyyy-mm-dd"),CHAR(34),", ",
,CHAR(34),"endDate",CHAR(34),":",CHAR(34),TEXT(G116,"yyyy-mm-dd"),CHAR(34),
IF(OR(ISBLANK(AE116),ISBLANK(AF116)),"",(CONCATENATE(", ",CHAR(34),"startTime",CHAR(34),":",CHAR(34),TEXT(AE116,"hh:mm"),CHAR(34),", ",CHAR(34),"endTime",CHAR(34),":",CHAR(34),TEXT(AF116,"hh:mm"),CHAR(34),", ",CHAR(34),"timeZone",CHAR(34),":",CHAR(34),AG116,CHAR(34)))),"}, {",
,CHAR(34),"startDate",CHAR(34),":",CHAR(34),TEXT(G116+1,"yyyy-mm-dd"),CHAR(34),", ",
,CHAR(34),"endDate",CHAR(34),":",CHAR(34),TEXT(G116+W116-1,"yyyy-mm-dd"),CHAR(34),
IF(OR(ISBLANK(AE116),ISBLANK(AF116)),"",(CONCATENATE(", ",CHAR(34),"startTime",CHAR(34),":",CHAR(34),TEXT(AE116,"hh:mm"),CHAR(34),", ",CHAR(34),"endTime",CHAR(34),":",CHAR(34),TEXT(AF116,"hh:mm"),CHAR(34),", ",CHAR(34),"timeZone",CHAR(34),":",CHAR(34),AG116,CHAR(34)))),"}]'"),
CONCATENATE(
"{  startDate=",CHAR(34),TEXT(G116,"yyyy-mm-dd"),CHAR(34),
"  endDate=",CHAR(34),TEXT(G116+W116-1,"yyyy-mm-dd"),CHAR(34),"}"))),
" &gt;&lt;/add-to-calendar-button&gt;")</f>
        <v>&lt;add-to-calendar-button  name="Christian Harmony with the Cherokee Language Repertory Choir"   location="Cullowhee Baptist Church, 148 Central Dr, Cullowhee, NC 28723"   description="2pm; shapenotesingings.com"   options="'Apple','Google','iCal','Outlook.com'"   styleLight="--btn-background: #550000; --btn-text: #fff; --btn-shadow:#fff;"startDate="2026-05-03"{endDate="2026-05-03" &gt;&lt;/add-to-calendar-button&gt;</v>
      </c>
      <c r="AE116" s="24">
        <v>0.58333333333333337</v>
      </c>
      <c r="AG116" s="25" t="s">
        <v>1532</v>
      </c>
    </row>
    <row r="117" spans="1:33" x14ac:dyDescent="0.3">
      <c r="A117" t="s">
        <v>8</v>
      </c>
      <c r="B117" t="s">
        <v>273</v>
      </c>
      <c r="C117" t="s">
        <v>1160</v>
      </c>
      <c r="D117" t="s">
        <v>1468</v>
      </c>
      <c r="E117" t="s">
        <v>777</v>
      </c>
      <c r="F117" t="s">
        <v>358</v>
      </c>
      <c r="G117" s="7">
        <f ca="1">X117</f>
        <v>46145</v>
      </c>
      <c r="H117" s="5" t="s">
        <v>1469</v>
      </c>
      <c r="I117" t="s">
        <v>1459</v>
      </c>
      <c r="J117" s="36" t="s">
        <v>2588</v>
      </c>
      <c r="L117" t="s">
        <v>1448</v>
      </c>
      <c r="M117" s="16" t="s">
        <v>1470</v>
      </c>
      <c r="N117" s="16" t="s">
        <v>1471</v>
      </c>
      <c r="O117" s="7">
        <v>45012</v>
      </c>
      <c r="P117" s="7" t="s">
        <v>1509</v>
      </c>
      <c r="Q117" s="18">
        <v>5</v>
      </c>
      <c r="R117" s="18">
        <v>1</v>
      </c>
      <c r="S117" s="18">
        <v>1</v>
      </c>
      <c r="T117" s="4">
        <f>DATE(AI$2,$Q117,1+(($R117-($S117&gt;=WEEKDAY(DATE(AI$2,$Q117,1))))*7)+($S117-WEEKDAY(DATE(AI$2,$Q117,1))))</f>
        <v>45781</v>
      </c>
      <c r="U117" s="4">
        <f>DATE(AJ$2,$Q117,1+(($R117-($S117&gt;=WEEKDAY(DATE(AJ$2,$Q117,1))))*7)+($S117-WEEKDAY(DATE(AJ$2,$Q117,1))))</f>
        <v>46145</v>
      </c>
      <c r="V117" s="20">
        <v>0</v>
      </c>
      <c r="W117" s="20">
        <v>1</v>
      </c>
      <c r="X117" s="4">
        <f ca="1">Y117-(W117-1)</f>
        <v>46145</v>
      </c>
      <c r="Y117" s="5">
        <f ca="1">IF(OR(T117+V117&lt;(NOW()-0.5),ISNUMBER(SEARCH("&lt;h4&gt;",K117))),U117+V117,T117+V117)</f>
        <v>46145</v>
      </c>
      <c r="Z117" t="str">
        <f ca="1">CONCATENATE(IF(OR(Y117=X117,ISBLANK(Y117)),TEXT(X117,"mmmm d"),CONCATENATE(TEXT(X117,"mmmm d"),"-",IF(TEXT(X117,"mmmm")=TEXT(Y117,"mmmm"),TEXT(Y117,"d"),TEXT(Y117,"mmmm d")))),", ",YEAR(Y117))</f>
        <v>May 3, 2026</v>
      </c>
      <c r="AA117" s="7">
        <f>O117</f>
        <v>45012</v>
      </c>
      <c r="AB117" s="14">
        <f>T117+V117-(W117-1)</f>
        <v>45781</v>
      </c>
      <c r="AC117" t="s">
        <v>1499</v>
      </c>
      <c r="AD117" s="23" t="str">
        <f ca="1">CONCATENATE("&lt;add-to-calendar-button  name=",CHAR(34),H117,CHAR(34),
IF(ISBLANK(M117),"",CONCATENATE("   location=",CHAR(34),RIGHT(M117,LEN(M117)-SEARCH("|",M117)-1),CHAR(34))),
"   description=",CHAR(34),IF(ISBLANK(I117),"",CONCATENATE(I117,"; ")),"shapenotesingings.com",CHAR(34),
"   options=",CHAR(34),"'Apple','Google','iCal','Outlook.com'",CHAR(34),"   styleLight=",CHAR(34),"--btn-background: #550000; --btn-text: #fff; --btn-shadow:#fff;",CHAR(34),
IF(W117=1,CONCATENATE(
"startDate=",CHAR(34),TEXT(G117,"yyyy-mm-dd"),CHAR(34),
"{endDate=",CHAR(34),TEXT(G117,"yyyy-mm-dd"),CHAR(34),
IF(OR(ISBLANK(AE117),ISBLANK(AF117)),"",(CONCATENATE(" startTime=",CHAR(34),TEXT(AE117,"hh:mm"),CHAR(34)," endTime=",CHAR(34),TEXT(AF117,"h:mm"),CHAR(34),
" timeZone=",CHAR(34),AG117,CHAR(34))))),
IF(W117=2,CONCATENATE(" dates='[{",
CHAR(34),"startDate",CHAR(34),":",CHAR(34),TEXT(G117,"yyyy-mm-dd"),CHAR(34),", ",
,CHAR(34),"endDate",CHAR(34),":",CHAR(34),TEXT(G117,"yyyy-mm-dd"),CHAR(34),
IF(OR(ISBLANK(AE117),ISBLANK(AF117)),"",(CONCATENATE(", ",CHAR(34),"startTime",CHAR(34),":",CHAR(34),TEXT(AE117,"hh:mm"),CHAR(34),", ",CHAR(34),"endTime",CHAR(34),":",CHAR(34),TEXT(AF117,"hh:mm"),CHAR(34),", ",CHAR(34),"timeZone",CHAR(34),":",CHAR(34),AG117,CHAR(34)))),"}, {",
,CHAR(34),"startDate",CHAR(34),":",CHAR(34),TEXT(G117+1,"yyyy-mm-dd"),CHAR(34),", ",
,CHAR(34),"endDate",CHAR(34),":",CHAR(34),TEXT(G117+W117-1,"yyyy-mm-dd"),CHAR(34),
IF(OR(ISBLANK(AE117),ISBLANK(AF117)),"",(CONCATENATE(", ",CHAR(34),"startTime",CHAR(34),":",CHAR(34),TEXT(AE117,"hh:mm"),CHAR(34),", ",CHAR(34),"endTime",CHAR(34),":",CHAR(34),TEXT(AF117,"hh:mm"),CHAR(34),", ",CHAR(34),"timeZone",CHAR(34),":",CHAR(34),AG117,CHAR(34)))),"}]'"),
CONCATENATE(
"{  startDate=",CHAR(34),TEXT(G117,"yyyy-mm-dd"),CHAR(34),
"  endDate=",CHAR(34),TEXT(G117+W117-1,"yyyy-mm-dd"),CHAR(34),"}"))),
" &gt;&lt;/add-to-calendar-button&gt;")</f>
        <v>&lt;add-to-calendar-button  name="Middle Creek United Methodist Church Singing"   location="Middle Creek UMC, 1828 Middle Creek Rd, Pigeon Forge, TN 37863"   description="2pm; shapenotesingings.com"   options="'Apple','Google','iCal','Outlook.com'"   styleLight="--btn-background: #550000; --btn-text: #fff; --btn-shadow:#fff;"startDate="2026-05-03"{endDate="2026-05-03" &gt;&lt;/add-to-calendar-button&gt;</v>
      </c>
      <c r="AG117" s="25" t="s">
        <v>1532</v>
      </c>
    </row>
    <row r="118" spans="1:33" x14ac:dyDescent="0.3">
      <c r="A118" t="s">
        <v>8</v>
      </c>
      <c r="B118" t="s">
        <v>11</v>
      </c>
      <c r="C118" t="s">
        <v>1134</v>
      </c>
      <c r="D118" t="s">
        <v>361</v>
      </c>
      <c r="E118" t="s">
        <v>2178</v>
      </c>
      <c r="F118" t="s">
        <v>358</v>
      </c>
      <c r="G118" s="7">
        <f ca="1">X118</f>
        <v>46145</v>
      </c>
      <c r="H118" s="5" t="s">
        <v>362</v>
      </c>
      <c r="J118" s="36" t="s">
        <v>2680</v>
      </c>
      <c r="L118" t="s">
        <v>962</v>
      </c>
      <c r="M118" s="16" t="s">
        <v>1003</v>
      </c>
      <c r="N118" s="16" t="s">
        <v>363</v>
      </c>
      <c r="O118" s="7">
        <v>44936</v>
      </c>
      <c r="P118" s="7" t="s">
        <v>926</v>
      </c>
      <c r="Q118" s="18">
        <v>5</v>
      </c>
      <c r="R118" s="18">
        <v>1</v>
      </c>
      <c r="S118" s="18">
        <v>1</v>
      </c>
      <c r="T118" s="4">
        <f>DATE(AI$2,$Q118,1+(($R118-($S118&gt;=WEEKDAY(DATE(AI$2,$Q118,1))))*7)+($S118-WEEKDAY(DATE(AI$2,$Q118,1))))</f>
        <v>45781</v>
      </c>
      <c r="U118" s="4">
        <f>DATE(AJ$2,$Q118,1+(($R118-($S118&gt;=WEEKDAY(DATE(AJ$2,$Q118,1))))*7)+($S118-WEEKDAY(DATE(AJ$2,$Q118,1))))</f>
        <v>46145</v>
      </c>
      <c r="V118" s="20">
        <v>0</v>
      </c>
      <c r="W118" s="20">
        <v>1</v>
      </c>
      <c r="X118" s="4">
        <f ca="1">Y118-(W118-1)</f>
        <v>46145</v>
      </c>
      <c r="Y118" s="5">
        <f ca="1">IF(OR(T118+V118&lt;(NOW()-0.5),ISNUMBER(SEARCH("&lt;h4&gt;",K118))),U118+V118,T118+V118)</f>
        <v>46145</v>
      </c>
      <c r="Z118" t="str">
        <f ca="1">CONCATENATE(IF(OR(Y118=X118,ISBLANK(Y118)),TEXT(X118,"mmmm d"),CONCATENATE(TEXT(X118,"mmmm d"),"-",IF(TEXT(X118,"mmmm")=TEXT(Y118,"mmmm"),TEXT(Y118,"d"),TEXT(Y118,"mmmm d")))),", ",YEAR(Y118))</f>
        <v>May 3, 2026</v>
      </c>
      <c r="AA118" s="7">
        <f>O118</f>
        <v>44936</v>
      </c>
      <c r="AB118" s="14">
        <f>T118+V118-(W118-1)</f>
        <v>45781</v>
      </c>
      <c r="AC118" t="s">
        <v>1261</v>
      </c>
      <c r="AD118" s="23" t="str">
        <f ca="1">CONCATENATE("&lt;add-to-calendar-button  name=",CHAR(34),H118,CHAR(34),
IF(ISBLANK(M118),"",CONCATENATE("   location=",CHAR(34),RIGHT(M118,LEN(M118)-SEARCH("|",M118)-1),CHAR(34))),
"   description=",CHAR(34),IF(ISBLANK(I118),"",CONCATENATE(I118,"; ")),"shapenotesingings.com",CHAR(34),
"   options=",CHAR(34),"'Apple','Google','iCal','Outlook.com'",CHAR(34),"   styleLight=",CHAR(34),"--btn-background: #550000; --btn-text: #fff; --btn-shadow:#fff;",CHAR(34),
IF(W118=1,CONCATENATE(
"startDate=",CHAR(34),TEXT(G118,"yyyy-mm-dd"),CHAR(34),
"{endDate=",CHAR(34),TEXT(G118,"yyyy-mm-dd"),CHAR(34),
IF(OR(ISBLANK(AE118),ISBLANK(AF118)),"",(CONCATENATE(" startTime=",CHAR(34),TEXT(AE118,"hh:mm"),CHAR(34)," endTime=",CHAR(34),TEXT(AF118,"h:mm"),CHAR(34),
" timeZone=",CHAR(34),AG118,CHAR(34))))),
IF(W118=2,CONCATENATE(" dates='[{",
CHAR(34),"startDate",CHAR(34),":",CHAR(34),TEXT(G118,"yyyy-mm-dd"),CHAR(34),", ",
,CHAR(34),"endDate",CHAR(34),":",CHAR(34),TEXT(G118,"yyyy-mm-dd"),CHAR(34),
IF(OR(ISBLANK(AE118),ISBLANK(AF118)),"",(CONCATENATE(", ",CHAR(34),"startTime",CHAR(34),":",CHAR(34),TEXT(AE118,"hh:mm"),CHAR(34),", ",CHAR(34),"endTime",CHAR(34),":",CHAR(34),TEXT(AF118,"hh:mm"),CHAR(34),", ",CHAR(34),"timeZone",CHAR(34),":",CHAR(34),AG118,CHAR(34)))),"}, {",
,CHAR(34),"startDate",CHAR(34),":",CHAR(34),TEXT(G118+1,"yyyy-mm-dd"),CHAR(34),", ",
,CHAR(34),"endDate",CHAR(34),":",CHAR(34),TEXT(G118+W118-1,"yyyy-mm-dd"),CHAR(34),
IF(OR(ISBLANK(AE118),ISBLANK(AF118)),"",(CONCATENATE(", ",CHAR(34),"startTime",CHAR(34),":",CHAR(34),TEXT(AE118,"hh:mm"),CHAR(34),", ",CHAR(34),"endTime",CHAR(34),":",CHAR(34),TEXT(AF118,"hh:mm"),CHAR(34),", ",CHAR(34),"timeZone",CHAR(34),":",CHAR(34),AG118,CHAR(34)))),"}]'"),
CONCATENATE(
"{  startDate=",CHAR(34),TEXT(G118,"yyyy-mm-dd"),CHAR(34),
"  endDate=",CHAR(34),TEXT(G118+W118-1,"yyyy-mm-dd"),CHAR(34),"}"))),
" &gt;&lt;/add-to-calendar-button&gt;")</f>
        <v>&lt;add-to-calendar-button  name="Shady Grove Baptist Church Singing"   location="Shady Grove Baptist Church, 62-598 Co Rd 408, Dutton, AL 35744"   description="shapenotesingings.com"   options="'Apple','Google','iCal','Outlook.com'"   styleLight="--btn-background: #550000; --btn-text: #fff; --btn-shadow:#fff;"startDate="2026-05-03"{endDate="2026-05-03" &gt;&lt;/add-to-calendar-button&gt;</v>
      </c>
      <c r="AG118" s="25" t="s">
        <v>1533</v>
      </c>
    </row>
    <row r="119" spans="1:33" x14ac:dyDescent="0.3">
      <c r="A119" t="s">
        <v>8</v>
      </c>
      <c r="B119" t="s">
        <v>11</v>
      </c>
      <c r="C119" t="s">
        <v>1134</v>
      </c>
      <c r="D119" t="s">
        <v>168</v>
      </c>
      <c r="E119" t="s">
        <v>34</v>
      </c>
      <c r="F119" t="s">
        <v>358</v>
      </c>
      <c r="G119" s="7">
        <f ca="1">X119</f>
        <v>46145</v>
      </c>
      <c r="H119" s="5" t="s">
        <v>359</v>
      </c>
      <c r="K119" t="s">
        <v>1085</v>
      </c>
      <c r="L119" t="s">
        <v>953</v>
      </c>
      <c r="M119" s="16" t="s">
        <v>1004</v>
      </c>
      <c r="N119" s="16" t="s">
        <v>360</v>
      </c>
      <c r="O119" s="7">
        <v>44936</v>
      </c>
      <c r="P119" s="7" t="s">
        <v>926</v>
      </c>
      <c r="Q119" s="18">
        <v>5</v>
      </c>
      <c r="R119" s="18">
        <v>1</v>
      </c>
      <c r="S119" s="18">
        <v>1</v>
      </c>
      <c r="T119" s="4">
        <f>DATE(AI$2,$Q119,1+(($R119-($S119&gt;=WEEKDAY(DATE(AI$2,$Q119,1))))*7)+($S119-WEEKDAY(DATE(AI$2,$Q119,1))))</f>
        <v>45781</v>
      </c>
      <c r="U119" s="4">
        <f>DATE(AJ$2,$Q119,1+(($R119-($S119&gt;=WEEKDAY(DATE(AJ$2,$Q119,1))))*7)+($S119-WEEKDAY(DATE(AJ$2,$Q119,1))))</f>
        <v>46145</v>
      </c>
      <c r="V119" s="20">
        <v>0</v>
      </c>
      <c r="W119" s="20">
        <v>1</v>
      </c>
      <c r="X119" s="4">
        <f ca="1">Y119-(W119-1)</f>
        <v>46145</v>
      </c>
      <c r="Y119" s="5">
        <f ca="1">IF(OR(T119+V119&lt;(NOW()-0.5),ISNUMBER(SEARCH("&lt;h4&gt;",K119))),U119+V119,T119+V119)</f>
        <v>46145</v>
      </c>
      <c r="Z119" t="str">
        <f ca="1">CONCATENATE(IF(OR(Y119=X119,ISBLANK(Y119)),TEXT(X119,"mmmm d"),CONCATENATE(TEXT(X119,"mmmm d"),"-",IF(TEXT(X119,"mmmm")=TEXT(Y119,"mmmm"),TEXT(Y119,"d"),TEXT(Y119,"mmmm d")))),", ",YEAR(Y119))</f>
        <v>May 3, 2026</v>
      </c>
      <c r="AA119" s="7">
        <f>O119</f>
        <v>44936</v>
      </c>
      <c r="AB119" s="14">
        <f>T119+V119-(W119-1)</f>
        <v>45781</v>
      </c>
      <c r="AC119" t="s">
        <v>1263</v>
      </c>
      <c r="AD119" s="23" t="str">
        <f ca="1">CONCATENATE("&lt;add-to-calendar-button  name=",CHAR(34),H119,CHAR(34),
IF(ISBLANK(M119),"",CONCATENATE("   location=",CHAR(34),RIGHT(M119,LEN(M119)-SEARCH("|",M119)-1),CHAR(34))),
"   description=",CHAR(34),IF(ISBLANK(I119),"",CONCATENATE(I119,"; ")),"shapenotesingings.com",CHAR(34),
"   options=",CHAR(34),"'Apple','Google','iCal','Outlook.com'",CHAR(34),"   styleLight=",CHAR(34),"--btn-background: #550000; --btn-text: #fff; --btn-shadow:#fff;",CHAR(34),
IF(W119=1,CONCATENATE(
"startDate=",CHAR(34),TEXT(G119,"yyyy-mm-dd"),CHAR(34),
"{endDate=",CHAR(34),TEXT(G119,"yyyy-mm-dd"),CHAR(34),
IF(OR(ISBLANK(AE119),ISBLANK(AF119)),"",(CONCATENATE(" startTime=",CHAR(34),TEXT(AE119,"hh:mm"),CHAR(34)," endTime=",CHAR(34),TEXT(AF119,"h:mm"),CHAR(34),
" timeZone=",CHAR(34),AG119,CHAR(34))))),
IF(W119=2,CONCATENATE(" dates='[{",
CHAR(34),"startDate",CHAR(34),":",CHAR(34),TEXT(G119,"yyyy-mm-dd"),CHAR(34),", ",
,CHAR(34),"endDate",CHAR(34),":",CHAR(34),TEXT(G119,"yyyy-mm-dd"),CHAR(34),
IF(OR(ISBLANK(AE119),ISBLANK(AF119)),"",(CONCATENATE(", ",CHAR(34),"startTime",CHAR(34),":",CHAR(34),TEXT(AE119,"hh:mm"),CHAR(34),", ",CHAR(34),"endTime",CHAR(34),":",CHAR(34),TEXT(AF119,"hh:mm"),CHAR(34),", ",CHAR(34),"timeZone",CHAR(34),":",CHAR(34),AG119,CHAR(34)))),"}, {",
,CHAR(34),"startDate",CHAR(34),":",CHAR(34),TEXT(G119+1,"yyyy-mm-dd"),CHAR(34),", ",
,CHAR(34),"endDate",CHAR(34),":",CHAR(34),TEXT(G119+W119-1,"yyyy-mm-dd"),CHAR(34),
IF(OR(ISBLANK(AE119),ISBLANK(AF119)),"",(CONCATENATE(", ",CHAR(34),"startTime",CHAR(34),":",CHAR(34),TEXT(AE119,"hh:mm"),CHAR(34),", ",CHAR(34),"endTime",CHAR(34),":",CHAR(34),TEXT(AF119,"hh:mm"),CHAR(34),", ",CHAR(34),"timeZone",CHAR(34),":",CHAR(34),AG119,CHAR(34)))),"}]'"),
CONCATENATE(
"{  startDate=",CHAR(34),TEXT(G119,"yyyy-mm-dd"),CHAR(34),
"  endDate=",CHAR(34),TEXT(G119+W119-1,"yyyy-mm-dd"),CHAR(34),"}"))),
" &gt;&lt;/add-to-calendar-button&gt;")</f>
        <v>&lt;add-to-calendar-button  name="Heath Memorial"   location="Mabson United Methodist Church, 2883 Co Rd 36, Ozark, AL 36360"   description="shapenotesingings.com"   options="'Apple','Google','iCal','Outlook.com'"   styleLight="--btn-background: #550000; --btn-text: #fff; --btn-shadow:#fff;"startDate="2026-05-03"{endDate="2026-05-03" &gt;&lt;/add-to-calendar-button&gt;</v>
      </c>
      <c r="AG119" s="25" t="s">
        <v>1533</v>
      </c>
    </row>
    <row r="120" spans="1:33" x14ac:dyDescent="0.3">
      <c r="A120" t="s">
        <v>8</v>
      </c>
      <c r="B120" t="s">
        <v>41</v>
      </c>
      <c r="C120" t="s">
        <v>1148</v>
      </c>
      <c r="D120" t="s">
        <v>42</v>
      </c>
      <c r="E120" t="s">
        <v>2178</v>
      </c>
      <c r="F120" t="s">
        <v>53</v>
      </c>
      <c r="G120" s="7">
        <f ca="1">X120</f>
        <v>46151</v>
      </c>
      <c r="H120" s="5" t="s">
        <v>43</v>
      </c>
      <c r="I120" t="s">
        <v>1028</v>
      </c>
      <c r="J120" s="36" t="s">
        <v>2681</v>
      </c>
      <c r="L120" t="s">
        <v>964</v>
      </c>
      <c r="M120" s="16" t="s">
        <v>44</v>
      </c>
      <c r="N120" s="16" t="s">
        <v>140</v>
      </c>
      <c r="O120" s="7">
        <v>44936</v>
      </c>
      <c r="P120" s="7" t="s">
        <v>926</v>
      </c>
      <c r="Q120" s="18">
        <v>5</v>
      </c>
      <c r="R120" s="18">
        <v>2</v>
      </c>
      <c r="S120" s="18">
        <v>1</v>
      </c>
      <c r="T120" s="4">
        <f>DATE(AI$2,$Q120,1+(($R120-($S120&gt;=WEEKDAY(DATE(AI$2,$Q120,1))))*7)+($S120-WEEKDAY(DATE(AI$2,$Q120,1))))</f>
        <v>45788</v>
      </c>
      <c r="U120" s="4">
        <f>DATE(AJ$2,$Q120,1+(($R120-($S120&gt;=WEEKDAY(DATE(AJ$2,$Q120,1))))*7)+($S120-WEEKDAY(DATE(AJ$2,$Q120,1))))</f>
        <v>46152</v>
      </c>
      <c r="V120" s="20">
        <v>-1</v>
      </c>
      <c r="W120" s="20">
        <v>1</v>
      </c>
      <c r="X120" s="4">
        <f ca="1">Y120-(W120-1)</f>
        <v>46151</v>
      </c>
      <c r="Y120" s="5">
        <f ca="1">IF(OR(T120+V120&lt;(NOW()-0.5),ISNUMBER(SEARCH("&lt;h4&gt;",K120))),U120+V120,T120+V120)</f>
        <v>46151</v>
      </c>
      <c r="Z120" t="str">
        <f ca="1">CONCATENATE(IF(OR(Y120=X120,ISBLANK(Y120)),TEXT(X120,"mmmm d"),CONCATENATE(TEXT(X120,"mmmm d"),"-",IF(TEXT(X120,"mmmm")=TEXT(Y120,"mmmm"),TEXT(Y120,"d"),TEXT(Y120,"mmmm d")))),", ",YEAR(Y120))</f>
        <v>May 9, 2026</v>
      </c>
      <c r="AA120" s="7">
        <f>O120</f>
        <v>44936</v>
      </c>
      <c r="AB120" s="14">
        <f>T120+V120-(W120-1)</f>
        <v>45787</v>
      </c>
      <c r="AC120" t="s">
        <v>1265</v>
      </c>
      <c r="AD120" s="23" t="str">
        <f ca="1">CONCATENATE("&lt;add-to-calendar-button  name=",CHAR(34),H120,CHAR(34),
IF(ISBLANK(M120),"",CONCATENATE("   location=",CHAR(34),RIGHT(M120,LEN(M120)-SEARCH("|",M120)-1),CHAR(34))),
"   description=",CHAR(34),IF(ISBLANK(I120),"",CONCATENATE(I120,"; ")),"shapenotesingings.com",CHAR(34),
"   options=",CHAR(34),"'Apple','Google','iCal','Outlook.com'",CHAR(34),"   styleLight=",CHAR(34),"--btn-background: #550000; --btn-text: #fff; --btn-shadow:#fff;",CHAR(34),
IF(W120=1,CONCATENATE(
"startDate=",CHAR(34),TEXT(G120,"yyyy-mm-dd"),CHAR(34),
"{endDate=",CHAR(34),TEXT(G120,"yyyy-mm-dd"),CHAR(34),
IF(OR(ISBLANK(AE120),ISBLANK(AF120)),"",(CONCATENATE(" startTime=",CHAR(34),TEXT(AE120,"hh:mm"),CHAR(34)," endTime=",CHAR(34),TEXT(AF120,"h:mm"),CHAR(34),
" timeZone=",CHAR(34),AG120,CHAR(34))))),
IF(W120=2,CONCATENATE(" dates='[{",
CHAR(34),"startDate",CHAR(34),":",CHAR(34),TEXT(G120,"yyyy-mm-dd"),CHAR(34),", ",
,CHAR(34),"endDate",CHAR(34),":",CHAR(34),TEXT(G120,"yyyy-mm-dd"),CHAR(34),
IF(OR(ISBLANK(AE120),ISBLANK(AF120)),"",(CONCATENATE(", ",CHAR(34),"startTime",CHAR(34),":",CHAR(34),TEXT(AE120,"hh:mm"),CHAR(34),", ",CHAR(34),"endTime",CHAR(34),":",CHAR(34),TEXT(AF120,"hh:mm"),CHAR(34),", ",CHAR(34),"timeZone",CHAR(34),":",CHAR(34),AG120,CHAR(34)))),"}, {",
,CHAR(34),"startDate",CHAR(34),":",CHAR(34),TEXT(G120+1,"yyyy-mm-dd"),CHAR(34),", ",
,CHAR(34),"endDate",CHAR(34),":",CHAR(34),TEXT(G120+W120-1,"yyyy-mm-dd"),CHAR(34),
IF(OR(ISBLANK(AE120),ISBLANK(AF120)),"",(CONCATENATE(", ",CHAR(34),"startTime",CHAR(34),":",CHAR(34),TEXT(AE120,"hh:mm"),CHAR(34),", ",CHAR(34),"endTime",CHAR(34),":",CHAR(34),TEXT(AF120,"hh:mm"),CHAR(34),", ",CHAR(34),"timeZone",CHAR(34),":",CHAR(34),AG120,CHAR(34)))),"}]'"),
CONCATENATE(
"{  startDate=",CHAR(34),TEXT(G120,"yyyy-mm-dd"),CHAR(34),
"  endDate=",CHAR(34),TEXT(G120+W120-1,"yyyy-mm-dd"),CHAR(34),"}"))),
" &gt;&lt;/add-to-calendar-button&gt;")</f>
        <v>&lt;add-to-calendar-button  name="Boston All-Day Singing"   location="First Church in Jamaica Plain UU, 6 Eliot Street, Jamaica Plain"   description="10am; shapenotesingings.com"   options="'Apple','Google','iCal','Outlook.com'"   styleLight="--btn-background: #550000; --btn-text: #fff; --btn-shadow:#fff;"startDate="2026-05-09"{endDate="2026-05-09" startTime="10:00" endTime="15:00" timeZone="America/New_York" &gt;&lt;/add-to-calendar-button&gt;</v>
      </c>
      <c r="AE120" s="24">
        <v>0.41666666666666669</v>
      </c>
      <c r="AF120" s="24">
        <v>0.625</v>
      </c>
      <c r="AG120" s="25" t="s">
        <v>1532</v>
      </c>
    </row>
    <row r="121" spans="1:33" x14ac:dyDescent="0.3">
      <c r="A121" t="s">
        <v>8</v>
      </c>
      <c r="B121" t="s">
        <v>2</v>
      </c>
      <c r="C121" t="s">
        <v>1159</v>
      </c>
      <c r="D121" t="s">
        <v>374</v>
      </c>
      <c r="E121" t="s">
        <v>2183</v>
      </c>
      <c r="F121" t="s">
        <v>53</v>
      </c>
      <c r="G121" s="7">
        <f ca="1">X121</f>
        <v>46151</v>
      </c>
      <c r="H121" s="5" t="s">
        <v>373</v>
      </c>
      <c r="I121" t="s">
        <v>1037</v>
      </c>
      <c r="J121" s="36" t="s">
        <v>2590</v>
      </c>
      <c r="K121" t="s">
        <v>2943</v>
      </c>
      <c r="L121" t="s">
        <v>1733</v>
      </c>
      <c r="M121" s="16" t="s">
        <v>371</v>
      </c>
      <c r="N121" s="16" t="s">
        <v>372</v>
      </c>
      <c r="O121" s="7">
        <v>45768</v>
      </c>
      <c r="P121" s="7" t="s">
        <v>2944</v>
      </c>
      <c r="Q121" s="18">
        <v>5</v>
      </c>
      <c r="R121" s="18">
        <v>2</v>
      </c>
      <c r="S121" s="18">
        <v>1</v>
      </c>
      <c r="T121" s="4">
        <f>DATE(AI$2,$Q121,1+(($R121-($S121&gt;=WEEKDAY(DATE(AI$2,$Q121,1))))*7)+($S121-WEEKDAY(DATE(AI$2,$Q121,1))))</f>
        <v>45788</v>
      </c>
      <c r="U121" s="4">
        <f>DATE(AJ$2,$Q121,1+(($R121-($S121&gt;=WEEKDAY(DATE(AJ$2,$Q121,1))))*7)+($S121-WEEKDAY(DATE(AJ$2,$Q121,1))))</f>
        <v>46152</v>
      </c>
      <c r="V121" s="20">
        <v>-1</v>
      </c>
      <c r="W121" s="20">
        <v>1</v>
      </c>
      <c r="X121" s="4">
        <f ca="1">Y121-(W121-1)</f>
        <v>46151</v>
      </c>
      <c r="Y121" s="5">
        <f ca="1">IF(OR(T121+V121&lt;(NOW()-0.5),ISNUMBER(SEARCH("&lt;h4&gt;",K121))),U121+V121,T121+V121)</f>
        <v>46151</v>
      </c>
      <c r="Z121" t="str">
        <f ca="1">CONCATENATE(IF(OR(Y121=X121,ISBLANK(Y121)),TEXT(X121,"mmmm d"),CONCATENATE(TEXT(X121,"mmmm d"),"-",IF(TEXT(X121,"mmmm")=TEXT(Y121,"mmmm"),TEXT(Y121,"d"),TEXT(Y121,"mmmm d")))),", ",YEAR(Y121))</f>
        <v>May 9, 2026</v>
      </c>
      <c r="AA121" s="7">
        <f>O121</f>
        <v>45768</v>
      </c>
      <c r="AB121" s="14">
        <f>T121+V121-(W121-1)</f>
        <v>45787</v>
      </c>
      <c r="AC121" t="s">
        <v>1267</v>
      </c>
      <c r="AD121" s="23" t="str">
        <f ca="1">CONCATENATE("&lt;add-to-calendar-button  name=",CHAR(34),H121,CHAR(34),
IF(ISBLANK(M121),"",CONCATENATE("   location=",CHAR(34),RIGHT(M121,LEN(M121)-SEARCH("|",M121)-1),CHAR(34))),
"   description=",CHAR(34),IF(ISBLANK(I121),"",CONCATENATE(I121,"; ")),"shapenotesingings.com",CHAR(34),
"   options=",CHAR(34),"'Apple','Google','iCal','Outlook.com'",CHAR(34),"   styleLight=",CHAR(34),"--btn-background: #550000; --btn-text: #fff; --btn-shadow:#fff;",CHAR(34),
IF(W121=1,CONCATENATE(
"startDate=",CHAR(34),TEXT(G121,"yyyy-mm-dd"),CHAR(34),
"{endDate=",CHAR(34),TEXT(G121,"yyyy-mm-dd"),CHAR(34),
IF(OR(ISBLANK(AE121),ISBLANK(AF121)),"",(CONCATENATE(" startTime=",CHAR(34),TEXT(AE121,"hh:mm"),CHAR(34)," endTime=",CHAR(34),TEXT(AF121,"h:mm"),CHAR(34),
" timeZone=",CHAR(34),AG121,CHAR(34))))),
IF(W121=2,CONCATENATE(" dates='[{",
CHAR(34),"startDate",CHAR(34),":",CHAR(34),TEXT(G121,"yyyy-mm-dd"),CHAR(34),", ",
,CHAR(34),"endDate",CHAR(34),":",CHAR(34),TEXT(G121,"yyyy-mm-dd"),CHAR(34),
IF(OR(ISBLANK(AE121),ISBLANK(AF121)),"",(CONCATENATE(", ",CHAR(34),"startTime",CHAR(34),":",CHAR(34),TEXT(AE121,"hh:mm"),CHAR(34),", ",CHAR(34),"endTime",CHAR(34),":",CHAR(34),TEXT(AF121,"hh:mm"),CHAR(34),", ",CHAR(34),"timeZone",CHAR(34),":",CHAR(34),AG121,CHAR(34)))),"}, {",
,CHAR(34),"startDate",CHAR(34),":",CHAR(34),TEXT(G121+1,"yyyy-mm-dd"),CHAR(34),", ",
,CHAR(34),"endDate",CHAR(34),":",CHAR(34),TEXT(G121+W121-1,"yyyy-mm-dd"),CHAR(34),
IF(OR(ISBLANK(AE121),ISBLANK(AF121)),"",(CONCATENATE(", ",CHAR(34),"startTime",CHAR(34),":",CHAR(34),TEXT(AE121,"hh:mm"),CHAR(34),", ",CHAR(34),"endTime",CHAR(34),":",CHAR(34),TEXT(AF121,"hh:mm"),CHAR(34),", ",CHAR(34),"timeZone",CHAR(34),":",CHAR(34),AG121,CHAR(34)))),"}]'"),
CONCATENATE(
"{  startDate=",CHAR(34),TEXT(G121,"yyyy-mm-dd"),CHAR(34),
"  endDate=",CHAR(34),TEXT(G121+W121-1,"yyyy-mm-dd"),CHAR(34),"}"))),
" &gt;&lt;/add-to-calendar-button&gt;")</f>
        <v>&lt;add-to-calendar-button  name="Pumpkintown Shape Note Singing "   location="Oolenoy Community Center, 5301 Dacusville Hwy (SC135), Pickens, South Carolina"   description="10am-3pm; shapenotesingings.com"   options="'Apple','Google','iCal','Outlook.com'"   styleLight="--btn-background: #550000; --btn-text: #fff; --btn-shadow:#fff;"startDate="2026-05-09"{endDate="2026-05-09" startTime="10:00" endTime="15:00" timeZone="America/New_York" &gt;&lt;/add-to-calendar-button&gt;</v>
      </c>
      <c r="AE121" s="24">
        <v>0.41666666666666669</v>
      </c>
      <c r="AF121" s="24">
        <v>0.625</v>
      </c>
      <c r="AG121" s="25" t="s">
        <v>1532</v>
      </c>
    </row>
    <row r="122" spans="1:33" x14ac:dyDescent="0.3">
      <c r="A122" t="s">
        <v>8</v>
      </c>
      <c r="B122" t="s">
        <v>17</v>
      </c>
      <c r="C122" t="s">
        <v>1140</v>
      </c>
      <c r="D122" t="s">
        <v>1950</v>
      </c>
      <c r="E122" t="s">
        <v>34</v>
      </c>
      <c r="F122" t="s">
        <v>53</v>
      </c>
      <c r="G122" s="7">
        <f ca="1">X122</f>
        <v>46151</v>
      </c>
      <c r="H122" s="5" t="s">
        <v>1951</v>
      </c>
      <c r="I122" t="s">
        <v>1952</v>
      </c>
      <c r="L122" t="s">
        <v>1994</v>
      </c>
      <c r="M122" s="16" t="s">
        <v>2031</v>
      </c>
      <c r="N122" s="16" t="s">
        <v>2032</v>
      </c>
      <c r="O122" s="7">
        <v>45415</v>
      </c>
      <c r="P122" s="7" t="s">
        <v>2033</v>
      </c>
      <c r="Q122" s="18">
        <v>5</v>
      </c>
      <c r="R122" s="18">
        <v>2</v>
      </c>
      <c r="S122" s="18">
        <v>1</v>
      </c>
      <c r="T122" s="4">
        <f>DATE(AI$2,$Q122,1+(($R122-($S122&gt;=WEEKDAY(DATE(AI$2,$Q122,1))))*7)+($S122-WEEKDAY(DATE(AI$2,$Q122,1))))</f>
        <v>45788</v>
      </c>
      <c r="U122" s="4">
        <f>DATE(AJ$2,$Q122,1+(($R122-($S122&gt;=WEEKDAY(DATE(AJ$2,$Q122,1))))*7)+($S122-WEEKDAY(DATE(AJ$2,$Q122,1))))</f>
        <v>46152</v>
      </c>
      <c r="V122" s="20">
        <v>-1</v>
      </c>
      <c r="W122" s="20">
        <v>1</v>
      </c>
      <c r="X122" s="4">
        <f ca="1">Y122-(W122-1)</f>
        <v>46151</v>
      </c>
      <c r="Y122" s="5">
        <f ca="1">IF(OR(T122+V122&lt;(NOW()-0.5),ISNUMBER(SEARCH("&lt;h4&gt;",K122))),U122+V122,T122+V122)</f>
        <v>46151</v>
      </c>
      <c r="Z122" t="str">
        <f ca="1">CONCATENATE(IF(OR(Y122=X122,ISBLANK(Y122)),TEXT(X122,"mmmm d"),CONCATENATE(TEXT(X122,"mmmm d"),"-",IF(TEXT(X122,"mmmm")=TEXT(Y122,"mmmm"),TEXT(Y122,"d"),TEXT(Y122,"mmmm d")))),", ",YEAR(Y122))</f>
        <v>May 9, 2026</v>
      </c>
      <c r="AA122" s="7">
        <f>O122</f>
        <v>45415</v>
      </c>
      <c r="AB122" s="14">
        <f>T122+V122-(W122-1)</f>
        <v>45787</v>
      </c>
      <c r="AC122" t="s">
        <v>2034</v>
      </c>
      <c r="AD122" s="23" t="str">
        <f ca="1">CONCATENATE("&lt;add-to-calendar-button  name=",CHAR(34),H122,CHAR(34),
IF(ISBLANK(M122),"",CONCATENATE("   location=",CHAR(34),RIGHT(M122,LEN(M122)-SEARCH("|",M122)-1),CHAR(34))),
"   description=",CHAR(34),IF(ISBLANK(I122),"",CONCATENATE(I122,"; ")),"shapenotesingings.com",CHAR(34),
"   options=",CHAR(34),"'Apple','Google','iCal','Outlook.com'",CHAR(34),"   styleLight=",CHAR(34),"--btn-background: #550000; --btn-text: #fff; --btn-shadow:#fff;",CHAR(34),
IF(W122=1,CONCATENATE(
"startDate=",CHAR(34),TEXT(G122,"yyyy-mm-dd"),CHAR(34),
"{endDate=",CHAR(34),TEXT(G122,"yyyy-mm-dd"),CHAR(34),
IF(OR(ISBLANK(AE122),ISBLANK(AF122)),"",(CONCATENATE(" startTime=",CHAR(34),TEXT(AE122,"hh:mm"),CHAR(34)," endTime=",CHAR(34),TEXT(AF122,"h:mm"),CHAR(34),
" timeZone=",CHAR(34),AG122,CHAR(34))))),
IF(W122=2,CONCATENATE(" dates='[{",
CHAR(34),"startDate",CHAR(34),":",CHAR(34),TEXT(G122,"yyyy-mm-dd"),CHAR(34),", ",
,CHAR(34),"endDate",CHAR(34),":",CHAR(34),TEXT(G122,"yyyy-mm-dd"),CHAR(34),
IF(OR(ISBLANK(AE122),ISBLANK(AF122)),"",(CONCATENATE(", ",CHAR(34),"startTime",CHAR(34),":",CHAR(34),TEXT(AE122,"hh:mm"),CHAR(34),", ",CHAR(34),"endTime",CHAR(34),":",CHAR(34),TEXT(AF122,"hh:mm"),CHAR(34),", ",CHAR(34),"timeZone",CHAR(34),":",CHAR(34),AG122,CHAR(34)))),"}, {",
,CHAR(34),"startDate",CHAR(34),":",CHAR(34),TEXT(G122+1,"yyyy-mm-dd"),CHAR(34),", ",
,CHAR(34),"endDate",CHAR(34),":",CHAR(34),TEXT(G122+W122-1,"yyyy-mm-dd"),CHAR(34),
IF(OR(ISBLANK(AE122),ISBLANK(AF122)),"",(CONCATENATE(", ",CHAR(34),"startTime",CHAR(34),":",CHAR(34),TEXT(AE122,"hh:mm"),CHAR(34),", ",CHAR(34),"endTime",CHAR(34),":",CHAR(34),TEXT(AF122,"hh:mm"),CHAR(34),", ",CHAR(34),"timeZone",CHAR(34),":",CHAR(34),AG122,CHAR(34)))),"}]'"),
CONCATENATE(
"{  startDate=",CHAR(34),TEXT(G122,"yyyy-mm-dd"),CHAR(34),
"  endDate=",CHAR(34),TEXT(G122+W122-1,"yyyy-mm-dd"),CHAR(34),"}"))),
" &gt;&lt;/add-to-calendar-button&gt;")</f>
        <v>&lt;add-to-calendar-button  name="Valdosta Sacred Harp All-Day Sing"   location="First Christian Church, 1905 N Patterson St, Valdosta, GA 31602"   description="9:15am-2pm; shapenotesingings.com"   options="'Apple','Google','iCal','Outlook.com'"   styleLight="--btn-background: #550000; --btn-text: #fff; --btn-shadow:#fff;"startDate="2026-05-09"{endDate="2026-05-09" startTime="09:15" endTime="14:00" timeZone="America/New_York" &gt;&lt;/add-to-calendar-button&gt;</v>
      </c>
      <c r="AE122" s="24">
        <v>0.38541666666666669</v>
      </c>
      <c r="AF122" s="24">
        <v>0.58333333333333337</v>
      </c>
      <c r="AG122" s="25" t="s">
        <v>1532</v>
      </c>
    </row>
    <row r="123" spans="1:33" x14ac:dyDescent="0.3">
      <c r="A123" t="s">
        <v>144</v>
      </c>
      <c r="B123" t="s">
        <v>144</v>
      </c>
      <c r="C123" t="s">
        <v>1162</v>
      </c>
      <c r="D123" t="s">
        <v>380</v>
      </c>
      <c r="E123" t="s">
        <v>2183</v>
      </c>
      <c r="F123" s="30" t="s">
        <v>356</v>
      </c>
      <c r="G123" s="7">
        <f ca="1">X123</f>
        <v>46144</v>
      </c>
      <c r="H123" s="5" t="s">
        <v>379</v>
      </c>
      <c r="I123" t="s">
        <v>2043</v>
      </c>
      <c r="J123" s="36" t="s">
        <v>2683</v>
      </c>
      <c r="K123" t="s">
        <v>1087</v>
      </c>
      <c r="L123" t="s">
        <v>2042</v>
      </c>
      <c r="M123" s="16" t="s">
        <v>381</v>
      </c>
      <c r="N123" s="16" t="s">
        <v>382</v>
      </c>
      <c r="O123" s="7">
        <v>45686</v>
      </c>
      <c r="P123" s="32" t="s">
        <v>2768</v>
      </c>
      <c r="Q123" s="18">
        <v>5</v>
      </c>
      <c r="R123" s="30">
        <v>1</v>
      </c>
      <c r="S123" s="18">
        <v>1</v>
      </c>
      <c r="T123" s="4">
        <f>DATE(AI$2,$Q123,1+(($R123-($S123&gt;=WEEKDAY(DATE(AI$2,$Q123,1))))*7)+($S123-WEEKDAY(DATE(AI$2,$Q123,1))))</f>
        <v>45781</v>
      </c>
      <c r="U123" s="4">
        <f>DATE(AJ$2,$Q123,1+(($R123-($S123&gt;=WEEKDAY(DATE(AJ$2,$Q123,1))))*7)+($S123-WEEKDAY(DATE(AJ$2,$Q123,1))))</f>
        <v>46145</v>
      </c>
      <c r="V123" s="20">
        <v>0</v>
      </c>
      <c r="W123" s="20">
        <v>2</v>
      </c>
      <c r="X123" s="4">
        <f ca="1">Y123-(W123-1)</f>
        <v>46144</v>
      </c>
      <c r="Y123" s="5">
        <f ca="1">IF(OR(T123+V123&lt;(NOW()-0.5),ISNUMBER(SEARCH("&lt;h4&gt;",K123))),U123+V123,T123+V123)</f>
        <v>46145</v>
      </c>
      <c r="Z123" t="str">
        <f ca="1">CONCATENATE(IF(OR(Y123=X123,ISBLANK(Y123)),TEXT(X123,"mmmm d"),CONCATENATE(TEXT(X123,"mmmm d"),"-",IF(TEXT(X123,"mmmm")=TEXT(Y123,"mmmm"),TEXT(Y123,"d"),TEXT(Y123,"mmmm d")))),", ",YEAR(Y123))</f>
        <v>May 2-3, 2026</v>
      </c>
      <c r="AA123" s="7">
        <f>O123</f>
        <v>45686</v>
      </c>
      <c r="AB123" s="14">
        <f>T123+V123-(W123-1)</f>
        <v>45780</v>
      </c>
      <c r="AC123" t="s">
        <v>1269</v>
      </c>
      <c r="AD123" s="23" t="str">
        <f ca="1">CONCATENATE("&lt;add-to-calendar-button  name=",CHAR(34),H123,CHAR(34),
IF(ISBLANK(M123),"",CONCATENATE("   location=",CHAR(34),RIGHT(M123,LEN(M123)-SEARCH("|",M123)-1),CHAR(34))),
"   description=",CHAR(34),IF(ISBLANK(I123),"",CONCATENATE(I123,"; ")),"shapenotesingings.com",CHAR(34),
"   options=",CHAR(34),"'Apple','Google','iCal','Outlook.com'",CHAR(34),"   styleLight=",CHAR(34),"--btn-background: #550000; --btn-text: #fff; --btn-shadow:#fff;",CHAR(34),
IF(W123=1,CONCATENATE(
"startDate=",CHAR(34),TEXT(G123,"yyyy-mm-dd"),CHAR(34),
"{endDate=",CHAR(34),TEXT(G123,"yyyy-mm-dd"),CHAR(34),
IF(OR(ISBLANK(AE123),ISBLANK(AF123)),"",(CONCATENATE(" startTime=",CHAR(34),TEXT(AE123,"hh:mm"),CHAR(34)," endTime=",CHAR(34),TEXT(AF123,"h:mm"),CHAR(34),
" timeZone=",CHAR(34),AG123,CHAR(34))))),
IF(W123=2,CONCATENATE(" dates='[{",
CHAR(34),"startDate",CHAR(34),":",CHAR(34),TEXT(G123,"yyyy-mm-dd"),CHAR(34),", ",
,CHAR(34),"endDate",CHAR(34),":",CHAR(34),TEXT(G123,"yyyy-mm-dd"),CHAR(34),
IF(OR(ISBLANK(AE123),ISBLANK(AF123)),"",(CONCATENATE(", ",CHAR(34),"startTime",CHAR(34),":",CHAR(34),TEXT(AE123,"hh:mm"),CHAR(34),", ",CHAR(34),"endTime",CHAR(34),":",CHAR(34),TEXT(AF123,"hh:mm"),CHAR(34),", ",CHAR(34),"timeZone",CHAR(34),":",CHAR(34),AG123,CHAR(34)))),"}, {",
,CHAR(34),"startDate",CHAR(34),":",CHAR(34),TEXT(G123+1,"yyyy-mm-dd"),CHAR(34),", ",
,CHAR(34),"endDate",CHAR(34),":",CHAR(34),TEXT(G123+W123-1,"yyyy-mm-dd"),CHAR(34),
IF(OR(ISBLANK(AE123),ISBLANK(AF123)),"",(CONCATENATE(", ",CHAR(34),"startTime",CHAR(34),":",CHAR(34),TEXT(AE123,"hh:mm"),CHAR(34),", ",CHAR(34),"endTime",CHAR(34),":",CHAR(34),TEXT(AF123,"hh:mm"),CHAR(34),", ",CHAR(34),"timeZone",CHAR(34),":",CHAR(34),AG123,CHAR(34)))),"}]'"),
CONCATENATE(
"{  startDate=",CHAR(34),TEXT(G123,"yyyy-mm-dd"),CHAR(34),
"  endDate=",CHAR(34),TEXT(G123+W123-1,"yyyy-mm-dd"),CHAR(34),"}"))),
" &gt;&lt;/add-to-calendar-button&gt;")</f>
        <v>&lt;add-to-calendar-button  name="Bristol Singing"   location="Frenchay Quaker Meeting House, Beckspool Rd, Frenchay, Avon, Bristol BS16 1NT, United Kingdom"   description="Saturday 10:30am, Sunday 11:45am; shapenotesingings.com"   options="'Apple','Google','iCal','Outlook.com'"   styleLight="--btn-background: #550000; --btn-text: #fff; --btn-shadow:#fff;" dates='[{"startDate":"2026-05-02", "endDate":"2026-05-02"}, {"startDate":"2026-05-03", "endDate":"2026-05-03"}]' &gt;&lt;/add-to-calendar-button&gt;</v>
      </c>
      <c r="AG123" s="25" t="s">
        <v>1535</v>
      </c>
    </row>
    <row r="124" spans="1:33" x14ac:dyDescent="0.3">
      <c r="A124" t="s">
        <v>8</v>
      </c>
      <c r="B124" t="s">
        <v>11</v>
      </c>
      <c r="C124" t="s">
        <v>1134</v>
      </c>
      <c r="D124" t="s">
        <v>52</v>
      </c>
      <c r="E124" t="s">
        <v>1435</v>
      </c>
      <c r="F124" t="s">
        <v>53</v>
      </c>
      <c r="G124" s="7">
        <f ca="1">X124</f>
        <v>46151</v>
      </c>
      <c r="H124" s="5" t="s">
        <v>54</v>
      </c>
      <c r="L124" t="s">
        <v>2684</v>
      </c>
      <c r="M124" s="16" t="s">
        <v>55</v>
      </c>
      <c r="N124" s="16" t="s">
        <v>128</v>
      </c>
      <c r="O124" s="7">
        <v>44927</v>
      </c>
      <c r="P124" s="7" t="s">
        <v>934</v>
      </c>
      <c r="Q124" s="18">
        <v>5</v>
      </c>
      <c r="R124" s="18">
        <v>2</v>
      </c>
      <c r="S124" s="18">
        <v>1</v>
      </c>
      <c r="T124" s="4">
        <f>DATE(AI$2,$Q124,1+(($R124-($S124&gt;=WEEKDAY(DATE(AI$2,$Q124,1))))*7)+($S124-WEEKDAY(DATE(AI$2,$Q124,1))))</f>
        <v>45788</v>
      </c>
      <c r="U124" s="4">
        <f>DATE(AJ$2,$Q124,1+(($R124-($S124&gt;=WEEKDAY(DATE(AJ$2,$Q124,1))))*7)+($S124-WEEKDAY(DATE(AJ$2,$Q124,1))))</f>
        <v>46152</v>
      </c>
      <c r="V124" s="20">
        <v>-1</v>
      </c>
      <c r="W124" s="20">
        <v>1</v>
      </c>
      <c r="X124" s="4">
        <f ca="1">Y124-(W124-1)</f>
        <v>46151</v>
      </c>
      <c r="Y124" s="5">
        <f ca="1">IF(OR(T124+V124&lt;(NOW()-0.5),ISNUMBER(SEARCH("&lt;h4&gt;",K124))),U124+V124,T124+V124)</f>
        <v>46151</v>
      </c>
      <c r="Z124" t="str">
        <f ca="1">CONCATENATE(IF(OR(Y124=X124,ISBLANK(Y124)),TEXT(X124,"mmmm d"),CONCATENATE(TEXT(X124,"mmmm d"),"-",IF(TEXT(X124,"mmmm")=TEXT(Y124,"mmmm"),TEXT(Y124,"d"),TEXT(Y124,"mmmm d")))),", ",YEAR(Y124))</f>
        <v>May 9, 2026</v>
      </c>
      <c r="AA124" s="7">
        <f>O124</f>
        <v>44927</v>
      </c>
      <c r="AB124" s="14">
        <f>T124+V124-(W124-1)</f>
        <v>45787</v>
      </c>
      <c r="AC124" t="s">
        <v>1264</v>
      </c>
      <c r="AD124" s="23" t="str">
        <f ca="1">CONCATENATE("&lt;add-to-calendar-button  name=",CHAR(34),H124,CHAR(34),
IF(ISBLANK(M124),"",CONCATENATE("   location=",CHAR(34),RIGHT(M124,LEN(M124)-SEARCH("|",M124)-1),CHAR(34))),
"   description=",CHAR(34),IF(ISBLANK(I124),"",CONCATENATE(I124,"; ")),"shapenotesingings.com",CHAR(34),
"   options=",CHAR(34),"'Apple','Google','iCal','Outlook.com'",CHAR(34),"   styleLight=",CHAR(34),"--btn-background: #550000; --btn-text: #fff; --btn-shadow:#fff;",CHAR(34),
IF(W124=1,CONCATENATE(
"startDate=",CHAR(34),TEXT(G124,"yyyy-mm-dd"),CHAR(34),
"{endDate=",CHAR(34),TEXT(G124,"yyyy-mm-dd"),CHAR(34),
IF(OR(ISBLANK(AE124),ISBLANK(AF124)),"",(CONCATENATE(" startTime=",CHAR(34),TEXT(AE124,"hh:mm"),CHAR(34)," endTime=",CHAR(34),TEXT(AF124,"h:mm"),CHAR(34),
" timeZone=",CHAR(34),AG124,CHAR(34))))),
IF(W124=2,CONCATENATE(" dates='[{",
CHAR(34),"startDate",CHAR(34),":",CHAR(34),TEXT(G124,"yyyy-mm-dd"),CHAR(34),", ",
,CHAR(34),"endDate",CHAR(34),":",CHAR(34),TEXT(G124,"yyyy-mm-dd"),CHAR(34),
IF(OR(ISBLANK(AE124),ISBLANK(AF124)),"",(CONCATENATE(", ",CHAR(34),"startTime",CHAR(34),":",CHAR(34),TEXT(AE124,"hh:mm"),CHAR(34),", ",CHAR(34),"endTime",CHAR(34),":",CHAR(34),TEXT(AF124,"hh:mm"),CHAR(34),", ",CHAR(34),"timeZone",CHAR(34),":",CHAR(34),AG124,CHAR(34)))),"}, {",
,CHAR(34),"startDate",CHAR(34),":",CHAR(34),TEXT(G124+1,"yyyy-mm-dd"),CHAR(34),", ",
,CHAR(34),"endDate",CHAR(34),":",CHAR(34),TEXT(G124+W124-1,"yyyy-mm-dd"),CHAR(34),
IF(OR(ISBLANK(AE124),ISBLANK(AF124)),"",(CONCATENATE(", ",CHAR(34),"startTime",CHAR(34),":",CHAR(34),TEXT(AE124,"hh:mm"),CHAR(34),", ",CHAR(34),"endTime",CHAR(34),":",CHAR(34),TEXT(AF124,"hh:mm"),CHAR(34),", ",CHAR(34),"timeZone",CHAR(34),":",CHAR(34),AG124,CHAR(34)))),"}]'"),
CONCATENATE(
"{  startDate=",CHAR(34),TEXT(G124,"yyyy-mm-dd"),CHAR(34),
"  endDate=",CHAR(34),TEXT(G124+W124-1,"yyyy-mm-dd"),CHAR(34),"}"))),
" &gt;&lt;/add-to-calendar-button&gt;")</f>
        <v>&lt;add-to-calendar-button  name="Antioch Baptist Church"   location="Antioch Baptist Church, 185 Church Lane, Centreville, AL "   description="shapenotesingings.com"   options="'Apple','Google','iCal','Outlook.com'"   styleLight="--btn-background: #550000; --btn-text: #fff; --btn-shadow:#fff;"startDate="2026-05-09"{endDate="2026-05-09" &gt;&lt;/add-to-calendar-button&gt;</v>
      </c>
      <c r="AG124" s="25" t="s">
        <v>1533</v>
      </c>
    </row>
    <row r="125" spans="1:33" x14ac:dyDescent="0.3">
      <c r="A125" t="s">
        <v>8</v>
      </c>
      <c r="B125" t="s">
        <v>11</v>
      </c>
      <c r="C125" t="s">
        <v>1134</v>
      </c>
      <c r="D125" t="s">
        <v>184</v>
      </c>
      <c r="E125" t="s">
        <v>34</v>
      </c>
      <c r="F125" t="s">
        <v>53</v>
      </c>
      <c r="G125" s="7">
        <f ca="1">X125</f>
        <v>46151</v>
      </c>
      <c r="H125" s="5" t="s">
        <v>835</v>
      </c>
      <c r="L125" t="s">
        <v>955</v>
      </c>
      <c r="M125" s="16" t="s">
        <v>999</v>
      </c>
      <c r="N125" s="16" t="s">
        <v>186</v>
      </c>
      <c r="O125" s="7">
        <v>44927</v>
      </c>
      <c r="P125" s="7" t="s">
        <v>936</v>
      </c>
      <c r="Q125" s="18">
        <v>5</v>
      </c>
      <c r="R125" s="18">
        <v>2</v>
      </c>
      <c r="S125" s="18">
        <v>1</v>
      </c>
      <c r="T125" s="4">
        <f>DATE(AI$2,$Q125,1+(($R125-($S125&gt;=WEEKDAY(DATE(AI$2,$Q125,1))))*7)+($S125-WEEKDAY(DATE(AI$2,$Q125,1))))</f>
        <v>45788</v>
      </c>
      <c r="U125" s="4">
        <f>DATE(AJ$2,$Q125,1+(($R125-($S125&gt;=WEEKDAY(DATE(AJ$2,$Q125,1))))*7)+($S125-WEEKDAY(DATE(AJ$2,$Q125,1))))</f>
        <v>46152</v>
      </c>
      <c r="V125" s="20">
        <v>-1</v>
      </c>
      <c r="W125" s="20">
        <v>1</v>
      </c>
      <c r="X125" s="4">
        <f ca="1">Y125-(W125-1)</f>
        <v>46151</v>
      </c>
      <c r="Y125" s="5">
        <f ca="1">IF(OR(T125+V125&lt;(NOW()-0.5),ISNUMBER(SEARCH("&lt;h4&gt;",K125))),U125+V125,T125+V125)</f>
        <v>46151</v>
      </c>
      <c r="Z125" t="str">
        <f ca="1">CONCATENATE(IF(OR(Y125=X125,ISBLANK(Y125)),TEXT(X125,"mmmm d"),CONCATENATE(TEXT(X125,"mmmm d"),"-",IF(TEXT(X125,"mmmm")=TEXT(Y125,"mmmm"),TEXT(Y125,"d"),TEXT(Y125,"mmmm d")))),", ",YEAR(Y125))</f>
        <v>May 9, 2026</v>
      </c>
      <c r="AA125" s="7">
        <f>O125</f>
        <v>44927</v>
      </c>
      <c r="AB125" s="14">
        <f>T125+V125-(W125-1)</f>
        <v>45787</v>
      </c>
      <c r="AC125" t="s">
        <v>1212</v>
      </c>
      <c r="AD125" s="23" t="str">
        <f ca="1">CONCATENATE("&lt;add-to-calendar-button  name=",CHAR(34),H125,CHAR(34),
IF(ISBLANK(M125),"",CONCATENATE("   location=",CHAR(34),RIGHT(M125,LEN(M125)-SEARCH("|",M125)-1),CHAR(34))),
"   description=",CHAR(34),IF(ISBLANK(I125),"",CONCATENATE(I125,"; ")),"shapenotesingings.com",CHAR(34),
"   options=",CHAR(34),"'Apple','Google','iCal','Outlook.com'",CHAR(34),"   styleLight=",CHAR(34),"--btn-background: #550000; --btn-text: #fff; --btn-shadow:#fff;",CHAR(34),
IF(W125=1,CONCATENATE(
"startDate=",CHAR(34),TEXT(G125,"yyyy-mm-dd"),CHAR(34),
"{endDate=",CHAR(34),TEXT(G125,"yyyy-mm-dd"),CHAR(34),
IF(OR(ISBLANK(AE125),ISBLANK(AF125)),"",(CONCATENATE(" startTime=",CHAR(34),TEXT(AE125,"hh:mm"),CHAR(34)," endTime=",CHAR(34),TEXT(AF125,"h:mm"),CHAR(34),
" timeZone=",CHAR(34),AG125,CHAR(34))))),
IF(W125=2,CONCATENATE(" dates='[{",
CHAR(34),"startDate",CHAR(34),":",CHAR(34),TEXT(G125,"yyyy-mm-dd"),CHAR(34),", ",
,CHAR(34),"endDate",CHAR(34),":",CHAR(34),TEXT(G125,"yyyy-mm-dd"),CHAR(34),
IF(OR(ISBLANK(AE125),ISBLANK(AF125)),"",(CONCATENATE(", ",CHAR(34),"startTime",CHAR(34),":",CHAR(34),TEXT(AE125,"hh:mm"),CHAR(34),", ",CHAR(34),"endTime",CHAR(34),":",CHAR(34),TEXT(AF125,"hh:mm"),CHAR(34),", ",CHAR(34),"timeZone",CHAR(34),":",CHAR(34),AG125,CHAR(34)))),"}, {",
,CHAR(34),"startDate",CHAR(34),":",CHAR(34),TEXT(G125+1,"yyyy-mm-dd"),CHAR(34),", ",
,CHAR(34),"endDate",CHAR(34),":",CHAR(34),TEXT(G125+W125-1,"yyyy-mm-dd"),CHAR(34),
IF(OR(ISBLANK(AE125),ISBLANK(AF125)),"",(CONCATENATE(", ",CHAR(34),"startTime",CHAR(34),":",CHAR(34),TEXT(AE125,"hh:mm"),CHAR(34),", ",CHAR(34),"endTime",CHAR(34),":",CHAR(34),TEXT(AF125,"hh:mm"),CHAR(34),", ",CHAR(34),"timeZone",CHAR(34),":",CHAR(34),AG125,CHAR(34)))),"}]'"),
CONCATENATE(
"{  startDate=",CHAR(34),TEXT(G125,"yyyy-mm-dd"),CHAR(34),
"  endDate=",CHAR(34),TEXT(G125+W125-1,"yyyy-mm-dd"),CHAR(34),"}"))),
" &gt;&lt;/add-to-calendar-button&gt;")</f>
        <v>&lt;add-to-calendar-button  name="J.W. Bassett Memorial and Stockholders Meeting"   location="Traveler's Rest Church, 654 Traveler's Rest Rd, Samson, AL 36477"   description="shapenotesingings.com"   options="'Apple','Google','iCal','Outlook.com'"   styleLight="--btn-background: #550000; --btn-text: #fff; --btn-shadow:#fff;"startDate="2026-05-09"{endDate="2026-05-09" &gt;&lt;/add-to-calendar-button&gt;</v>
      </c>
      <c r="AG125" s="25" t="s">
        <v>1533</v>
      </c>
    </row>
    <row r="126" spans="1:33" x14ac:dyDescent="0.3">
      <c r="A126" t="s">
        <v>8</v>
      </c>
      <c r="B126" t="s">
        <v>273</v>
      </c>
      <c r="C126" t="s">
        <v>1160</v>
      </c>
      <c r="D126" t="s">
        <v>369</v>
      </c>
      <c r="E126" t="s">
        <v>2178</v>
      </c>
      <c r="F126" t="s">
        <v>53</v>
      </c>
      <c r="G126" s="7">
        <f ca="1">X126</f>
        <v>46151</v>
      </c>
      <c r="H126" s="5" t="s">
        <v>370</v>
      </c>
      <c r="I126" t="s">
        <v>1028</v>
      </c>
      <c r="J126" s="36" t="s">
        <v>2685</v>
      </c>
      <c r="K126" s="30" t="s">
        <v>2963</v>
      </c>
      <c r="L126" t="s">
        <v>2020</v>
      </c>
      <c r="M126" s="16" t="s">
        <v>367</v>
      </c>
      <c r="N126" s="16" t="s">
        <v>368</v>
      </c>
      <c r="O126" s="7">
        <v>45405</v>
      </c>
      <c r="P126" s="7" t="s">
        <v>2019</v>
      </c>
      <c r="Q126" s="18">
        <v>5</v>
      </c>
      <c r="R126" s="18">
        <v>2</v>
      </c>
      <c r="S126" s="18">
        <v>1</v>
      </c>
      <c r="T126" s="4">
        <f>DATE(AI$2,$Q126,1+(($R126-($S126&gt;=WEEKDAY(DATE(AI$2,$Q126,1))))*7)+($S126-WEEKDAY(DATE(AI$2,$Q126,1))))</f>
        <v>45788</v>
      </c>
      <c r="U126" s="4">
        <f>DATE(AJ$2,$Q126,1+(($R126-($S126&gt;=WEEKDAY(DATE(AJ$2,$Q126,1))))*7)+($S126-WEEKDAY(DATE(AJ$2,$Q126,1))))</f>
        <v>46152</v>
      </c>
      <c r="V126" s="20">
        <v>-1</v>
      </c>
      <c r="W126" s="20">
        <v>1</v>
      </c>
      <c r="X126" s="4">
        <f ca="1">Y126-(W126-1)</f>
        <v>46151</v>
      </c>
      <c r="Y126" s="5">
        <f ca="1">IF(OR(T126+V126&lt;(NOW()-0.5),ISNUMBER(SEARCH("&lt;h4&gt;",K126))),U126+V126,T126+V126)</f>
        <v>46151</v>
      </c>
      <c r="Z126" t="str">
        <f ca="1">CONCATENATE(IF(OR(Y126=X126,ISBLANK(Y126)),TEXT(X126,"mmmm d"),CONCATENATE(TEXT(X126,"mmmm d"),"-",IF(TEXT(X126,"mmmm")=TEXT(Y126,"mmmm"),TEXT(Y126,"d"),TEXT(Y126,"mmmm d")))),", ",YEAR(Y126))</f>
        <v>May 9, 2026</v>
      </c>
      <c r="AA126" s="7">
        <f>O126</f>
        <v>45405</v>
      </c>
      <c r="AB126" s="14">
        <f>T126+V126-(W126-1)</f>
        <v>45787</v>
      </c>
      <c r="AC126" t="s">
        <v>1268</v>
      </c>
      <c r="AD126" s="23" t="str">
        <f ca="1">CONCATENATE("&lt;add-to-calendar-button  name=",CHAR(34),H126,CHAR(34),
IF(ISBLANK(M126),"",CONCATENATE("   location=",CHAR(34),RIGHT(M126,LEN(M126)-SEARCH("|",M126)-1),CHAR(34))),
"   description=",CHAR(34),IF(ISBLANK(I126),"",CONCATENATE(I126,"; ")),"shapenotesingings.com",CHAR(34),
"   options=",CHAR(34),"'Apple','Google','iCal','Outlook.com'",CHAR(34),"   styleLight=",CHAR(34),"--btn-background: #550000; --btn-text: #fff; --btn-shadow:#fff;",CHAR(34),
IF(W126=1,CONCATENATE(
"startDate=",CHAR(34),TEXT(G126,"yyyy-mm-dd"),CHAR(34),
"{endDate=",CHAR(34),TEXT(G126,"yyyy-mm-dd"),CHAR(34),
IF(OR(ISBLANK(AE126),ISBLANK(AF126)),"",(CONCATENATE(" startTime=",CHAR(34),TEXT(AE126,"hh:mm"),CHAR(34)," endTime=",CHAR(34),TEXT(AF126,"h:mm"),CHAR(34),
" timeZone=",CHAR(34),AG126,CHAR(34))))),
IF(W126=2,CONCATENATE(" dates='[{",
CHAR(34),"startDate",CHAR(34),":",CHAR(34),TEXT(G126,"yyyy-mm-dd"),CHAR(34),", ",
,CHAR(34),"endDate",CHAR(34),":",CHAR(34),TEXT(G126,"yyyy-mm-dd"),CHAR(34),
IF(OR(ISBLANK(AE126),ISBLANK(AF126)),"",(CONCATENATE(", ",CHAR(34),"startTime",CHAR(34),":",CHAR(34),TEXT(AE126,"hh:mm"),CHAR(34),", ",CHAR(34),"endTime",CHAR(34),":",CHAR(34),TEXT(AF126,"hh:mm"),CHAR(34),", ",CHAR(34),"timeZone",CHAR(34),":",CHAR(34),AG126,CHAR(34)))),"}, {",
,CHAR(34),"startDate",CHAR(34),":",CHAR(34),TEXT(G126+1,"yyyy-mm-dd"),CHAR(34),", ",
,CHAR(34),"endDate",CHAR(34),":",CHAR(34),TEXT(G126+W126-1,"yyyy-mm-dd"),CHAR(34),
IF(OR(ISBLANK(AE126),ISBLANK(AF126)),"",(CONCATENATE(", ",CHAR(34),"startTime",CHAR(34),":",CHAR(34),TEXT(AE126,"hh:mm"),CHAR(34),", ",CHAR(34),"endTime",CHAR(34),":",CHAR(34),TEXT(AF126,"hh:mm"),CHAR(34),", ",CHAR(34),"timeZone",CHAR(34),":",CHAR(34),AG126,CHAR(34)))),"}]'"),
CONCATENATE(
"{  startDate=",CHAR(34),TEXT(G126,"yyyy-mm-dd"),CHAR(34),
"  endDate=",CHAR(34),TEXT(G126+W126-1,"yyyy-mm-dd"),CHAR(34),"}"))),
" &gt;&lt;/add-to-calendar-button&gt;")</f>
        <v>&lt;add-to-calendar-button  name="Memphis Singing"   location="Grace Chapel Primitive Baptist Church, 838 Berclair Road, Memphis, Tennessee"   description="10am; shapenotesingings.com"   options="'Apple','Google','iCal','Outlook.com'"   styleLight="--btn-background: #550000; --btn-text: #fff; --btn-shadow:#fff;"startDate="2026-05-09"{endDate="2026-05-09" startTime="10:00" endTime="15:00" timeZone="America/Chicago" &gt;&lt;/add-to-calendar-button&gt;</v>
      </c>
      <c r="AE126" s="24">
        <v>0.41666666666666669</v>
      </c>
      <c r="AF126" s="24">
        <v>0.625</v>
      </c>
      <c r="AG126" s="25" t="s">
        <v>1533</v>
      </c>
    </row>
    <row r="127" spans="1:33" x14ac:dyDescent="0.3">
      <c r="A127" t="s">
        <v>8</v>
      </c>
      <c r="B127" t="s">
        <v>260</v>
      </c>
      <c r="C127" t="s">
        <v>1149</v>
      </c>
      <c r="D127" t="s">
        <v>376</v>
      </c>
      <c r="E127" t="s">
        <v>2178</v>
      </c>
      <c r="F127" t="s">
        <v>53</v>
      </c>
      <c r="G127" s="7">
        <f ca="1">X127</f>
        <v>46151</v>
      </c>
      <c r="H127" s="5" t="s">
        <v>375</v>
      </c>
      <c r="I127" t="s">
        <v>1045</v>
      </c>
      <c r="J127" s="36" t="s">
        <v>2686</v>
      </c>
      <c r="L127" t="s">
        <v>2049</v>
      </c>
      <c r="M127" s="16" t="s">
        <v>377</v>
      </c>
      <c r="N127" s="16" t="s">
        <v>378</v>
      </c>
      <c r="O127" s="7">
        <v>44936</v>
      </c>
      <c r="P127" s="7" t="s">
        <v>926</v>
      </c>
      <c r="Q127" s="18">
        <v>5</v>
      </c>
      <c r="R127" s="18">
        <v>2</v>
      </c>
      <c r="S127" s="18">
        <v>1</v>
      </c>
      <c r="T127" s="4">
        <f>DATE(AI$2,$Q127,1+(($R127-($S127&gt;=WEEKDAY(DATE(AI$2,$Q127,1))))*7)+($S127-WEEKDAY(DATE(AI$2,$Q127,1))))</f>
        <v>45788</v>
      </c>
      <c r="U127" s="4">
        <f>DATE(AJ$2,$Q127,1+(($R127-($S127&gt;=WEEKDAY(DATE(AJ$2,$Q127,1))))*7)+($S127-WEEKDAY(DATE(AJ$2,$Q127,1))))</f>
        <v>46152</v>
      </c>
      <c r="V127" s="20">
        <v>-1</v>
      </c>
      <c r="W127" s="20">
        <v>1</v>
      </c>
      <c r="X127" s="4">
        <f ca="1">Y127-(W127-1)</f>
        <v>46151</v>
      </c>
      <c r="Y127" s="5">
        <f ca="1">IF(OR(T127+V127&lt;(NOW()-0.5),ISNUMBER(SEARCH("&lt;h4&gt;",K127))),U127+V127,T127+V127)</f>
        <v>46151</v>
      </c>
      <c r="Z127" t="str">
        <f ca="1">CONCATENATE(IF(OR(Y127=X127,ISBLANK(Y127)),TEXT(X127,"mmmm d"),CONCATENATE(TEXT(X127,"mmmm d"),"-",IF(TEXT(X127,"mmmm")=TEXT(Y127,"mmmm"),TEXT(Y127,"d"),TEXT(Y127,"mmmm d")))),", ",YEAR(Y127))</f>
        <v>May 9, 2026</v>
      </c>
      <c r="AA127" s="7">
        <f>O127</f>
        <v>44936</v>
      </c>
      <c r="AB127" s="14">
        <f>T127+V127-(W127-1)</f>
        <v>45787</v>
      </c>
      <c r="AC127" t="s">
        <v>1266</v>
      </c>
      <c r="AD127" s="23" t="str">
        <f ca="1">CONCATENATE("&lt;add-to-calendar-button  name=",CHAR(34),H127,CHAR(34),
IF(ISBLANK(M127),"",CONCATENATE("   location=",CHAR(34),RIGHT(M127,LEN(M127)-SEARCH("|",M127)-1),CHAR(34))),
"   description=",CHAR(34),IF(ISBLANK(I127),"",CONCATENATE(I127,"; ")),"shapenotesingings.com",CHAR(34),
"   options=",CHAR(34),"'Apple','Google','iCal','Outlook.com'",CHAR(34),"   styleLight=",CHAR(34),"--btn-background: #550000; --btn-text: #fff; --btn-shadow:#fff;",CHAR(34),
IF(W127=1,CONCATENATE(
"startDate=",CHAR(34),TEXT(G127,"yyyy-mm-dd"),CHAR(34),
"{endDate=",CHAR(34),TEXT(G127,"yyyy-mm-dd"),CHAR(34),
IF(OR(ISBLANK(AE127),ISBLANK(AF127)),"",(CONCATENATE(" startTime=",CHAR(34),TEXT(AE127,"hh:mm"),CHAR(34)," endTime=",CHAR(34),TEXT(AF127,"h:mm"),CHAR(34),
" timeZone=",CHAR(34),AG127,CHAR(34))))),
IF(W127=2,CONCATENATE(" dates='[{",
CHAR(34),"startDate",CHAR(34),":",CHAR(34),TEXT(G127,"yyyy-mm-dd"),CHAR(34),", ",
,CHAR(34),"endDate",CHAR(34),":",CHAR(34),TEXT(G127,"yyyy-mm-dd"),CHAR(34),
IF(OR(ISBLANK(AE127),ISBLANK(AF127)),"",(CONCATENATE(", ",CHAR(34),"startTime",CHAR(34),":",CHAR(34),TEXT(AE127,"hh:mm"),CHAR(34),", ",CHAR(34),"endTime",CHAR(34),":",CHAR(34),TEXT(AF127,"hh:mm"),CHAR(34),", ",CHAR(34),"timeZone",CHAR(34),":",CHAR(34),AG127,CHAR(34)))),"}, {",
,CHAR(34),"startDate",CHAR(34),":",CHAR(34),TEXT(G127+1,"yyyy-mm-dd"),CHAR(34),", ",
,CHAR(34),"endDate",CHAR(34),":",CHAR(34),TEXT(G127+W127-1,"yyyy-mm-dd"),CHAR(34),
IF(OR(ISBLANK(AE127),ISBLANK(AF127)),"",(CONCATENATE(", ",CHAR(34),"startTime",CHAR(34),":",CHAR(34),TEXT(AE127,"hh:mm"),CHAR(34),", ",CHAR(34),"endTime",CHAR(34),":",CHAR(34),TEXT(AF127,"hh:mm"),CHAR(34),", ",CHAR(34),"timeZone",CHAR(34),":",CHAR(34),AG127,CHAR(34)))),"}]'"),
CONCATENATE(
"{  startDate=",CHAR(34),TEXT(G127,"yyyy-mm-dd"),CHAR(34),
"  endDate=",CHAR(34),TEXT(G127+W127-1,"yyyy-mm-dd"),CHAR(34),"}"))),
" &gt;&lt;/add-to-calendar-button&gt;")</f>
        <v>&lt;add-to-calendar-button  name="Mid-Michigan Singing"   location="Faith Lutheran Church, 4515 Dobie Rd, Okemos, MI 48864"   description="9:30am-3:30pm; shapenotesingings.com"   options="'Apple','Google','iCal','Outlook.com'"   styleLight="--btn-background: #550000; --btn-text: #fff; --btn-shadow:#fff;"startDate="2026-05-09"{endDate="2026-05-09" startTime="09:30" endTime="15:00" timeZone="America/New_York" &gt;&lt;/add-to-calendar-button&gt;</v>
      </c>
      <c r="AE127" s="24">
        <v>0.39583333333333331</v>
      </c>
      <c r="AF127" s="24">
        <v>0.625</v>
      </c>
      <c r="AG127" s="25" t="s">
        <v>1532</v>
      </c>
    </row>
    <row r="128" spans="1:33" x14ac:dyDescent="0.3">
      <c r="A128" t="s">
        <v>8</v>
      </c>
      <c r="B128" t="s">
        <v>11</v>
      </c>
      <c r="C128" t="s">
        <v>1134</v>
      </c>
      <c r="D128" t="s">
        <v>383</v>
      </c>
      <c r="E128" t="s">
        <v>2178</v>
      </c>
      <c r="F128" t="s">
        <v>385</v>
      </c>
      <c r="G128" s="7">
        <f ca="1">X128</f>
        <v>45794</v>
      </c>
      <c r="H128" s="5" t="s">
        <v>1583</v>
      </c>
      <c r="I128" t="s">
        <v>1028</v>
      </c>
      <c r="J128" s="36" t="s">
        <v>2687</v>
      </c>
      <c r="L128" t="s">
        <v>2071</v>
      </c>
      <c r="M128" s="16" t="s">
        <v>1005</v>
      </c>
      <c r="N128" s="16" t="s">
        <v>384</v>
      </c>
      <c r="O128" s="7">
        <v>44927</v>
      </c>
      <c r="P128" s="7" t="s">
        <v>926</v>
      </c>
      <c r="Q128" s="18">
        <v>5</v>
      </c>
      <c r="R128" s="18">
        <v>3</v>
      </c>
      <c r="S128" s="18">
        <v>1</v>
      </c>
      <c r="T128" s="4">
        <f>DATE(AI$2,$Q128,1+(($R128-($S128&gt;=WEEKDAY(DATE(AI$2,$Q128,1))))*7)+($S128-WEEKDAY(DATE(AI$2,$Q128,1))))</f>
        <v>45795</v>
      </c>
      <c r="U128" s="4">
        <f>DATE(AJ$2,$Q128,1+(($R128-($S128&gt;=WEEKDAY(DATE(AJ$2,$Q128,1))))*7)+($S128-WEEKDAY(DATE(AJ$2,$Q128,1))))</f>
        <v>46159</v>
      </c>
      <c r="V128" s="20">
        <v>-1</v>
      </c>
      <c r="W128" s="20">
        <v>1</v>
      </c>
      <c r="X128" s="4">
        <f ca="1">Y128-(W128-1)</f>
        <v>45794</v>
      </c>
      <c r="Y128" s="5">
        <f ca="1">IF(OR(T128+V128&lt;(NOW()-0.5),ISNUMBER(SEARCH("&lt;h4&gt;",K128))),U128+V128,T128+V128)</f>
        <v>45794</v>
      </c>
      <c r="Z128" t="str">
        <f ca="1">CONCATENATE(IF(OR(Y128=X128,ISBLANK(Y128)),TEXT(X128,"mmmm d"),CONCATENATE(TEXT(X128,"mmmm d"),"-",IF(TEXT(X128,"mmmm")=TEXT(Y128,"mmmm"),TEXT(Y128,"d"),TEXT(Y128,"mmmm d")))),", ",YEAR(Y128))</f>
        <v>May 17, 2025</v>
      </c>
      <c r="AA128" s="7">
        <f>O128</f>
        <v>44927</v>
      </c>
      <c r="AB128" s="14">
        <f>T128+V128-(W128-1)</f>
        <v>45794</v>
      </c>
      <c r="AC128" t="s">
        <v>1270</v>
      </c>
      <c r="AD128" s="23" t="str">
        <f ca="1">CONCATENATE("&lt;add-to-calendar-button  name=",CHAR(34),H128,CHAR(34),
IF(ISBLANK(M128),"",CONCATENATE("   location=",CHAR(34),RIGHT(M128,LEN(M128)-SEARCH("|",M128)-1),CHAR(34))),
"   description=",CHAR(34),IF(ISBLANK(I128),"",CONCATENATE(I128,"; ")),"shapenotesingings.com",CHAR(34),
"   options=",CHAR(34),"'Apple','Google','iCal','Outlook.com'",CHAR(34),"   styleLight=",CHAR(34),"--btn-background: #550000; --btn-text: #fff; --btn-shadow:#fff;",CHAR(34),
IF(W128=1,CONCATENATE(
"startDate=",CHAR(34),TEXT(G128,"yyyy-mm-dd"),CHAR(34),
"{endDate=",CHAR(34),TEXT(G128,"yyyy-mm-dd"),CHAR(34),
IF(OR(ISBLANK(AE128),ISBLANK(AF128)),"",(CONCATENATE(" startTime=",CHAR(34),TEXT(AE128,"hh:mm"),CHAR(34)," endTime=",CHAR(34),TEXT(AF128,"h:mm"),CHAR(34),
" timeZone=",CHAR(34),AG128,CHAR(34))))),
IF(W128=2,CONCATENATE(" dates='[{",
CHAR(34),"startDate",CHAR(34),":",CHAR(34),TEXT(G128,"yyyy-mm-dd"),CHAR(34),", ",
,CHAR(34),"endDate",CHAR(34),":",CHAR(34),TEXT(G128,"yyyy-mm-dd"),CHAR(34),
IF(OR(ISBLANK(AE128),ISBLANK(AF128)),"",(CONCATENATE(", ",CHAR(34),"startTime",CHAR(34),":",CHAR(34),TEXT(AE128,"hh:mm"),CHAR(34),", ",CHAR(34),"endTime",CHAR(34),":",CHAR(34),TEXT(AF128,"hh:mm"),CHAR(34),", ",CHAR(34),"timeZone",CHAR(34),":",CHAR(34),AG128,CHAR(34)))),"}, {",
,CHAR(34),"startDate",CHAR(34),":",CHAR(34),TEXT(G128+1,"yyyy-mm-dd"),CHAR(34),", ",
,CHAR(34),"endDate",CHAR(34),":",CHAR(34),TEXT(G128+W128-1,"yyyy-mm-dd"),CHAR(34),
IF(OR(ISBLANK(AE128),ISBLANK(AF128)),"",(CONCATENATE(", ",CHAR(34),"startTime",CHAR(34),":",CHAR(34),TEXT(AE128,"hh:mm"),CHAR(34),", ",CHAR(34),"endTime",CHAR(34),":",CHAR(34),TEXT(AF128,"hh:mm"),CHAR(34),", ",CHAR(34),"timeZone",CHAR(34),":",CHAR(34),AG128,CHAR(34)))),"}]'"),
CONCATENATE(
"{  startDate=",CHAR(34),TEXT(G128,"yyyy-mm-dd"),CHAR(34),
"  endDate=",CHAR(34),TEXT(G128+W128-1,"yyyy-mm-dd"),CHAR(34),"}"))),
" &gt;&lt;/add-to-calendar-button&gt;")</f>
        <v>&lt;add-to-calendar-button  name="Providence Singing"   location="Mt Olive at Providence Primitive Baptist Church, CR 1428, Vinemont AL"   description="10am; shapenotesingings.com"   options="'Apple','Google','iCal','Outlook.com'"   styleLight="--btn-background: #550000; --btn-text: #fff; --btn-shadow:#fff;"startDate="2025-05-17"{endDate="2025-05-17" startTime="10:00" endTime="15:00" timeZone="America/Chicago" &gt;&lt;/add-to-calendar-button&gt;</v>
      </c>
      <c r="AE128" s="24">
        <v>0.41666666666666669</v>
      </c>
      <c r="AF128" s="24">
        <v>0.625</v>
      </c>
      <c r="AG128" s="25" t="s">
        <v>1533</v>
      </c>
    </row>
    <row r="129" spans="1:33" x14ac:dyDescent="0.3">
      <c r="A129" t="s">
        <v>8</v>
      </c>
      <c r="B129" t="s">
        <v>1906</v>
      </c>
      <c r="C129" t="s">
        <v>1907</v>
      </c>
      <c r="D129" t="s">
        <v>2837</v>
      </c>
      <c r="E129" t="s">
        <v>2178</v>
      </c>
      <c r="F129" t="s">
        <v>385</v>
      </c>
      <c r="G129" s="7">
        <f ca="1">X129</f>
        <v>45794</v>
      </c>
      <c r="H129" s="5" t="s">
        <v>2838</v>
      </c>
      <c r="I129" t="s">
        <v>1051</v>
      </c>
      <c r="L129" t="s">
        <v>2895</v>
      </c>
      <c r="M129" s="16" t="s">
        <v>2842</v>
      </c>
      <c r="N129" s="16" t="s">
        <v>2840</v>
      </c>
      <c r="O129" s="7">
        <v>45725</v>
      </c>
      <c r="P129" s="7" t="s">
        <v>2839</v>
      </c>
      <c r="Q129" s="18">
        <v>5</v>
      </c>
      <c r="R129" s="18">
        <v>3</v>
      </c>
      <c r="S129" s="18">
        <v>1</v>
      </c>
      <c r="T129" s="4">
        <f>DATE(AI$2,$Q129,1+(($R129-($S129&gt;=WEEKDAY(DATE(AI$2,$Q129,1))))*7)+($S129-WEEKDAY(DATE(AI$2,$Q129,1))))</f>
        <v>45795</v>
      </c>
      <c r="U129" s="4">
        <f>DATE(AJ$2,$Q129,1+(($R129-($S129&gt;=WEEKDAY(DATE(AJ$2,$Q129,1))))*7)+($S129-WEEKDAY(DATE(AJ$2,$Q129,1))))</f>
        <v>46159</v>
      </c>
      <c r="V129" s="20">
        <v>-1</v>
      </c>
      <c r="W129" s="20">
        <v>1</v>
      </c>
      <c r="X129" s="4">
        <f ca="1">Y129-(W129-1)</f>
        <v>45794</v>
      </c>
      <c r="Y129" s="5">
        <f ca="1">IF(OR(T129+V129&lt;(NOW()-0.5),ISNUMBER(SEARCH("&lt;h4&gt;",K129))),U129+V129,T129+V129)</f>
        <v>45794</v>
      </c>
      <c r="Z129" t="str">
        <f ca="1">CONCATENATE(IF(OR(Y129=X129,ISBLANK(Y129)),TEXT(X129,"mmmm d"),CONCATENATE(TEXT(X129,"mmmm d"),"-",IF(TEXT(X129,"mmmm")=TEXT(Y129,"mmmm"),TEXT(Y129,"d"),TEXT(Y129,"mmmm d")))),", ",YEAR(Y129))</f>
        <v>May 17, 2025</v>
      </c>
      <c r="AA129" s="7">
        <f>O129</f>
        <v>45725</v>
      </c>
      <c r="AB129" s="14">
        <f>T129+V129-(W129-1)</f>
        <v>45794</v>
      </c>
      <c r="AC129" t="s">
        <v>2841</v>
      </c>
      <c r="AD129" s="23" t="str">
        <f ca="1">CONCATENATE("&lt;add-to-calendar-button  name=",CHAR(34),H129,CHAR(34),
IF(ISBLANK(M129),"",CONCATENATE("   location=",CHAR(34),RIGHT(M129,LEN(M129)-SEARCH("|",M129)-1),CHAR(34))),
"   description=",CHAR(34),IF(ISBLANK(I129),"",CONCATENATE(I129,"; ")),"shapenotesingings.com",CHAR(34),
"   options=",CHAR(34),"'Apple','Google','iCal','Outlook.com'",CHAR(34),"   styleLight=",CHAR(34),"--btn-background: #550000; --btn-text: #fff; --btn-shadow:#fff;",CHAR(34),
IF(W129=1,CONCATENATE(
"startDate=",CHAR(34),TEXT(G129,"yyyy-mm-dd"),CHAR(34),
"{endDate=",CHAR(34),TEXT(G129,"yyyy-mm-dd"),CHAR(34),
IF(OR(ISBLANK(AE129),ISBLANK(AF129)),"",(CONCATENATE(" startTime=",CHAR(34),TEXT(AE129,"hh:mm"),CHAR(34)," endTime=",CHAR(34),TEXT(AF129,"h:mm"),CHAR(34),
" timeZone=",CHAR(34),AG129,CHAR(34))))),
IF(W129=2,CONCATENATE(" dates='[{",
CHAR(34),"startDate",CHAR(34),":",CHAR(34),TEXT(G129,"yyyy-mm-dd"),CHAR(34),", ",
,CHAR(34),"endDate",CHAR(34),":",CHAR(34),TEXT(G129,"yyyy-mm-dd"),CHAR(34),
IF(OR(ISBLANK(AE129),ISBLANK(AF129)),"",(CONCATENATE(", ",CHAR(34),"startTime",CHAR(34),":",CHAR(34),TEXT(AE129,"hh:mm"),CHAR(34),", ",CHAR(34),"endTime",CHAR(34),":",CHAR(34),TEXT(AF129,"hh:mm"),CHAR(34),", ",CHAR(34),"timeZone",CHAR(34),":",CHAR(34),AG129,CHAR(34)))),"}, {",
,CHAR(34),"startDate",CHAR(34),":",CHAR(34),TEXT(G129+1,"yyyy-mm-dd"),CHAR(34),", ",
,CHAR(34),"endDate",CHAR(34),":",CHAR(34),TEXT(G129+W129-1,"yyyy-mm-dd"),CHAR(34),
IF(OR(ISBLANK(AE129),ISBLANK(AF129)),"",(CONCATENATE(", ",CHAR(34),"startTime",CHAR(34),":",CHAR(34),TEXT(AE129,"hh:mm"),CHAR(34),", ",CHAR(34),"endTime",CHAR(34),":",CHAR(34),TEXT(AF129,"hh:mm"),CHAR(34),", ",CHAR(34),"timeZone",CHAR(34),":",CHAR(34),AG129,CHAR(34)))),"}]'"),
CONCATENATE(
"{  startDate=",CHAR(34),TEXT(G129,"yyyy-mm-dd"),CHAR(34),
"  endDate=",CHAR(34),TEXT(G129+W129-1,"yyyy-mm-dd"),CHAR(34),"}"))),
" &gt;&lt;/add-to-calendar-button&gt;")</f>
        <v>&lt;add-to-calendar-button  name="Tulsa All Day Singing"   location="Saint Cecilia's Listening Room, 205 W King St, Tulsa, OK 74106"   description="9:30am-2:30pm; shapenotesingings.com"   options="'Apple','Google','iCal','Outlook.com'"   styleLight="--btn-background: #550000; --btn-text: #fff; --btn-shadow:#fff;"startDate="2025-05-17"{endDate="2025-05-17" startTime="09:30" endTime="14:30" timeZone="America/Chicago" &gt;&lt;/add-to-calendar-button&gt;</v>
      </c>
      <c r="AE129" s="24">
        <v>0.39583333333333331</v>
      </c>
      <c r="AF129" s="24">
        <v>0.60416666666666663</v>
      </c>
      <c r="AG129" s="25" t="s">
        <v>1533</v>
      </c>
    </row>
    <row r="130" spans="1:33" x14ac:dyDescent="0.3">
      <c r="A130" t="s">
        <v>8</v>
      </c>
      <c r="B130" t="s">
        <v>357</v>
      </c>
      <c r="C130" t="s">
        <v>1143</v>
      </c>
      <c r="D130" t="s">
        <v>387</v>
      </c>
      <c r="E130" t="s">
        <v>2185</v>
      </c>
      <c r="F130" t="s">
        <v>385</v>
      </c>
      <c r="G130" s="7">
        <f ca="1">X130</f>
        <v>45794</v>
      </c>
      <c r="H130" s="5" t="s">
        <v>386</v>
      </c>
      <c r="I130" t="s">
        <v>1037</v>
      </c>
      <c r="J130" s="36" t="s">
        <v>2688</v>
      </c>
      <c r="L130" t="s">
        <v>2079</v>
      </c>
      <c r="M130" s="16" t="s">
        <v>388</v>
      </c>
      <c r="N130" s="16" t="s">
        <v>389</v>
      </c>
      <c r="O130" s="7">
        <v>44966</v>
      </c>
      <c r="P130" s="7" t="s">
        <v>1061</v>
      </c>
      <c r="Q130" s="18">
        <v>5</v>
      </c>
      <c r="R130" s="18">
        <v>3</v>
      </c>
      <c r="S130" s="18">
        <v>1</v>
      </c>
      <c r="T130" s="4">
        <f>DATE(AI$2,$Q130,1+(($R130-($S130&gt;=WEEKDAY(DATE(AI$2,$Q130,1))))*7)+($S130-WEEKDAY(DATE(AI$2,$Q130,1))))</f>
        <v>45795</v>
      </c>
      <c r="U130" s="4">
        <f>DATE(AJ$2,$Q130,1+(($R130-($S130&gt;=WEEKDAY(DATE(AJ$2,$Q130,1))))*7)+($S130-WEEKDAY(DATE(AJ$2,$Q130,1))))</f>
        <v>46159</v>
      </c>
      <c r="V130" s="20">
        <v>-1</v>
      </c>
      <c r="W130" s="20">
        <v>1</v>
      </c>
      <c r="X130" s="4">
        <f ca="1">Y130-(W130-1)</f>
        <v>45794</v>
      </c>
      <c r="Y130" s="5">
        <f ca="1">IF(OR(T130+V130&lt;(NOW()-0.5),ISNUMBER(SEARCH("&lt;h4&gt;",K130))),U130+V130,T130+V130)</f>
        <v>45794</v>
      </c>
      <c r="Z130" t="str">
        <f ca="1">CONCATENATE(IF(OR(Y130=X130,ISBLANK(Y130)),TEXT(X130,"mmmm d"),CONCATENATE(TEXT(X130,"mmmm d"),"-",IF(TEXT(X130,"mmmm")=TEXT(Y130,"mmmm"),TEXT(Y130,"d"),TEXT(Y130,"mmmm d")))),", ",YEAR(Y130))</f>
        <v>May 17, 2025</v>
      </c>
      <c r="AA130" s="7">
        <f>O130</f>
        <v>44966</v>
      </c>
      <c r="AB130" s="14">
        <f>T130+V130-(W130-1)</f>
        <v>45794</v>
      </c>
      <c r="AC130" t="s">
        <v>1271</v>
      </c>
      <c r="AD130" s="23" t="str">
        <f ca="1">CONCATENATE("&lt;add-to-calendar-button  name=",CHAR(34),H130,CHAR(34),
IF(ISBLANK(M130),"",CONCATENATE("   location=",CHAR(34),RIGHT(M130,LEN(M130)-SEARCH("|",M130)-1),CHAR(34))),
"   description=",CHAR(34),IF(ISBLANK(I130),"",CONCATENATE(I130,"; ")),"shapenotesingings.com",CHAR(34),
"   options=",CHAR(34),"'Apple','Google','iCal','Outlook.com'",CHAR(34),"   styleLight=",CHAR(34),"--btn-background: #550000; --btn-text: #fff; --btn-shadow:#fff;",CHAR(34),
IF(W130=1,CONCATENATE(
"startDate=",CHAR(34),TEXT(G130,"yyyy-mm-dd"),CHAR(34),
"{endDate=",CHAR(34),TEXT(G130,"yyyy-mm-dd"),CHAR(34),
IF(OR(ISBLANK(AE130),ISBLANK(AF130)),"",(CONCATENATE(" startTime=",CHAR(34),TEXT(AE130,"hh:mm"),CHAR(34)," endTime=",CHAR(34),TEXT(AF130,"h:mm"),CHAR(34),
" timeZone=",CHAR(34),AG130,CHAR(34))))),
IF(W130=2,CONCATENATE(" dates='[{",
CHAR(34),"startDate",CHAR(34),":",CHAR(34),TEXT(G130,"yyyy-mm-dd"),CHAR(34),", ",
,CHAR(34),"endDate",CHAR(34),":",CHAR(34),TEXT(G130,"yyyy-mm-dd"),CHAR(34),
IF(OR(ISBLANK(AE130),ISBLANK(AF130)),"",(CONCATENATE(", ",CHAR(34),"startTime",CHAR(34),":",CHAR(34),TEXT(AE130,"hh:mm"),CHAR(34),", ",CHAR(34),"endTime",CHAR(34),":",CHAR(34),TEXT(AF130,"hh:mm"),CHAR(34),", ",CHAR(34),"timeZone",CHAR(34),":",CHAR(34),AG130,CHAR(34)))),"}, {",
,CHAR(34),"startDate",CHAR(34),":",CHAR(34),TEXT(G130+1,"yyyy-mm-dd"),CHAR(34),", ",
,CHAR(34),"endDate",CHAR(34),":",CHAR(34),TEXT(G130+W130-1,"yyyy-mm-dd"),CHAR(34),
IF(OR(ISBLANK(AE130),ISBLANK(AF130)),"",(CONCATENATE(", ",CHAR(34),"startTime",CHAR(34),":",CHAR(34),TEXT(AE130,"hh:mm"),CHAR(34),", ",CHAR(34),"endTime",CHAR(34),":",CHAR(34),TEXT(AF130,"hh:mm"),CHAR(34),", ",CHAR(34),"timeZone",CHAR(34),":",CHAR(34),AG130,CHAR(34)))),"}]'"),
CONCATENATE(
"{  startDate=",CHAR(34),TEXT(G130,"yyyy-mm-dd"),CHAR(34),
"  endDate=",CHAR(34),TEXT(G130+W130-1,"yyyy-mm-dd"),CHAR(34),"}"))),
" &gt;&lt;/add-to-calendar-button&gt;")</f>
        <v>&lt;add-to-calendar-button  name="Kentucky State Sacred Harp Convention"   location="Pisgah Presbyterian Church, 710 Pisgah Pike, Versailles, KY 40383"   description="10am-3pm; shapenotesingings.com"   options="'Apple','Google','iCal','Outlook.com'"   styleLight="--btn-background: #550000; --btn-text: #fff; --btn-shadow:#fff;"startDate="2025-05-17"{endDate="2025-05-17" startTime="10:00" endTime="15:00" timeZone="America/New_York" &gt;&lt;/add-to-calendar-button&gt;</v>
      </c>
      <c r="AE130" s="24">
        <v>0.41666666666666669</v>
      </c>
      <c r="AF130" s="24">
        <v>0.625</v>
      </c>
      <c r="AG130" s="25" t="s">
        <v>1532</v>
      </c>
    </row>
    <row r="131" spans="1:33" x14ac:dyDescent="0.3">
      <c r="A131" t="s">
        <v>8</v>
      </c>
      <c r="B131" t="s">
        <v>102</v>
      </c>
      <c r="C131" t="s">
        <v>1064</v>
      </c>
      <c r="D131" t="s">
        <v>1503</v>
      </c>
      <c r="E131" t="s">
        <v>1508</v>
      </c>
      <c r="F131" t="s">
        <v>385</v>
      </c>
      <c r="G131" s="7">
        <f ca="1">X131</f>
        <v>45794</v>
      </c>
      <c r="H131" s="5" t="s">
        <v>1504</v>
      </c>
      <c r="I131" t="s">
        <v>1037</v>
      </c>
      <c r="K131" t="s">
        <v>2045</v>
      </c>
      <c r="L131" t="s">
        <v>2044</v>
      </c>
      <c r="M131" s="16" t="s">
        <v>1505</v>
      </c>
      <c r="N131" s="16" t="s">
        <v>1506</v>
      </c>
      <c r="O131" s="7">
        <v>45306</v>
      </c>
      <c r="P131" s="7" t="s">
        <v>1887</v>
      </c>
      <c r="Q131" s="18">
        <v>5</v>
      </c>
      <c r="R131" s="18">
        <v>3</v>
      </c>
      <c r="S131" s="18">
        <v>1</v>
      </c>
      <c r="T131" s="4">
        <f>DATE(AI$2,$Q131,1+(($R131-($S131&gt;=WEEKDAY(DATE(AI$2,$Q131,1))))*7)+($S131-WEEKDAY(DATE(AI$2,$Q131,1))))</f>
        <v>45795</v>
      </c>
      <c r="U131" s="4">
        <f>DATE(AJ$2,$Q131,1+(($R131-($S131&gt;=WEEKDAY(DATE(AJ$2,$Q131,1))))*7)+($S131-WEEKDAY(DATE(AJ$2,$Q131,1))))</f>
        <v>46159</v>
      </c>
      <c r="V131" s="20">
        <v>-1</v>
      </c>
      <c r="W131" s="20">
        <v>1</v>
      </c>
      <c r="X131" s="4">
        <f ca="1">Y131-(W131-1)</f>
        <v>45794</v>
      </c>
      <c r="Y131" s="5">
        <f ca="1">IF(OR(T131+V131&lt;(NOW()-0.5),ISNUMBER(SEARCH("&lt;h4&gt;",K131))),U131+V131,T131+V131)</f>
        <v>45794</v>
      </c>
      <c r="Z131" t="str">
        <f ca="1">CONCATENATE(IF(OR(Y131=X131,ISBLANK(Y131)),TEXT(X131,"mmmm d"),CONCATENATE(TEXT(X131,"mmmm d"),"-",IF(TEXT(X131,"mmmm")=TEXT(Y131,"mmmm"),TEXT(Y131,"d"),TEXT(Y131,"mmmm d")))),", ",YEAR(Y131))</f>
        <v>May 17, 2025</v>
      </c>
      <c r="AA131" s="7">
        <f>O131</f>
        <v>45306</v>
      </c>
      <c r="AB131" s="14">
        <f>T131+V131-(W131-1)</f>
        <v>45794</v>
      </c>
      <c r="AC131" t="s">
        <v>1507</v>
      </c>
      <c r="AD131" s="23" t="str">
        <f ca="1">CONCATENATE("&lt;add-to-calendar-button  name=",CHAR(34),H131,CHAR(34),
IF(ISBLANK(M131),"",CONCATENATE("   location=",CHAR(34),RIGHT(M131,LEN(M131)-SEARCH("|",M131)-1),CHAR(34))),
"   description=",CHAR(34),IF(ISBLANK(I131),"",CONCATENATE(I131,"; ")),"shapenotesingings.com",CHAR(34),
"   options=",CHAR(34),"'Apple','Google','iCal','Outlook.com'",CHAR(34),"   styleLight=",CHAR(34),"--btn-background: #550000; --btn-text: #fff; --btn-shadow:#fff;",CHAR(34),
IF(W131=1,CONCATENATE(
"startDate=",CHAR(34),TEXT(G131,"yyyy-mm-dd"),CHAR(34),
"{endDate=",CHAR(34),TEXT(G131,"yyyy-mm-dd"),CHAR(34),
IF(OR(ISBLANK(AE131),ISBLANK(AF131)),"",(CONCATENATE(" startTime=",CHAR(34),TEXT(AE131,"hh:mm"),CHAR(34)," endTime=",CHAR(34),TEXT(AF131,"h:mm"),CHAR(34),
" timeZone=",CHAR(34),AG131,CHAR(34))))),
IF(W131=2,CONCATENATE(" dates='[{",
CHAR(34),"startDate",CHAR(34),":",CHAR(34),TEXT(G131,"yyyy-mm-dd"),CHAR(34),", ",
,CHAR(34),"endDate",CHAR(34),":",CHAR(34),TEXT(G131,"yyyy-mm-dd"),CHAR(34),
IF(OR(ISBLANK(AE131),ISBLANK(AF131)),"",(CONCATENATE(", ",CHAR(34),"startTime",CHAR(34),":",CHAR(34),TEXT(AE131,"hh:mm"),CHAR(34),", ",CHAR(34),"endTime",CHAR(34),":",CHAR(34),TEXT(AF131,"hh:mm"),CHAR(34),", ",CHAR(34),"timeZone",CHAR(34),":",CHAR(34),AG131,CHAR(34)))),"}, {",
,CHAR(34),"startDate",CHAR(34),":",CHAR(34),TEXT(G131+1,"yyyy-mm-dd"),CHAR(34),", ",
,CHAR(34),"endDate",CHAR(34),":",CHAR(34),TEXT(G131+W131-1,"yyyy-mm-dd"),CHAR(34),
IF(OR(ISBLANK(AE131),ISBLANK(AF131)),"",(CONCATENATE(", ",CHAR(34),"startTime",CHAR(34),":",CHAR(34),TEXT(AE131,"hh:mm"),CHAR(34),", ",CHAR(34),"endTime",CHAR(34),":",CHAR(34),TEXT(AF131,"hh:mm"),CHAR(34),", ",CHAR(34),"timeZone",CHAR(34),":",CHAR(34),AG131,CHAR(34)))),"}]'"),
CONCATENATE(
"{  startDate=",CHAR(34),TEXT(G131,"yyyy-mm-dd"),CHAR(34),
"  endDate=",CHAR(34),TEXT(G131+W131-1,"yyyy-mm-dd"),CHAR(34),"}"))),
" &gt;&lt;/add-to-calendar-button&gt;")</f>
        <v>&lt;add-to-calendar-button  name="Tallahassee Sacred Harp Convention"   location="Fort Braden Community Center, 16387 Blountstown Hwy, Tallahassee, FL 32310"   description="10am-3pm; shapenotesingings.com"   options="'Apple','Google','iCal','Outlook.com'"   styleLight="--btn-background: #550000; --btn-text: #fff; --btn-shadow:#fff;"startDate="2025-05-17"{endDate="2025-05-17" startTime="10:00" endTime="15:00" timeZone="America/New_York" &gt;&lt;/add-to-calendar-button&gt;</v>
      </c>
      <c r="AE131" s="24">
        <v>0.41666666666666669</v>
      </c>
      <c r="AF131" s="24">
        <v>0.625</v>
      </c>
      <c r="AG131" s="25" t="s">
        <v>1532</v>
      </c>
    </row>
    <row r="132" spans="1:33" x14ac:dyDescent="0.3">
      <c r="A132" t="s">
        <v>8</v>
      </c>
      <c r="B132" t="s">
        <v>333</v>
      </c>
      <c r="C132" t="s">
        <v>452</v>
      </c>
      <c r="D132" t="s">
        <v>632</v>
      </c>
      <c r="E132" t="s">
        <v>1435</v>
      </c>
      <c r="F132" t="s">
        <v>385</v>
      </c>
      <c r="G132" s="7">
        <f ca="1">X132</f>
        <v>45794</v>
      </c>
      <c r="H132" s="5" t="s">
        <v>2592</v>
      </c>
      <c r="I132" t="s">
        <v>1101</v>
      </c>
      <c r="J132" s="36" t="s">
        <v>2593</v>
      </c>
      <c r="L132" t="s">
        <v>2960</v>
      </c>
      <c r="M132" s="16" t="s">
        <v>2954</v>
      </c>
      <c r="N132" s="16" t="s">
        <v>2955</v>
      </c>
      <c r="O132" s="7">
        <v>45773</v>
      </c>
      <c r="P132" s="7" t="s">
        <v>2961</v>
      </c>
      <c r="Q132" s="18">
        <v>5</v>
      </c>
      <c r="R132" s="18">
        <v>3</v>
      </c>
      <c r="S132" s="18">
        <v>1</v>
      </c>
      <c r="T132" s="4">
        <f>DATE(AI$2,$Q132,1+(($R132-($S132&gt;=WEEKDAY(DATE(AI$2,$Q132,1))))*7)+($S132-WEEKDAY(DATE(AI$2,$Q132,1))))</f>
        <v>45795</v>
      </c>
      <c r="U132" s="4">
        <f>DATE(AJ$2,$Q132,1+(($R132-($S132&gt;=WEEKDAY(DATE(AJ$2,$Q132,1))))*7)+($S132-WEEKDAY(DATE(AJ$2,$Q132,1))))</f>
        <v>46159</v>
      </c>
      <c r="V132" s="20">
        <v>-1</v>
      </c>
      <c r="W132" s="20">
        <v>1</v>
      </c>
      <c r="X132" s="4">
        <f ca="1">Y132-(W132-1)</f>
        <v>45794</v>
      </c>
      <c r="Y132" s="5">
        <f ca="1">IF(OR(T132+V132&lt;(NOW()-0.5),ISNUMBER(SEARCH("&lt;h4&gt;",K132))),U132+V132,T132+V132)</f>
        <v>45794</v>
      </c>
      <c r="Z132" t="str">
        <f ca="1">CONCATENATE(IF(OR(Y132=X132,ISBLANK(Y132)),TEXT(X132,"mmmm d"),CONCATENATE(TEXT(X132,"mmmm d"),"-",IF(TEXT(X132,"mmmm")=TEXT(Y132,"mmmm"),TEXT(Y132,"d"),TEXT(Y132,"mmmm d")))),", ",YEAR(Y132))</f>
        <v>May 17, 2025</v>
      </c>
      <c r="AA132" s="7">
        <f>O132</f>
        <v>45773</v>
      </c>
      <c r="AB132" s="14">
        <f>T132+V132-(W132-1)</f>
        <v>45794</v>
      </c>
      <c r="AC132" t="s">
        <v>2956</v>
      </c>
      <c r="AD132" s="23" t="str">
        <f ca="1">CONCATENATE("&lt;add-to-calendar-button  name=",CHAR(34),H132,CHAR(34),
IF(ISBLANK(M132),"",CONCATENATE("   location=",CHAR(34),RIGHT(M132,LEN(M132)-SEARCH("|",M132)-1),CHAR(34))),
"   description=",CHAR(34),IF(ISBLANK(I132),"",CONCATENATE(I132,"; ")),"shapenotesingings.com",CHAR(34),
"   options=",CHAR(34),"'Apple','Google','iCal','Outlook.com'",CHAR(34),"   styleLight=",CHAR(34),"--btn-background: #550000; --btn-text: #fff; --btn-shadow:#fff;",CHAR(34),
IF(W132=1,CONCATENATE(
"startDate=",CHAR(34),TEXT(G132,"yyyy-mm-dd"),CHAR(34),
"{endDate=",CHAR(34),TEXT(G132,"yyyy-mm-dd"),CHAR(34),
IF(OR(ISBLANK(AE132),ISBLANK(AF132)),"",(CONCATENATE(" startTime=",CHAR(34),TEXT(AE132,"hh:mm"),CHAR(34)," endTime=",CHAR(34),TEXT(AF132,"h:mm"),CHAR(34),
" timeZone=",CHAR(34),AG132,CHAR(34))))),
IF(W132=2,CONCATENATE(" dates='[{",
CHAR(34),"startDate",CHAR(34),":",CHAR(34),TEXT(G132,"yyyy-mm-dd"),CHAR(34),", ",
,CHAR(34),"endDate",CHAR(34),":",CHAR(34),TEXT(G132,"yyyy-mm-dd"),CHAR(34),
IF(OR(ISBLANK(AE132),ISBLANK(AF132)),"",(CONCATENATE(", ",CHAR(34),"startTime",CHAR(34),":",CHAR(34),TEXT(AE132,"hh:mm"),CHAR(34),", ",CHAR(34),"endTime",CHAR(34),":",CHAR(34),TEXT(AF132,"hh:mm"),CHAR(34),", ",CHAR(34),"timeZone",CHAR(34),":",CHAR(34),AG132,CHAR(34)))),"}, {",
,CHAR(34),"startDate",CHAR(34),":",CHAR(34),TEXT(G132+1,"yyyy-mm-dd"),CHAR(34),", ",
,CHAR(34),"endDate",CHAR(34),":",CHAR(34),TEXT(G132+W132-1,"yyyy-mm-dd"),CHAR(34),
IF(OR(ISBLANK(AE132),ISBLANK(AF132)),"",(CONCATENATE(", ",CHAR(34),"startTime",CHAR(34),":",CHAR(34),TEXT(AE132,"hh:mm"),CHAR(34),", ",CHAR(34),"endTime",CHAR(34),":",CHAR(34),TEXT(AF132,"hh:mm"),CHAR(34),", ",CHAR(34),"timeZone",CHAR(34),":",CHAR(34),AG132,CHAR(34)))),"}]'"),
CONCATENATE(
"{  startDate=",CHAR(34),TEXT(G132,"yyyy-mm-dd"),CHAR(34),
"  endDate=",CHAR(34),TEXT(G132+W132-1,"yyyy-mm-dd"),CHAR(34),"}"))),
" &gt;&lt;/add-to-calendar-button&gt;")</f>
        <v>&lt;add-to-calendar-button  name="New York City Christian Harmony All-Day Singing"   location="First Presbyterian Church of Brookly, 124 Henry St, Brooklyn, NY 11201"   description="10am-4pm; shapenotesingings.com"   options="'Apple','Google','iCal','Outlook.com'"   styleLight="--btn-background: #550000; --btn-text: #fff; --btn-shadow:#fff;"startDate="2025-05-17"{endDate="2025-05-17" startTime="10:00" endTime="16:00" timeZone="America/New_York" &gt;&lt;/add-to-calendar-button&gt;</v>
      </c>
      <c r="AE132" s="24">
        <v>0.41666666666666669</v>
      </c>
      <c r="AF132" s="24">
        <v>0.66666666666666663</v>
      </c>
      <c r="AG132" s="25" t="s">
        <v>1532</v>
      </c>
    </row>
    <row r="133" spans="1:33" x14ac:dyDescent="0.3">
      <c r="A133" t="s">
        <v>144</v>
      </c>
      <c r="B133" t="s">
        <v>144</v>
      </c>
      <c r="C133" t="s">
        <v>1162</v>
      </c>
      <c r="D133" t="s">
        <v>205</v>
      </c>
      <c r="E133" t="s">
        <v>1435</v>
      </c>
      <c r="F133" t="s">
        <v>385</v>
      </c>
      <c r="G133" s="7">
        <f ca="1">X133</f>
        <v>45794</v>
      </c>
      <c r="H133" s="5" t="s">
        <v>821</v>
      </c>
      <c r="I133" t="s">
        <v>1071</v>
      </c>
      <c r="J133" s="36" t="s">
        <v>2591</v>
      </c>
      <c r="L133" t="s">
        <v>2046</v>
      </c>
      <c r="M133" s="16" t="s">
        <v>2883</v>
      </c>
      <c r="N133" s="16" t="s">
        <v>2884</v>
      </c>
      <c r="O133" s="7">
        <v>45730</v>
      </c>
      <c r="P133" s="7" t="s">
        <v>2084</v>
      </c>
      <c r="Q133" s="18">
        <v>5</v>
      </c>
      <c r="R133" s="18">
        <v>3</v>
      </c>
      <c r="S133" s="18">
        <v>1</v>
      </c>
      <c r="T133" s="4">
        <f>DATE(AI$2,$Q133,1+(($R133-($S133&gt;=WEEKDAY(DATE(AI$2,$Q133,1))))*7)+($S133-WEEKDAY(DATE(AI$2,$Q133,1))))</f>
        <v>45795</v>
      </c>
      <c r="U133" s="4">
        <f>DATE(AJ$2,$Q133,1+(($R133-($S133&gt;=WEEKDAY(DATE(AJ$2,$Q133,1))))*7)+($S133-WEEKDAY(DATE(AJ$2,$Q133,1))))</f>
        <v>46159</v>
      </c>
      <c r="V133" s="20">
        <v>-1</v>
      </c>
      <c r="W133" s="20">
        <v>1</v>
      </c>
      <c r="X133" s="4">
        <f ca="1">Y133-(W133-1)</f>
        <v>45794</v>
      </c>
      <c r="Y133" s="5">
        <f ca="1">IF(OR(T133+V133&lt;(NOW()-0.5),ISNUMBER(SEARCH("&lt;h4&gt;",K133))),U133+V133,T133+V133)</f>
        <v>45794</v>
      </c>
      <c r="Z133" t="str">
        <f ca="1">CONCATENATE(IF(OR(Y133=X133,ISBLANK(Y133)),TEXT(X133,"mmmm d"),CONCATENATE(TEXT(X133,"mmmm d"),"-",IF(TEXT(X133,"mmmm")=TEXT(Y133,"mmmm"),TEXT(Y133,"d"),TEXT(Y133,"mmmm d")))),", ",YEAR(Y133))</f>
        <v>May 17, 2025</v>
      </c>
      <c r="AA133" s="7">
        <f>O133</f>
        <v>45730</v>
      </c>
      <c r="AB133" s="14">
        <f>T133+V133-(W133-1)</f>
        <v>45794</v>
      </c>
      <c r="AC133" t="s">
        <v>2885</v>
      </c>
      <c r="AD133" s="23" t="str">
        <f ca="1">CONCATENATE("&lt;add-to-calendar-button  name=",CHAR(34),H133,CHAR(34),
IF(ISBLANK(M133),"",CONCATENATE("   location=",CHAR(34),RIGHT(M133,LEN(M133)-SEARCH("|",M133)-1),CHAR(34))),
"   description=",CHAR(34),IF(ISBLANK(I133),"",CONCATENATE(I133,"; ")),"shapenotesingings.com",CHAR(34),
"   options=",CHAR(34),"'Apple','Google','iCal','Outlook.com'",CHAR(34),"   styleLight=",CHAR(34),"--btn-background: #550000; --btn-text: #fff; --btn-shadow:#fff;",CHAR(34),
IF(W133=1,CONCATENATE(
"startDate=",CHAR(34),TEXT(G133,"yyyy-mm-dd"),CHAR(34),
"{endDate=",CHAR(34),TEXT(G133,"yyyy-mm-dd"),CHAR(34),
IF(OR(ISBLANK(AE133),ISBLANK(AF133)),"",(CONCATENATE(" startTime=",CHAR(34),TEXT(AE133,"hh:mm"),CHAR(34)," endTime=",CHAR(34),TEXT(AF133,"h:mm"),CHAR(34),
" timeZone=",CHAR(34),AG133,CHAR(34))))),
IF(W133=2,CONCATENATE(" dates='[{",
CHAR(34),"startDate",CHAR(34),":",CHAR(34),TEXT(G133,"yyyy-mm-dd"),CHAR(34),", ",
,CHAR(34),"endDate",CHAR(34),":",CHAR(34),TEXT(G133,"yyyy-mm-dd"),CHAR(34),
IF(OR(ISBLANK(AE133),ISBLANK(AF133)),"",(CONCATENATE(", ",CHAR(34),"startTime",CHAR(34),":",CHAR(34),TEXT(AE133,"hh:mm"),CHAR(34),", ",CHAR(34),"endTime",CHAR(34),":",CHAR(34),TEXT(AF133,"hh:mm"),CHAR(34),", ",CHAR(34),"timeZone",CHAR(34),":",CHAR(34),AG133,CHAR(34)))),"}, {",
,CHAR(34),"startDate",CHAR(34),":",CHAR(34),TEXT(G133+1,"yyyy-mm-dd"),CHAR(34),", ",
,CHAR(34),"endDate",CHAR(34),":",CHAR(34),TEXT(G133+W133-1,"yyyy-mm-dd"),CHAR(34),
IF(OR(ISBLANK(AE133),ISBLANK(AF133)),"",(CONCATENATE(", ",CHAR(34),"startTime",CHAR(34),":",CHAR(34),TEXT(AE133,"hh:mm"),CHAR(34),", ",CHAR(34),"endTime",CHAR(34),":",CHAR(34),TEXT(AF133,"hh:mm"),CHAR(34),", ",CHAR(34),"timeZone",CHAR(34),":",CHAR(34),AG133,CHAR(34)))),"}]'"),
CONCATENATE(
"{  startDate=",CHAR(34),TEXT(G133,"yyyy-mm-dd"),CHAR(34),
"  endDate=",CHAR(34),TEXT(G133+W133-1,"yyyy-mm-dd"),CHAR(34),"}"))),
" &gt;&lt;/add-to-calendar-button&gt;")</f>
        <v>&lt;add-to-calendar-button  name="Sheffield Christian Harmony Singing"   location="Old Band Room, Main Road, Dungworth, Sheffield, S6 6HF, United Kingdom"   description="10:30am-3:30pm; shapenotesingings.com"   options="'Apple','Google','iCal','Outlook.com'"   styleLight="--btn-background: #550000; --btn-text: #fff; --btn-shadow:#fff;"startDate="2025-05-17"{endDate="2025-05-17" startTime="10:30" endTime="15:30" timeZone="Europe/London" &gt;&lt;/add-to-calendar-button&gt;</v>
      </c>
      <c r="AE133" s="24">
        <v>0.4375</v>
      </c>
      <c r="AF133" s="24">
        <v>0.64583333333333337</v>
      </c>
      <c r="AG133" s="25" t="s">
        <v>1535</v>
      </c>
    </row>
    <row r="134" spans="1:33" x14ac:dyDescent="0.3">
      <c r="A134" t="s">
        <v>8</v>
      </c>
      <c r="B134" t="s">
        <v>11</v>
      </c>
      <c r="C134" t="s">
        <v>1134</v>
      </c>
      <c r="D134" t="s">
        <v>85</v>
      </c>
      <c r="E134" t="s">
        <v>2178</v>
      </c>
      <c r="F134" t="s">
        <v>397</v>
      </c>
      <c r="G134" s="7">
        <f ca="1">X134</f>
        <v>45795</v>
      </c>
      <c r="H134" s="5" t="s">
        <v>396</v>
      </c>
      <c r="I134" t="s">
        <v>1040</v>
      </c>
      <c r="J134" s="36" t="s">
        <v>2689</v>
      </c>
      <c r="K134" t="s">
        <v>1090</v>
      </c>
      <c r="M134" s="16" t="s">
        <v>1007</v>
      </c>
      <c r="N134" s="16" t="s">
        <v>398</v>
      </c>
      <c r="O134" s="7">
        <v>44936</v>
      </c>
      <c r="P134" s="7" t="s">
        <v>926</v>
      </c>
      <c r="Q134" s="18">
        <v>5</v>
      </c>
      <c r="R134" s="18">
        <v>3</v>
      </c>
      <c r="S134" s="18">
        <v>1</v>
      </c>
      <c r="T134" s="4">
        <f>DATE(AI$2,$Q134,1+(($R134-($S134&gt;=WEEKDAY(DATE(AI$2,$Q134,1))))*7)+($S134-WEEKDAY(DATE(AI$2,$Q134,1))))</f>
        <v>45795</v>
      </c>
      <c r="U134" s="4">
        <f>DATE(AJ$2,$Q134,1+(($R134-($S134&gt;=WEEKDAY(DATE(AJ$2,$Q134,1))))*7)+($S134-WEEKDAY(DATE(AJ$2,$Q134,1))))</f>
        <v>46159</v>
      </c>
      <c r="V134" s="20">
        <v>0</v>
      </c>
      <c r="W134" s="20">
        <v>1</v>
      </c>
      <c r="X134" s="4">
        <f ca="1">Y134-(W134-1)</f>
        <v>45795</v>
      </c>
      <c r="Y134" s="5">
        <f ca="1">IF(OR(T134+V134&lt;(NOW()-0.5),ISNUMBER(SEARCH("&lt;h4&gt;",K134))),U134+V134,T134+V134)</f>
        <v>45795</v>
      </c>
      <c r="Z134" t="str">
        <f ca="1">CONCATENATE(IF(OR(Y134=X134,ISBLANK(Y134)),TEXT(X134,"mmmm d"),CONCATENATE(TEXT(X134,"mmmm d"),"-",IF(TEXT(X134,"mmmm")=TEXT(Y134,"mmmm"),TEXT(Y134,"d"),TEXT(Y134,"mmmm d")))),", ",YEAR(Y134))</f>
        <v>May 18, 2025</v>
      </c>
      <c r="AA134" s="7">
        <f>O134</f>
        <v>44936</v>
      </c>
      <c r="AB134" s="14">
        <f>T134+V134-(W134-1)</f>
        <v>45795</v>
      </c>
      <c r="AC134" t="s">
        <v>1190</v>
      </c>
      <c r="AD134" s="23" t="str">
        <f ca="1">CONCATENATE("&lt;add-to-calendar-button  name=",CHAR(34),H134,CHAR(34),
IF(ISBLANK(M134),"",CONCATENATE("   location=",CHAR(34),RIGHT(M134,LEN(M134)-SEARCH("|",M134)-1),CHAR(34))),
"   description=",CHAR(34),IF(ISBLANK(I134),"",CONCATENATE(I134,"; ")),"shapenotesingings.com",CHAR(34),
"   options=",CHAR(34),"'Apple','Google','iCal','Outlook.com'",CHAR(34),"   styleLight=",CHAR(34),"--btn-background: #550000; --btn-text: #fff; --btn-shadow:#fff;",CHAR(34),
IF(W134=1,CONCATENATE(
"startDate=",CHAR(34),TEXT(G134,"yyyy-mm-dd"),CHAR(34),
"{endDate=",CHAR(34),TEXT(G134,"yyyy-mm-dd"),CHAR(34),
IF(OR(ISBLANK(AE134),ISBLANK(AF134)),"",(CONCATENATE(" startTime=",CHAR(34),TEXT(AE134,"hh:mm"),CHAR(34)," endTime=",CHAR(34),TEXT(AF134,"h:mm"),CHAR(34),
" timeZone=",CHAR(34),AG134,CHAR(34))))),
IF(W134=2,CONCATENATE(" dates='[{",
CHAR(34),"startDate",CHAR(34),":",CHAR(34),TEXT(G134,"yyyy-mm-dd"),CHAR(34),", ",
,CHAR(34),"endDate",CHAR(34),":",CHAR(34),TEXT(G134,"yyyy-mm-dd"),CHAR(34),
IF(OR(ISBLANK(AE134),ISBLANK(AF134)),"",(CONCATENATE(", ",CHAR(34),"startTime",CHAR(34),":",CHAR(34),TEXT(AE134,"hh:mm"),CHAR(34),", ",CHAR(34),"endTime",CHAR(34),":",CHAR(34),TEXT(AF134,"hh:mm"),CHAR(34),", ",CHAR(34),"timeZone",CHAR(34),":",CHAR(34),AG134,CHAR(34)))),"}, {",
,CHAR(34),"startDate",CHAR(34),":",CHAR(34),TEXT(G134+1,"yyyy-mm-dd"),CHAR(34),", ",
,CHAR(34),"endDate",CHAR(34),":",CHAR(34),TEXT(G134+W134-1,"yyyy-mm-dd"),CHAR(34),
IF(OR(ISBLANK(AE134),ISBLANK(AF134)),"",(CONCATENATE(", ",CHAR(34),"startTime",CHAR(34),":",CHAR(34),TEXT(AE134,"hh:mm"),CHAR(34),", ",CHAR(34),"endTime",CHAR(34),":",CHAR(34),TEXT(AF134,"hh:mm"),CHAR(34),", ",CHAR(34),"timeZone",CHAR(34),":",CHAR(34),AG134,CHAR(34)))),"}]'"),
CONCATENATE(
"{  startDate=",CHAR(34),TEXT(G134,"yyyy-mm-dd"),CHAR(34),
"  endDate=",CHAR(34),TEXT(G134+W134-1,"yyyy-mm-dd"),CHAR(34),"}"))),
" &gt;&lt;/add-to-calendar-button&gt;")</f>
        <v>&lt;add-to-calendar-button  name="Cane Creek Church Singing"   location="Lower Cane Creek Primitive Baptist Church, 585 Co Rd 27, Heflin, AL 36264"   description="9:30am; shapenotesingings.com"   options="'Apple','Google','iCal','Outlook.com'"   styleLight="--btn-background: #550000; --btn-text: #fff; --btn-shadow:#fff;"startDate="2025-05-18"{endDate="2025-05-18" startTime="09:30" endTime="15:00" timeZone="America/Chicago" &gt;&lt;/add-to-calendar-button&gt;</v>
      </c>
      <c r="AE134" s="24">
        <v>0.39583333333333331</v>
      </c>
      <c r="AF134" s="24">
        <v>0.625</v>
      </c>
      <c r="AG134" s="25" t="s">
        <v>1533</v>
      </c>
    </row>
    <row r="135" spans="1:33" x14ac:dyDescent="0.3">
      <c r="A135" t="s">
        <v>8</v>
      </c>
      <c r="B135" t="s">
        <v>11</v>
      </c>
      <c r="C135" t="s">
        <v>1134</v>
      </c>
      <c r="D135" t="s">
        <v>194</v>
      </c>
      <c r="E135" t="s">
        <v>2178</v>
      </c>
      <c r="F135" t="s">
        <v>397</v>
      </c>
      <c r="G135" s="7">
        <f ca="1">X135</f>
        <v>45795</v>
      </c>
      <c r="H135" s="5" t="s">
        <v>414</v>
      </c>
      <c r="I135" t="s">
        <v>1028</v>
      </c>
      <c r="J135" s="36" t="s">
        <v>2690</v>
      </c>
      <c r="K135" t="s">
        <v>1091</v>
      </c>
      <c r="M135" s="16" t="s">
        <v>993</v>
      </c>
      <c r="N135" s="16" t="s">
        <v>900</v>
      </c>
      <c r="O135" s="7">
        <v>45400</v>
      </c>
      <c r="P135" s="7" t="s">
        <v>2014</v>
      </c>
      <c r="Q135" s="18">
        <v>5</v>
      </c>
      <c r="R135" s="18">
        <v>3</v>
      </c>
      <c r="S135" s="18">
        <v>1</v>
      </c>
      <c r="T135" s="4">
        <f>DATE(AI$2,$Q135,1+(($R135-($S135&gt;=WEEKDAY(DATE(AI$2,$Q135,1))))*7)+($S135-WEEKDAY(DATE(AI$2,$Q135,1))))</f>
        <v>45795</v>
      </c>
      <c r="U135" s="4">
        <f>DATE(AJ$2,$Q135,1+(($R135-($S135&gt;=WEEKDAY(DATE(AJ$2,$Q135,1))))*7)+($S135-WEEKDAY(DATE(AJ$2,$Q135,1))))</f>
        <v>46159</v>
      </c>
      <c r="V135" s="20">
        <v>0</v>
      </c>
      <c r="W135" s="20">
        <v>1</v>
      </c>
      <c r="X135" s="4">
        <f ca="1">Y135-(W135-1)</f>
        <v>45795</v>
      </c>
      <c r="Y135" s="5">
        <f ca="1">IF(OR(T135+V135&lt;(NOW()-0.5),ISNUMBER(SEARCH("&lt;h4&gt;",K135))),U135+V135,T135+V135)</f>
        <v>45795</v>
      </c>
      <c r="Z135" t="str">
        <f ca="1">CONCATENATE(IF(OR(Y135=X135,ISBLANK(Y135)),TEXT(X135,"mmmm d"),CONCATENATE(TEXT(X135,"mmmm d"),"-",IF(TEXT(X135,"mmmm")=TEXT(Y135,"mmmm"),TEXT(Y135,"d"),TEXT(Y135,"mmmm d")))),", ",YEAR(Y135))</f>
        <v>May 18, 2025</v>
      </c>
      <c r="AA135" s="7">
        <f>O135</f>
        <v>45400</v>
      </c>
      <c r="AB135" s="14">
        <f>T135+V135-(W135-1)</f>
        <v>45795</v>
      </c>
      <c r="AC135" t="s">
        <v>1276</v>
      </c>
      <c r="AD135" s="23" t="str">
        <f ca="1">CONCATENATE("&lt;add-to-calendar-button  name=",CHAR(34),H135,CHAR(34),
IF(ISBLANK(M135),"",CONCATENATE("   location=",CHAR(34),RIGHT(M135,LEN(M135)-SEARCH("|",M135)-1),CHAR(34))),
"   description=",CHAR(34),IF(ISBLANK(I135),"",CONCATENATE(I135,"; ")),"shapenotesingings.com",CHAR(34),
"   options=",CHAR(34),"'Apple','Google','iCal','Outlook.com'",CHAR(34),"   styleLight=",CHAR(34),"--btn-background: #550000; --btn-text: #fff; --btn-shadow:#fff;",CHAR(34),
IF(W135=1,CONCATENATE(
"startDate=",CHAR(34),TEXT(G135,"yyyy-mm-dd"),CHAR(34),
"{endDate=",CHAR(34),TEXT(G135,"yyyy-mm-dd"),CHAR(34),
IF(OR(ISBLANK(AE135),ISBLANK(AF135)),"",(CONCATENATE(" startTime=",CHAR(34),TEXT(AE135,"hh:mm"),CHAR(34)," endTime=",CHAR(34),TEXT(AF135,"h:mm"),CHAR(34),
" timeZone=",CHAR(34),AG135,CHAR(34))))),
IF(W135=2,CONCATENATE(" dates='[{",
CHAR(34),"startDate",CHAR(34),":",CHAR(34),TEXT(G135,"yyyy-mm-dd"),CHAR(34),", ",
,CHAR(34),"endDate",CHAR(34),":",CHAR(34),TEXT(G135,"yyyy-mm-dd"),CHAR(34),
IF(OR(ISBLANK(AE135),ISBLANK(AF135)),"",(CONCATENATE(", ",CHAR(34),"startTime",CHAR(34),":",CHAR(34),TEXT(AE135,"hh:mm"),CHAR(34),", ",CHAR(34),"endTime",CHAR(34),":",CHAR(34),TEXT(AF135,"hh:mm"),CHAR(34),", ",CHAR(34),"timeZone",CHAR(34),":",CHAR(34),AG135,CHAR(34)))),"}, {",
,CHAR(34),"startDate",CHAR(34),":",CHAR(34),TEXT(G135+1,"yyyy-mm-dd"),CHAR(34),", ",
,CHAR(34),"endDate",CHAR(34),":",CHAR(34),TEXT(G135+W135-1,"yyyy-mm-dd"),CHAR(34),
IF(OR(ISBLANK(AE135),ISBLANK(AF135)),"",(CONCATENATE(", ",CHAR(34),"startTime",CHAR(34),":",CHAR(34),TEXT(AE135,"hh:mm"),CHAR(34),", ",CHAR(34),"endTime",CHAR(34),":",CHAR(34),TEXT(AF135,"hh:mm"),CHAR(34),", ",CHAR(34),"timeZone",CHAR(34),":",CHAR(34),AG135,CHAR(34)))),"}]'"),
CONCATENATE(
"{  startDate=",CHAR(34),TEXT(G135,"yyyy-mm-dd"),CHAR(34),
"  endDate=",CHAR(34),TEXT(G135+W135-1,"yyyy-mm-dd"),CHAR(34),"}"))),
" &gt;&lt;/add-to-calendar-button&gt;")</f>
        <v>&lt;add-to-calendar-button  name="Rocky Mount Homecoming/Hillabee Sacred Harp Convention"   location="Rocky Mount Primitive Baptist Church, Co Rd 79 &amp; Germanys Ferry Rd, Daviston AL"   description="10am; shapenotesingings.com"   options="'Apple','Google','iCal','Outlook.com'"   styleLight="--btn-background: #550000; --btn-text: #fff; --btn-shadow:#fff;"startDate="2025-05-18"{endDate="2025-05-18" startTime="10:00" endTime="15:00" timeZone="America/Chicago" &gt;&lt;/add-to-calendar-button&gt;</v>
      </c>
      <c r="AE135" s="24">
        <v>0.41666666666666669</v>
      </c>
      <c r="AF135" s="24">
        <v>0.625</v>
      </c>
      <c r="AG135" s="25" t="s">
        <v>1533</v>
      </c>
    </row>
    <row r="136" spans="1:33" x14ac:dyDescent="0.3">
      <c r="A136" t="s">
        <v>8</v>
      </c>
      <c r="B136" t="s">
        <v>36</v>
      </c>
      <c r="C136" t="s">
        <v>1142</v>
      </c>
      <c r="D136" t="s">
        <v>37</v>
      </c>
      <c r="E136" t="s">
        <v>2176</v>
      </c>
      <c r="F136" t="str">
        <f ca="1">CONCATENATE(TEXT(G136,"mmm"),", 5th Sun in Apr or Last Sun in May")</f>
        <v>May, 5th Sun in Apr or Last Sun in May</v>
      </c>
      <c r="G136" s="7">
        <f ca="1">X136</f>
        <v>45801</v>
      </c>
      <c r="H136" s="5" t="s">
        <v>420</v>
      </c>
      <c r="I136" t="s">
        <v>1048</v>
      </c>
      <c r="J136" s="36" t="s">
        <v>2691</v>
      </c>
      <c r="K136" t="s">
        <v>1434</v>
      </c>
      <c r="L136" t="s">
        <v>2013</v>
      </c>
      <c r="M136" s="16" t="s">
        <v>2971</v>
      </c>
      <c r="N136" s="16" t="s">
        <v>2972</v>
      </c>
      <c r="O136" s="7">
        <v>45781</v>
      </c>
      <c r="P136" s="7" t="s">
        <v>1618</v>
      </c>
      <c r="Q136" s="18">
        <f>MONTH(T136)</f>
        <v>5</v>
      </c>
      <c r="T136" s="4">
        <f>IF(MONTH(AI$23)=4,AI$23,IF(MONTH(AI$24)=4,AI$24,DATE(AI$2,6,1+((1-(1&gt;=WEEKDAY(DATE(AI$2,6,1))))*7)+(1-WEEKDAY(DATE(AI$2,6,1))))-7))</f>
        <v>45802</v>
      </c>
      <c r="U136" s="4">
        <f>IF(MONTH(AJ$23)=4,AJ$23,IF(MONTH(AJ$24)=4,AJ$24,DATE(AJ$2,6,1+((1-(1&gt;=WEEKDAY(DATE(AJ$2,6,1))))*7)+(1-WEEKDAY(DATE(AJ$2,6,1))))-7))</f>
        <v>46173</v>
      </c>
      <c r="V136" s="20">
        <v>0</v>
      </c>
      <c r="W136" s="20">
        <v>2</v>
      </c>
      <c r="X136" s="4">
        <f ca="1">Y136-(W136-1)</f>
        <v>45801</v>
      </c>
      <c r="Y136" s="5">
        <f ca="1">IF(OR(T136+V136&lt;(NOW()-0.5),ISNUMBER(SEARCH("&lt;h4&gt;",K136))),U136+V136,T136+V136)</f>
        <v>45802</v>
      </c>
      <c r="Z136" t="str">
        <f ca="1">CONCATENATE(IF(OR(Y136=X136,ISBLANK(Y136)),TEXT(X136,"mmmm d"),CONCATENATE(TEXT(X136,"mmmm d"),"-",IF(TEXT(X136,"mmmm")=TEXT(Y136,"mmmm"),TEXT(Y136,"d"),TEXT(Y136,"mmmm d")))),", ",YEAR(Y136))</f>
        <v>May 24-25, 2025</v>
      </c>
      <c r="AA136" s="7">
        <f>O136</f>
        <v>45781</v>
      </c>
      <c r="AB136" s="14">
        <f>T136+V136-(W136-1)</f>
        <v>45801</v>
      </c>
      <c r="AC136" t="s">
        <v>2973</v>
      </c>
      <c r="AD136" s="23" t="str">
        <f ca="1">CONCATENATE("&lt;add-to-calendar-button  name=",CHAR(34),H136,CHAR(34),
IF(ISBLANK(M136),"",CONCATENATE("   location=",CHAR(34),RIGHT(M136,LEN(M136)-SEARCH("|",M136)-1),CHAR(34))),
"   description=",CHAR(34),IF(ISBLANK(I136),"",CONCATENATE(I136,"; ")),"shapenotesingings.com",CHAR(34),
"   options=",CHAR(34),"'Apple','Google','iCal','Outlook.com'",CHAR(34),"   styleLight=",CHAR(34),"--btn-background: #550000; --btn-text: #fff; --btn-shadow:#fff;",CHAR(34),
IF(W136=1,CONCATENATE(
"startDate=",CHAR(34),TEXT(G136,"yyyy-mm-dd"),CHAR(34),
"{endDate=",CHAR(34),TEXT(G136,"yyyy-mm-dd"),CHAR(34),
IF(OR(ISBLANK(AE136),ISBLANK(AF136)),"",(CONCATENATE(" startTime=",CHAR(34),TEXT(AE136,"hh:mm"),CHAR(34)," endTime=",CHAR(34),TEXT(AF136,"h:mm"),CHAR(34),
" timeZone=",CHAR(34),AG136,CHAR(34))))),
IF(W136=2,CONCATENATE(" dates='[{",
CHAR(34),"startDate",CHAR(34),":",CHAR(34),TEXT(G136,"yyyy-mm-dd"),CHAR(34),", ",
,CHAR(34),"endDate",CHAR(34),":",CHAR(34),TEXT(G136,"yyyy-mm-dd"),CHAR(34),
IF(OR(ISBLANK(AE136),ISBLANK(AF136)),"",(CONCATENATE(", ",CHAR(34),"startTime",CHAR(34),":",CHAR(34),TEXT(AE136,"hh:mm"),CHAR(34),", ",CHAR(34),"endTime",CHAR(34),":",CHAR(34),TEXT(AF136,"hh:mm"),CHAR(34),", ",CHAR(34),"timeZone",CHAR(34),":",CHAR(34),AG136,CHAR(34)))),"}, {",
,CHAR(34),"startDate",CHAR(34),":",CHAR(34),TEXT(G136+1,"yyyy-mm-dd"),CHAR(34),", ",
,CHAR(34),"endDate",CHAR(34),":",CHAR(34),TEXT(G136+W136-1,"yyyy-mm-dd"),CHAR(34),
IF(OR(ISBLANK(AE136),ISBLANK(AF136)),"",(CONCATENATE(", ",CHAR(34),"startTime",CHAR(34),":",CHAR(34),TEXT(AE136,"hh:mm"),CHAR(34),", ",CHAR(34),"endTime",CHAR(34),":",CHAR(34),TEXT(AF136,"hh:mm"),CHAR(34),", ",CHAR(34),"timeZone",CHAR(34),":",CHAR(34),AG136,CHAR(34)))),"}]'"),
CONCATENATE(
"{  startDate=",CHAR(34),TEXT(G136,"yyyy-mm-dd"),CHAR(34),
"  endDate=",CHAR(34),TEXT(G136+W136-1,"yyyy-mm-dd"),CHAR(34),"}"))),
" &gt;&lt;/add-to-calendar-button&gt;")</f>
        <v>&lt;add-to-calendar-button  name="Midwest Convention"   location="St. Paul and the Redeemer, 4945 S Dorchester Ave, Chicago, IL 60615"   description="9:30am-3pm; shapenotesingings.com"   options="'Apple','Google','iCal','Outlook.com'"   styleLight="--btn-background: #550000; --btn-text: #fff; --btn-shadow:#fff;" dates='[{"startDate":"2025-05-24", "endDate":"2025-05-24", "startTime":"09:30", "endTime":"15:00", "timeZone":"America/Chicago"}, {"startDate":"2025-05-25", "endDate":"2025-05-25", "startTime":"09:30", "endTime":"15:00", "timeZone":"America/Chicago"}]' &gt;&lt;/add-to-calendar-button&gt;</v>
      </c>
      <c r="AE136" s="24">
        <v>0.39583333333333331</v>
      </c>
      <c r="AF136" s="24">
        <v>0.625</v>
      </c>
      <c r="AG136" s="25" t="s">
        <v>1533</v>
      </c>
    </row>
    <row r="137" spans="1:33" x14ac:dyDescent="0.3">
      <c r="A137" t="s">
        <v>8</v>
      </c>
      <c r="B137" t="s">
        <v>357</v>
      </c>
      <c r="C137" t="s">
        <v>1143</v>
      </c>
      <c r="D137" t="s">
        <v>413</v>
      </c>
      <c r="E137" t="s">
        <v>2185</v>
      </c>
      <c r="F137" t="s">
        <v>403</v>
      </c>
      <c r="G137" s="7">
        <f ca="1">X137</f>
        <v>45801</v>
      </c>
      <c r="H137" s="5" t="s">
        <v>411</v>
      </c>
      <c r="I137" t="s">
        <v>1028</v>
      </c>
      <c r="J137" s="36" t="s">
        <v>2692</v>
      </c>
      <c r="K137" t="s">
        <v>2035</v>
      </c>
      <c r="L137" t="s">
        <v>1731</v>
      </c>
      <c r="M137" s="16" t="s">
        <v>1008</v>
      </c>
      <c r="N137" s="16" t="s">
        <v>412</v>
      </c>
      <c r="O137" s="7">
        <v>45415</v>
      </c>
      <c r="P137" s="7" t="s">
        <v>2036</v>
      </c>
      <c r="Q137" s="18">
        <v>5</v>
      </c>
      <c r="R137" s="18">
        <v>4</v>
      </c>
      <c r="S137" s="18">
        <v>1</v>
      </c>
      <c r="T137" s="4">
        <f>DATE(AI$2,$Q137,1+(($R137-($S137&gt;=WEEKDAY(DATE(AI$2,$Q137,1))))*7)+($S137-WEEKDAY(DATE(AI$2,$Q137,1))))</f>
        <v>45802</v>
      </c>
      <c r="U137" s="4">
        <f>DATE(AJ$2,$Q137,1+(($R137-($S137&gt;=WEEKDAY(DATE(AJ$2,$Q137,1))))*7)+($S137-WEEKDAY(DATE(AJ$2,$Q137,1))))</f>
        <v>46166</v>
      </c>
      <c r="V137" s="20">
        <v>0</v>
      </c>
      <c r="W137" s="20">
        <v>2</v>
      </c>
      <c r="X137" s="4">
        <f ca="1">Y137-(W137-1)</f>
        <v>45801</v>
      </c>
      <c r="Y137" s="5">
        <f ca="1">IF(OR(T137+V137&lt;(NOW()-0.5),ISNUMBER(SEARCH("&lt;h4&gt;",K137))),U137+V137,T137+V137)</f>
        <v>45802</v>
      </c>
      <c r="Z137" t="str">
        <f ca="1">CONCATENATE(IF(OR(Y137=X137,ISBLANK(Y137)),TEXT(X137,"mmmm d"),CONCATENATE(TEXT(X137,"mmmm d"),"-",IF(TEXT(X137,"mmmm")=TEXT(Y137,"mmmm"),TEXT(Y137,"d"),TEXT(Y137,"mmmm d")))),", ",YEAR(Y137))</f>
        <v>May 24-25, 2025</v>
      </c>
      <c r="AA137" s="7">
        <f>O137</f>
        <v>45415</v>
      </c>
      <c r="AB137" s="14">
        <f>T137+V137-(W137-1)</f>
        <v>45801</v>
      </c>
      <c r="AC137" t="s">
        <v>1274</v>
      </c>
      <c r="AD137" s="23" t="str">
        <f ca="1">CONCATENATE("&lt;add-to-calendar-button  name=",CHAR(34),H137,CHAR(34),
IF(ISBLANK(M137),"",CONCATENATE("   location=",CHAR(34),RIGHT(M137,LEN(M137)-SEARCH("|",M137)-1),CHAR(34))),
"   description=",CHAR(34),IF(ISBLANK(I137),"",CONCATENATE(I137,"; ")),"shapenotesingings.com",CHAR(34),
"   options=",CHAR(34),"'Apple','Google','iCal','Outlook.com'",CHAR(34),"   styleLight=",CHAR(34),"--btn-background: #550000; --btn-text: #fff; --btn-shadow:#fff;",CHAR(34),
IF(W137=1,CONCATENATE(
"startDate=",CHAR(34),TEXT(G137,"yyyy-mm-dd"),CHAR(34),
"{endDate=",CHAR(34),TEXT(G137,"yyyy-mm-dd"),CHAR(34),
IF(OR(ISBLANK(AE137),ISBLANK(AF137)),"",(CONCATENATE(" startTime=",CHAR(34),TEXT(AE137,"hh:mm"),CHAR(34)," endTime=",CHAR(34),TEXT(AF137,"h:mm"),CHAR(34),
" timeZone=",CHAR(34),AG137,CHAR(34))))),
IF(W137=2,CONCATENATE(" dates='[{",
CHAR(34),"startDate",CHAR(34),":",CHAR(34),TEXT(G137,"yyyy-mm-dd"),CHAR(34),", ",
,CHAR(34),"endDate",CHAR(34),":",CHAR(34),TEXT(G137,"yyyy-mm-dd"),CHAR(34),
IF(OR(ISBLANK(AE137),ISBLANK(AF137)),"",(CONCATENATE(", ",CHAR(34),"startTime",CHAR(34),":",CHAR(34),TEXT(AE137,"hh:mm"),CHAR(34),", ",CHAR(34),"endTime",CHAR(34),":",CHAR(34),TEXT(AF137,"hh:mm"),CHAR(34),", ",CHAR(34),"timeZone",CHAR(34),":",CHAR(34),AG137,CHAR(34)))),"}, {",
,CHAR(34),"startDate",CHAR(34),":",CHAR(34),TEXT(G137+1,"yyyy-mm-dd"),CHAR(34),", ",
,CHAR(34),"endDate",CHAR(34),":",CHAR(34),TEXT(G137+W137-1,"yyyy-mm-dd"),CHAR(34),
IF(OR(ISBLANK(AE137),ISBLANK(AF137)),"",(CONCATENATE(", ",CHAR(34),"startTime",CHAR(34),":",CHAR(34),TEXT(AE137,"hh:mm"),CHAR(34),", ",CHAR(34),"endTime",CHAR(34),":",CHAR(34),TEXT(AF137,"hh:mm"),CHAR(34),", ",CHAR(34),"timeZone",CHAR(34),":",CHAR(34),AG137,CHAR(34)))),"}]'"),
CONCATENATE(
"{  startDate=",CHAR(34),TEXT(G137,"yyyy-mm-dd"),CHAR(34),
"  endDate=",CHAR(34),TEXT(G137+W137-1,"yyyy-mm-dd"),CHAR(34),"}"))),
" &gt;&lt;/add-to-calendar-button&gt;")</f>
        <v>&lt;add-to-calendar-button  name="The Big Singing"   location="Marshall County Courthouse, 198-100 E 11th St, Benton, KY 42025"   description="10am; shapenotesingings.com"   options="'Apple','Google','iCal','Outlook.com'"   styleLight="--btn-background: #550000; --btn-text: #fff; --btn-shadow:#fff;" dates='[{"startDate":"2025-05-24", "endDate":"2025-05-24", "startTime":"10:00", "endTime":"15:00", "timeZone":"America/Chicago"}, {"startDate":"2025-05-25", "endDate":"2025-05-25", "startTime":"10:00", "endTime":"15:00", "timeZone":"America/Chicago"}]' &gt;&lt;/add-to-calendar-button&gt;</v>
      </c>
      <c r="AE137" s="24">
        <v>0.41666666666666669</v>
      </c>
      <c r="AF137" s="24">
        <v>0.625</v>
      </c>
      <c r="AG137" s="25" t="s">
        <v>1533</v>
      </c>
    </row>
    <row r="138" spans="1:33" x14ac:dyDescent="0.3">
      <c r="A138" t="s">
        <v>144</v>
      </c>
      <c r="B138" t="s">
        <v>144</v>
      </c>
      <c r="C138" t="s">
        <v>1162</v>
      </c>
      <c r="D138" t="s">
        <v>2056</v>
      </c>
      <c r="E138" t="s">
        <v>2178</v>
      </c>
      <c r="F138" t="s">
        <v>1513</v>
      </c>
      <c r="G138" s="7">
        <f ca="1">X138</f>
        <v>45801</v>
      </c>
      <c r="H138" s="5" t="s">
        <v>2057</v>
      </c>
      <c r="I138" t="s">
        <v>1071</v>
      </c>
      <c r="K138" t="s">
        <v>2058</v>
      </c>
      <c r="L138" t="s">
        <v>2062</v>
      </c>
      <c r="M138" s="16" t="s">
        <v>2059</v>
      </c>
      <c r="N138" s="16" t="s">
        <v>2060</v>
      </c>
      <c r="O138" s="7">
        <v>45422</v>
      </c>
      <c r="P138" s="7" t="s">
        <v>1872</v>
      </c>
      <c r="Q138" s="18">
        <v>5</v>
      </c>
      <c r="R138" s="18">
        <v>4</v>
      </c>
      <c r="S138" s="18">
        <v>1</v>
      </c>
      <c r="T138" s="4">
        <f>DATE(AI$2,$Q138,1+(($R138-($S138&gt;=WEEKDAY(DATE(AI$2,$Q138,1))))*7)+($S138-WEEKDAY(DATE(AI$2,$Q138,1))))</f>
        <v>45802</v>
      </c>
      <c r="U138" s="4">
        <f>DATE(AJ$2,$Q138,1+(($R138-($S138&gt;=WEEKDAY(DATE(AJ$2,$Q138,1))))*7)+($S138-WEEKDAY(DATE(AJ$2,$Q138,1))))</f>
        <v>46166</v>
      </c>
      <c r="V138" s="20">
        <v>-1</v>
      </c>
      <c r="W138" s="20">
        <v>1</v>
      </c>
      <c r="X138" s="4">
        <f ca="1">Y138-(W138-1)</f>
        <v>45801</v>
      </c>
      <c r="Y138" s="5">
        <f ca="1">IF(OR(T138+V138&lt;(NOW()-0.5),ISNUMBER(SEARCH("&lt;h4&gt;",K138))),U138+V138,T138+V138)</f>
        <v>45801</v>
      </c>
      <c r="Z138" t="str">
        <f ca="1">CONCATENATE(IF(OR(Y138=X138,ISBLANK(Y138)),TEXT(X138,"mmmm d"),CONCATENATE(TEXT(X138,"mmmm d"),"-",IF(TEXT(X138,"mmmm")=TEXT(Y138,"mmmm"),TEXT(Y138,"d"),TEXT(Y138,"mmmm d")))),", ",YEAR(Y138))</f>
        <v>May 24, 2025</v>
      </c>
      <c r="AA138" s="7">
        <f>O138</f>
        <v>45422</v>
      </c>
      <c r="AB138" s="14">
        <f>T138+V138-(W138-1)</f>
        <v>45801</v>
      </c>
      <c r="AC138" t="s">
        <v>2061</v>
      </c>
      <c r="AD138" s="23" t="str">
        <f ca="1">CONCATENATE("&lt;add-to-calendar-button  name=",CHAR(34),H138,CHAR(34),
IF(ISBLANK(M138),"",CONCATENATE("   location=",CHAR(34),RIGHT(M138,LEN(M138)-SEARCH("|",M138)-1),CHAR(34))),
"   description=",CHAR(34),IF(ISBLANK(I138),"",CONCATENATE(I138,"; ")),"shapenotesingings.com",CHAR(34),
"   options=",CHAR(34),"'Apple','Google','iCal','Outlook.com'",CHAR(34),"   styleLight=",CHAR(34),"--btn-background: #550000; --btn-text: #fff; --btn-shadow:#fff;",CHAR(34),
IF(W138=1,CONCATENATE(
"startDate=",CHAR(34),TEXT(G138,"yyyy-mm-dd"),CHAR(34),
"{endDate=",CHAR(34),TEXT(G138,"yyyy-mm-dd"),CHAR(34),
IF(OR(ISBLANK(AE138),ISBLANK(AF138)),"",(CONCATENATE(" startTime=",CHAR(34),TEXT(AE138,"hh:mm"),CHAR(34)," endTime=",CHAR(34),TEXT(AF138,"h:mm"),CHAR(34),
" timeZone=",CHAR(34),AG138,CHAR(34))))),
IF(W138=2,CONCATENATE(" dates='[{",
CHAR(34),"startDate",CHAR(34),":",CHAR(34),TEXT(G138,"yyyy-mm-dd"),CHAR(34),", ",
,CHAR(34),"endDate",CHAR(34),":",CHAR(34),TEXT(G138,"yyyy-mm-dd"),CHAR(34),
IF(OR(ISBLANK(AE138),ISBLANK(AF138)),"",(CONCATENATE(", ",CHAR(34),"startTime",CHAR(34),":",CHAR(34),TEXT(AE138,"hh:mm"),CHAR(34),", ",CHAR(34),"endTime",CHAR(34),":",CHAR(34),TEXT(AF138,"hh:mm"),CHAR(34),", ",CHAR(34),"timeZone",CHAR(34),":",CHAR(34),AG138,CHAR(34)))),"}, {",
,CHAR(34),"startDate",CHAR(34),":",CHAR(34),TEXT(G138+1,"yyyy-mm-dd"),CHAR(34),", ",
,CHAR(34),"endDate",CHAR(34),":",CHAR(34),TEXT(G138+W138-1,"yyyy-mm-dd"),CHAR(34),
IF(OR(ISBLANK(AE138),ISBLANK(AF138)),"",(CONCATENATE(", ",CHAR(34),"startTime",CHAR(34),":",CHAR(34),TEXT(AE138,"hh:mm"),CHAR(34),", ",CHAR(34),"endTime",CHAR(34),":",CHAR(34),TEXT(AF138,"hh:mm"),CHAR(34),", ",CHAR(34),"timeZone",CHAR(34),":",CHAR(34),AG138,CHAR(34)))),"}]'"),
CONCATENATE(
"{  startDate=",CHAR(34),TEXT(G138,"yyyy-mm-dd"),CHAR(34),
"  endDate=",CHAR(34),TEXT(G138+W138-1,"yyyy-mm-dd"),CHAR(34),"}"))),
" &gt;&lt;/add-to-calendar-button&gt;")</f>
        <v>&lt;add-to-calendar-button  name="Sannox Singing"   location="Sannox Christian Centre, Sannox Isle of Arran, Scotland, KA27 8JD, United Kingdom "   description="10:30am-3:30pm; shapenotesingings.com"   options="'Apple','Google','iCal','Outlook.com'"   styleLight="--btn-background: #550000; --btn-text: #fff; --btn-shadow:#fff;"startDate="2025-05-24"{endDate="2025-05-24" startTime="10:30" endTime="15:30" timeZone="Europe/London" &gt;&lt;/add-to-calendar-button&gt;</v>
      </c>
      <c r="AE138" s="24">
        <v>0.4375</v>
      </c>
      <c r="AF138" s="24">
        <v>0.64583333333333337</v>
      </c>
      <c r="AG138" s="25" t="s">
        <v>1535</v>
      </c>
    </row>
    <row r="139" spans="1:33" x14ac:dyDescent="0.3">
      <c r="A139" t="s">
        <v>407</v>
      </c>
      <c r="B139" t="s">
        <v>408</v>
      </c>
      <c r="D139" t="s">
        <v>155</v>
      </c>
      <c r="E139" t="s">
        <v>2178</v>
      </c>
      <c r="F139" t="s">
        <v>403</v>
      </c>
      <c r="G139" s="7">
        <f ca="1">X139</f>
        <v>45801</v>
      </c>
      <c r="H139" s="5" t="s">
        <v>410</v>
      </c>
      <c r="I139" t="s">
        <v>1028</v>
      </c>
      <c r="J139" s="36" t="s">
        <v>2693</v>
      </c>
      <c r="L139" t="s">
        <v>2900</v>
      </c>
      <c r="M139" s="16" t="s">
        <v>2336</v>
      </c>
      <c r="N139" s="16" t="s">
        <v>2337</v>
      </c>
      <c r="O139" s="7">
        <v>45575</v>
      </c>
      <c r="P139" s="7" t="s">
        <v>2334</v>
      </c>
      <c r="Q139" s="18">
        <v>5</v>
      </c>
      <c r="R139" s="18">
        <v>4</v>
      </c>
      <c r="S139" s="18">
        <v>1</v>
      </c>
      <c r="T139" s="4">
        <f>DATE(AI$2,$Q139,1+(($R139-($S139&gt;=WEEKDAY(DATE(AI$2,$Q139,1))))*7)+($S139-WEEKDAY(DATE(AI$2,$Q139,1))))</f>
        <v>45802</v>
      </c>
      <c r="U139" s="4">
        <f>DATE(AJ$2,$Q139,1+(($R139-($S139&gt;=WEEKDAY(DATE(AJ$2,$Q139,1))))*7)+($S139-WEEKDAY(DATE(AJ$2,$Q139,1))))</f>
        <v>46166</v>
      </c>
      <c r="V139" s="20">
        <v>0</v>
      </c>
      <c r="W139" s="20">
        <v>2</v>
      </c>
      <c r="X139" s="4">
        <f ca="1">Y139-(W139-1)</f>
        <v>45801</v>
      </c>
      <c r="Y139" s="5">
        <f ca="1">IF(OR(T139+V139&lt;(NOW()-0.5),ISNUMBER(SEARCH("&lt;h4&gt;",K139))),U139+V139,T139+V139)</f>
        <v>45802</v>
      </c>
      <c r="Z139" t="str">
        <f ca="1">CONCATENATE(IF(OR(Y139=X139,ISBLANK(Y139)),TEXT(X139,"mmmm d"),CONCATENATE(TEXT(X139,"mmmm d"),"-",IF(TEXT(X139,"mmmm")=TEXT(Y139,"mmmm"),TEXT(Y139,"d"),TEXT(Y139,"mmmm d")))),", ",YEAR(Y139))</f>
        <v>May 24-25, 2025</v>
      </c>
      <c r="AA139" s="7">
        <f>O139</f>
        <v>45575</v>
      </c>
      <c r="AB139" s="14">
        <f>T139+V139-(W139-1)</f>
        <v>45801</v>
      </c>
      <c r="AC139" t="s">
        <v>2335</v>
      </c>
      <c r="AD139" s="23" t="str">
        <f ca="1">CONCATENATE("&lt;add-to-calendar-button  name=",CHAR(34),H139,CHAR(34),
IF(ISBLANK(M139),"",CONCATENATE("   location=",CHAR(34),RIGHT(M139,LEN(M139)-SEARCH("|",M139)-1),CHAR(34))),
"   description=",CHAR(34),IF(ISBLANK(I139),"",CONCATENATE(I139,"; ")),"shapenotesingings.com",CHAR(34),
"   options=",CHAR(34),"'Apple','Google','iCal','Outlook.com'",CHAR(34),"   styleLight=",CHAR(34),"--btn-background: #550000; --btn-text: #fff; --btn-shadow:#fff;",CHAR(34),
IF(W139=1,CONCATENATE(
"startDate=",CHAR(34),TEXT(G139,"yyyy-mm-dd"),CHAR(34),
"{endDate=",CHAR(34),TEXT(G139,"yyyy-mm-dd"),CHAR(34),
IF(OR(ISBLANK(AE139),ISBLANK(AF139)),"",(CONCATENATE(" startTime=",CHAR(34),TEXT(AE139,"hh:mm"),CHAR(34)," endTime=",CHAR(34),TEXT(AF139,"h:mm"),CHAR(34),
" timeZone=",CHAR(34),AG139,CHAR(34))))),
IF(W139=2,CONCATENATE(" dates='[{",
CHAR(34),"startDate",CHAR(34),":",CHAR(34),TEXT(G139,"yyyy-mm-dd"),CHAR(34),", ",
,CHAR(34),"endDate",CHAR(34),":",CHAR(34),TEXT(G139,"yyyy-mm-dd"),CHAR(34),
IF(OR(ISBLANK(AE139),ISBLANK(AF139)),"",(CONCATENATE(", ",CHAR(34),"startTime",CHAR(34),":",CHAR(34),TEXT(AE139,"hh:mm"),CHAR(34),", ",CHAR(34),"endTime",CHAR(34),":",CHAR(34),TEXT(AF139,"hh:mm"),CHAR(34),", ",CHAR(34),"timeZone",CHAR(34),":",CHAR(34),AG139,CHAR(34)))),"}, {",
,CHAR(34),"startDate",CHAR(34),":",CHAR(34),TEXT(G139+1,"yyyy-mm-dd"),CHAR(34),", ",
,CHAR(34),"endDate",CHAR(34),":",CHAR(34),TEXT(G139+W139-1,"yyyy-mm-dd"),CHAR(34),
IF(OR(ISBLANK(AE139),ISBLANK(AF139)),"",(CONCATENATE(", ",CHAR(34),"startTime",CHAR(34),":",CHAR(34),TEXT(AE139,"hh:mm"),CHAR(34),", ",CHAR(34),"endTime",CHAR(34),":",CHAR(34),TEXT(AF139,"hh:mm"),CHAR(34),", ",CHAR(34),"timeZone",CHAR(34),":",CHAR(34),AG139,CHAR(34)))),"}]'"),
CONCATENATE(
"{  startDate=",CHAR(34),TEXT(G139,"yyyy-mm-dd"),CHAR(34),
"  endDate=",CHAR(34),TEXT(G139+W139-1,"yyyy-mm-dd"),CHAR(34),"}"))),
" &gt;&lt;/add-to-calendar-button&gt;")</f>
        <v>&lt;add-to-calendar-button  name="Germany Sacred Harp Convention"   location="Anthroposophische Gesellschaft, Freiligrathstraße 15, 28211 Bremen, Germany"   description="10am; shapenotesingings.com"   options="'Apple','Google','iCal','Outlook.com'"   styleLight="--btn-background: #550000; --btn-text: #fff; --btn-shadow:#fff;" dates='[{"startDate":"2025-05-24", "endDate":"2025-05-24", "startTime":"10:00", "endTime":"16:00", "timeZone":"Europe/Berlin"}, {"startDate":"2025-05-25", "endDate":"2025-05-25", "startTime":"10:00", "endTime":"16:00", "timeZone":"Europe/Berlin"}]' &gt;&lt;/add-to-calendar-button&gt;</v>
      </c>
      <c r="AE139" s="24">
        <v>0.41666666666666669</v>
      </c>
      <c r="AF139" s="24">
        <v>0.66666666666666663</v>
      </c>
      <c r="AG139" s="25" t="s">
        <v>1540</v>
      </c>
    </row>
    <row r="140" spans="1:33" x14ac:dyDescent="0.3">
      <c r="A140" t="s">
        <v>8</v>
      </c>
      <c r="B140" t="s">
        <v>2</v>
      </c>
      <c r="C140" t="s">
        <v>1159</v>
      </c>
      <c r="D140" t="s">
        <v>1511</v>
      </c>
      <c r="E140" t="s">
        <v>2178</v>
      </c>
      <c r="F140" t="s">
        <v>1513</v>
      </c>
      <c r="G140" s="7">
        <f ca="1">X140</f>
        <v>45801</v>
      </c>
      <c r="H140" s="5" t="s">
        <v>1512</v>
      </c>
      <c r="I140" t="s">
        <v>1048</v>
      </c>
      <c r="J140" s="36" t="s">
        <v>2694</v>
      </c>
      <c r="K140" t="s">
        <v>1515</v>
      </c>
      <c r="L140" t="s">
        <v>2937</v>
      </c>
      <c r="M140" s="16" t="s">
        <v>2934</v>
      </c>
      <c r="N140" s="16" t="s">
        <v>2935</v>
      </c>
      <c r="O140" s="7">
        <v>45758</v>
      </c>
      <c r="P140" s="7" t="s">
        <v>2936</v>
      </c>
      <c r="Q140" s="18">
        <v>5</v>
      </c>
      <c r="R140" s="18">
        <v>4</v>
      </c>
      <c r="S140" s="18">
        <v>1</v>
      </c>
      <c r="T140" s="4">
        <f>DATE(AI$2,$Q140,1+(($R140-($S140&gt;=WEEKDAY(DATE(AI$2,$Q140,1))))*7)+($S140-WEEKDAY(DATE(AI$2,$Q140,1))))</f>
        <v>45802</v>
      </c>
      <c r="U140" s="4">
        <f>DATE(AJ$2,$Q140,1+(($R140-($S140&gt;=WEEKDAY(DATE(AJ$2,$Q140,1))))*7)+($S140-WEEKDAY(DATE(AJ$2,$Q140,1))))</f>
        <v>46166</v>
      </c>
      <c r="V140" s="20">
        <v>-1</v>
      </c>
      <c r="W140" s="20">
        <v>1</v>
      </c>
      <c r="X140" s="4">
        <f ca="1">Y140-(W140-1)</f>
        <v>45801</v>
      </c>
      <c r="Y140" s="5">
        <f ca="1">IF(OR(T140+V140&lt;(NOW()-0.5),ISNUMBER(SEARCH("&lt;h4&gt;",K140))),U140+V140,T140+V140)</f>
        <v>45801</v>
      </c>
      <c r="Z140" t="str">
        <f ca="1">CONCATENATE(IF(OR(Y140=X140,ISBLANK(Y140)),TEXT(X140,"mmmm d"),CONCATENATE(TEXT(X140,"mmmm d"),"-",IF(TEXT(X140,"mmmm")=TEXT(Y140,"mmmm"),TEXT(Y140,"d"),TEXT(Y140,"mmmm d")))),", ",YEAR(Y140))</f>
        <v>May 24, 2025</v>
      </c>
      <c r="AA140" s="7">
        <f>O140</f>
        <v>45758</v>
      </c>
      <c r="AB140" s="14">
        <f>T140+V140-(W140-1)</f>
        <v>45801</v>
      </c>
      <c r="AC140" t="s">
        <v>1514</v>
      </c>
      <c r="AD140" s="23" t="str">
        <f ca="1">CONCATENATE("&lt;add-to-calendar-button  name=",CHAR(34),H140,CHAR(34),
IF(ISBLANK(M140),"",CONCATENATE("   location=",CHAR(34),RIGHT(M140,LEN(M140)-SEARCH("|",M140)-1),CHAR(34))),
"   description=",CHAR(34),IF(ISBLANK(I140),"",CONCATENATE(I140,"; ")),"shapenotesingings.com",CHAR(34),
"   options=",CHAR(34),"'Apple','Google','iCal','Outlook.com'",CHAR(34),"   styleLight=",CHAR(34),"--btn-background: #550000; --btn-text: #fff; --btn-shadow:#fff;",CHAR(34),
IF(W140=1,CONCATENATE(
"startDate=",CHAR(34),TEXT(G140,"yyyy-mm-dd"),CHAR(34),
"{endDate=",CHAR(34),TEXT(G140,"yyyy-mm-dd"),CHAR(34),
IF(OR(ISBLANK(AE140),ISBLANK(AF140)),"",(CONCATENATE(" startTime=",CHAR(34),TEXT(AE140,"hh:mm"),CHAR(34)," endTime=",CHAR(34),TEXT(AF140,"h:mm"),CHAR(34),
" timeZone=",CHAR(34),AG140,CHAR(34))))),
IF(W140=2,CONCATENATE(" dates='[{",
CHAR(34),"startDate",CHAR(34),":",CHAR(34),TEXT(G140,"yyyy-mm-dd"),CHAR(34),", ",
,CHAR(34),"endDate",CHAR(34),":",CHAR(34),TEXT(G140,"yyyy-mm-dd"),CHAR(34),
IF(OR(ISBLANK(AE140),ISBLANK(AF140)),"",(CONCATENATE(", ",CHAR(34),"startTime",CHAR(34),":",CHAR(34),TEXT(AE140,"hh:mm"),CHAR(34),", ",CHAR(34),"endTime",CHAR(34),":",CHAR(34),TEXT(AF140,"hh:mm"),CHAR(34),", ",CHAR(34),"timeZone",CHAR(34),":",CHAR(34),AG140,CHAR(34)))),"}, {",
,CHAR(34),"startDate",CHAR(34),":",CHAR(34),TEXT(G140+1,"yyyy-mm-dd"),CHAR(34),", ",
,CHAR(34),"endDate",CHAR(34),":",CHAR(34),TEXT(G140+W140-1,"yyyy-mm-dd"),CHAR(34),
IF(OR(ISBLANK(AE140),ISBLANK(AF140)),"",(CONCATENATE(", ",CHAR(34),"startTime",CHAR(34),":",CHAR(34),TEXT(AE140,"hh:mm"),CHAR(34),", ",CHAR(34),"endTime",CHAR(34),":",CHAR(34),TEXT(AF140,"hh:mm"),CHAR(34),", ",CHAR(34),"timeZone",CHAR(34),":",CHAR(34),AG140,CHAR(34)))),"}]'"),
CONCATENATE(
"{  startDate=",CHAR(34),TEXT(G140,"yyyy-mm-dd"),CHAR(34),
"  endDate=",CHAR(34),TEXT(G140+W140-1,"yyyy-mm-dd"),CHAR(34),"}"))),
" &gt;&lt;/add-to-calendar-button&gt;")</f>
        <v>&lt;add-to-calendar-button  name="Lowcountry Sacred Harp Society All-Day Singing"   location="St. Philip's Church, 142 Church St, Charleston, SC 29401"   description="9:30am-3pm; shapenotesingings.com"   options="'Apple','Google','iCal','Outlook.com'"   styleLight="--btn-background: #550000; --btn-text: #fff; --btn-shadow:#fff;"startDate="2025-05-24"{endDate="2025-05-24" startTime="09:30" endTime="15:00" timeZone="America/New_York" &gt;&lt;/add-to-calendar-button&gt;</v>
      </c>
      <c r="AE140" s="24">
        <v>0.39583333333333331</v>
      </c>
      <c r="AF140" s="24">
        <v>0.625</v>
      </c>
      <c r="AG140" s="25" t="s">
        <v>1532</v>
      </c>
    </row>
    <row r="141" spans="1:33" x14ac:dyDescent="0.3">
      <c r="A141" t="s">
        <v>8</v>
      </c>
      <c r="B141" t="s">
        <v>11</v>
      </c>
      <c r="C141" t="s">
        <v>1134</v>
      </c>
      <c r="D141" t="s">
        <v>419</v>
      </c>
      <c r="E141" t="s">
        <v>34</v>
      </c>
      <c r="F141" t="s">
        <v>415</v>
      </c>
      <c r="G141" s="7">
        <f ca="1">X141</f>
        <v>45802</v>
      </c>
      <c r="H141" s="5" t="s">
        <v>418</v>
      </c>
      <c r="I141" t="s">
        <v>1028</v>
      </c>
      <c r="K141" t="s">
        <v>1092</v>
      </c>
      <c r="L141" t="s">
        <v>953</v>
      </c>
      <c r="M141" s="16" t="s">
        <v>416</v>
      </c>
      <c r="N141" s="16" t="s">
        <v>417</v>
      </c>
      <c r="O141" s="7">
        <v>44936</v>
      </c>
      <c r="P141" s="7" t="s">
        <v>926</v>
      </c>
      <c r="Q141" s="18">
        <v>5</v>
      </c>
      <c r="R141" s="18">
        <v>4</v>
      </c>
      <c r="S141" s="18">
        <v>1</v>
      </c>
      <c r="T141" s="4">
        <f>DATE(AI$2,$Q141,1+(($R141-($S141&gt;=WEEKDAY(DATE(AI$2,$Q141,1))))*7)+($S141-WEEKDAY(DATE(AI$2,$Q141,1))))</f>
        <v>45802</v>
      </c>
      <c r="U141" s="4">
        <f>DATE(AJ$2,$Q141,1+(($R141-($S141&gt;=WEEKDAY(DATE(AJ$2,$Q141,1))))*7)+($S141-WEEKDAY(DATE(AJ$2,$Q141,1))))</f>
        <v>46166</v>
      </c>
      <c r="V141" s="20">
        <v>0</v>
      </c>
      <c r="W141" s="20">
        <v>1</v>
      </c>
      <c r="X141" s="4">
        <f ca="1">Y141-(W141-1)</f>
        <v>45802</v>
      </c>
      <c r="Y141" s="5">
        <f ca="1">IF(OR(T141+V141&lt;(NOW()-0.5),ISNUMBER(SEARCH("&lt;h4&gt;",K141))),U141+V141,T141+V141)</f>
        <v>45802</v>
      </c>
      <c r="Z141" t="str">
        <f ca="1">CONCATENATE(IF(OR(Y141=X141,ISBLANK(Y141)),TEXT(X141,"mmmm d"),CONCATENATE(TEXT(X141,"mmmm d"),"-",IF(TEXT(X141,"mmmm")=TEXT(Y141,"mmmm"),TEXT(Y141,"d"),TEXT(Y141,"mmmm d")))),", ",YEAR(Y141))</f>
        <v>May 25, 2025</v>
      </c>
      <c r="AA141" s="7">
        <f>O141</f>
        <v>44936</v>
      </c>
      <c r="AB141" s="14">
        <f>T141+V141-(W141-1)</f>
        <v>45802</v>
      </c>
      <c r="AC141" t="s">
        <v>1277</v>
      </c>
      <c r="AD141" s="23" t="str">
        <f ca="1">CONCATENATE("&lt;add-to-calendar-button  name=",CHAR(34),H141,CHAR(34),
IF(ISBLANK(M141),"",CONCATENATE("   location=",CHAR(34),RIGHT(M141,LEN(M141)-SEARCH("|",M141)-1),CHAR(34))),
"   description=",CHAR(34),IF(ISBLANK(I141),"",CONCATENATE(I141,"; ")),"shapenotesingings.com",CHAR(34),
"   options=",CHAR(34),"'Apple','Google','iCal','Outlook.com'",CHAR(34),"   styleLight=",CHAR(34),"--btn-background: #550000; --btn-text: #fff; --btn-shadow:#fff;",CHAR(34),
IF(W141=1,CONCATENATE(
"startDate=",CHAR(34),TEXT(G141,"yyyy-mm-dd"),CHAR(34),
"{endDate=",CHAR(34),TEXT(G141,"yyyy-mm-dd"),CHAR(34),
IF(OR(ISBLANK(AE141),ISBLANK(AF141)),"",(CONCATENATE(" startTime=",CHAR(34),TEXT(AE141,"hh:mm"),CHAR(34)," endTime=",CHAR(34),TEXT(AF141,"h:mm"),CHAR(34),
" timeZone=",CHAR(34),AG141,CHAR(34))))),
IF(W141=2,CONCATENATE(" dates='[{",
CHAR(34),"startDate",CHAR(34),":",CHAR(34),TEXT(G141,"yyyy-mm-dd"),CHAR(34),", ",
,CHAR(34),"endDate",CHAR(34),":",CHAR(34),TEXT(G141,"yyyy-mm-dd"),CHAR(34),
IF(OR(ISBLANK(AE141),ISBLANK(AF141)),"",(CONCATENATE(", ",CHAR(34),"startTime",CHAR(34),":",CHAR(34),TEXT(AE141,"hh:mm"),CHAR(34),", ",CHAR(34),"endTime",CHAR(34),":",CHAR(34),TEXT(AF141,"hh:mm"),CHAR(34),", ",CHAR(34),"timeZone",CHAR(34),":",CHAR(34),AG141,CHAR(34)))),"}, {",
,CHAR(34),"startDate",CHAR(34),":",CHAR(34),TEXT(G141+1,"yyyy-mm-dd"),CHAR(34),", ",
,CHAR(34),"endDate",CHAR(34),":",CHAR(34),TEXT(G141+W141-1,"yyyy-mm-dd"),CHAR(34),
IF(OR(ISBLANK(AE141),ISBLANK(AF141)),"",(CONCATENATE(", ",CHAR(34),"startTime",CHAR(34),":",CHAR(34),TEXT(AE141,"hh:mm"),CHAR(34),", ",CHAR(34),"endTime",CHAR(34),":",CHAR(34),TEXT(AF141,"hh:mm"),CHAR(34),", ",CHAR(34),"timeZone",CHAR(34),":",CHAR(34),AG141,CHAR(34)))),"}]'"),
CONCATENATE(
"{  startDate=",CHAR(34),TEXT(G141,"yyyy-mm-dd"),CHAR(34),
"  endDate=",CHAR(34),TEXT(G141+W141-1,"yyyy-mm-dd"),CHAR(34),"}"))),
" &gt;&lt;/add-to-calendar-button&gt;")</f>
        <v>&lt;add-to-calendar-button  name="Beda Church Singing"   location="Beda Baptist Church, 7971 Beda Road, Wing, Alabama"   description="10am; shapenotesingings.com"   options="'Apple','Google','iCal','Outlook.com'"   styleLight="--btn-background: #550000; --btn-text: #fff; --btn-shadow:#fff;"startDate="2025-05-25"{endDate="2025-05-25" startTime="10:00" endTime="15:00" timeZone="America/Chicago" &gt;&lt;/add-to-calendar-button&gt;</v>
      </c>
      <c r="AE141" s="24">
        <v>0.41666666666666669</v>
      </c>
      <c r="AF141" s="24">
        <v>0.625</v>
      </c>
      <c r="AG141" s="25" t="s">
        <v>1533</v>
      </c>
    </row>
    <row r="142" spans="1:33" x14ac:dyDescent="0.3">
      <c r="A142" t="s">
        <v>8</v>
      </c>
      <c r="B142" t="s">
        <v>87</v>
      </c>
      <c r="C142" t="s">
        <v>1151</v>
      </c>
      <c r="D142" t="s">
        <v>88</v>
      </c>
      <c r="E142" t="s">
        <v>2182</v>
      </c>
      <c r="F142" t="s">
        <v>892</v>
      </c>
      <c r="G142" s="7">
        <f ca="1">X142</f>
        <v>45803</v>
      </c>
      <c r="H142" s="5" t="s">
        <v>2695</v>
      </c>
      <c r="I142" t="s">
        <v>1101</v>
      </c>
      <c r="J142" s="36" t="s">
        <v>2696</v>
      </c>
      <c r="K142" t="s">
        <v>1093</v>
      </c>
      <c r="L142" t="s">
        <v>2047</v>
      </c>
      <c r="M142" s="16" t="s">
        <v>90</v>
      </c>
      <c r="N142" s="16" t="s">
        <v>134</v>
      </c>
      <c r="O142" s="7">
        <v>44936</v>
      </c>
      <c r="P142" s="7" t="s">
        <v>926</v>
      </c>
      <c r="Q142" s="18">
        <v>6</v>
      </c>
      <c r="R142" s="18">
        <v>1</v>
      </c>
      <c r="S142" s="18">
        <v>2</v>
      </c>
      <c r="T142" s="4">
        <f>DATE(AI$2,$Q142,1+(($R142-($S142&gt;=WEEKDAY(DATE(AI$2,$Q142,1))))*7)+($S142-WEEKDAY(DATE(AI$2,$Q142,1))))</f>
        <v>45810</v>
      </c>
      <c r="U142" s="4">
        <f>DATE(AJ$2,$Q142,1+(($R142-($S142&gt;=WEEKDAY(DATE(AJ$2,$Q142,1))))*7)+($S142-WEEKDAY(DATE(AJ$2,$Q142,1))))</f>
        <v>46174</v>
      </c>
      <c r="V142" s="20">
        <v>-7</v>
      </c>
      <c r="W142" s="20">
        <v>1</v>
      </c>
      <c r="X142" s="4">
        <f ca="1">Y142-(W142-1)</f>
        <v>45803</v>
      </c>
      <c r="Y142" s="5">
        <f ca="1">IF(OR(T142+V142&lt;(NOW()-0.5),ISNUMBER(SEARCH("&lt;h4&gt;",K142))),U142+V142,T142+V142)</f>
        <v>45803</v>
      </c>
      <c r="Z142" t="str">
        <f ca="1">CONCATENATE(IF(OR(Y142=X142,ISBLANK(Y142)),TEXT(X142,"mmmm d"),CONCATENATE(TEXT(X142,"mmmm d"),"-",IF(TEXT(X142,"mmmm")=TEXT(Y142,"mmmm"),TEXT(Y142,"d"),TEXT(Y142,"mmmm d")))),", ",YEAR(Y142))</f>
        <v>May 26, 2025</v>
      </c>
      <c r="AA142" s="7">
        <f>O142</f>
        <v>44936</v>
      </c>
      <c r="AB142" s="14">
        <f>T142+V142-(W142-1)</f>
        <v>45803</v>
      </c>
      <c r="AC142" t="s">
        <v>1279</v>
      </c>
      <c r="AD142" s="23" t="str">
        <f ca="1">CONCATENATE("&lt;add-to-calendar-button  name=",CHAR(34),H142,CHAR(34),
IF(ISBLANK(M142),"",CONCATENATE("   location=",CHAR(34),RIGHT(M142,LEN(M142)-SEARCH("|",M142)-1),CHAR(34))),
"   description=",CHAR(34),IF(ISBLANK(I142),"",CONCATENATE(I142,"; ")),"shapenotesingings.com",CHAR(34),
"   options=",CHAR(34),"'Apple','Google','iCal','Outlook.com'",CHAR(34),"   styleLight=",CHAR(34),"--btn-background: #550000; --btn-text: #fff; --btn-shadow:#fff;",CHAR(34),
IF(W142=1,CONCATENATE(
"startDate=",CHAR(34),TEXT(G142,"yyyy-mm-dd"),CHAR(34),
"{endDate=",CHAR(34),TEXT(G142,"yyyy-mm-dd"),CHAR(34),
IF(OR(ISBLANK(AE142),ISBLANK(AF142)),"",(CONCATENATE(" startTime=",CHAR(34),TEXT(AE142,"hh:mm"),CHAR(34)," endTime=",CHAR(34),TEXT(AF142,"h:mm"),CHAR(34),
" timeZone=",CHAR(34),AG142,CHAR(34))))),
IF(W142=2,CONCATENATE(" dates='[{",
CHAR(34),"startDate",CHAR(34),":",CHAR(34),TEXT(G142,"yyyy-mm-dd"),CHAR(34),", ",
,CHAR(34),"endDate",CHAR(34),":",CHAR(34),TEXT(G142,"yyyy-mm-dd"),CHAR(34),
IF(OR(ISBLANK(AE142),ISBLANK(AF142)),"",(CONCATENATE(", ",CHAR(34),"startTime",CHAR(34),":",CHAR(34),TEXT(AE142,"hh:mm"),CHAR(34),", ",CHAR(34),"endTime",CHAR(34),":",CHAR(34),TEXT(AF142,"hh:mm"),CHAR(34),", ",CHAR(34),"timeZone",CHAR(34),":",CHAR(34),AG142,CHAR(34)))),"}, {",
,CHAR(34),"startDate",CHAR(34),":",CHAR(34),TEXT(G142+1,"yyyy-mm-dd"),CHAR(34),", ",
,CHAR(34),"endDate",CHAR(34),":",CHAR(34),TEXT(G142+W142-1,"yyyy-mm-dd"),CHAR(34),
IF(OR(ISBLANK(AE142),ISBLANK(AF142)),"",(CONCATENATE(", ",CHAR(34),"startTime",CHAR(34),":",CHAR(34),TEXT(AE142,"hh:mm"),CHAR(34),", ",CHAR(34),"endTime",CHAR(34),":",CHAR(34),TEXT(AF142,"hh:mm"),CHAR(34),", ",CHAR(34),"timeZone",CHAR(34),":",CHAR(34),AG142,CHAR(34)))),"}]'"),
CONCATENATE(
"{  startDate=",CHAR(34),TEXT(G142,"yyyy-mm-dd"),CHAR(34),
"  endDate=",CHAR(34),TEXT(G142+W142-1,"yyyy-mm-dd"),CHAR(34),"}"))),
" &gt;&lt;/add-to-calendar-button&gt;")</f>
        <v>&lt;add-to-calendar-button  name="Northeast Missouri Memorial Day Singing"   location=" Old Paths Bible Church, CR 410 near Bowling Green MO"   description="10am-4pm; shapenotesingings.com"   options="'Apple','Google','iCal','Outlook.com'"   styleLight="--btn-background: #550000; --btn-text: #fff; --btn-shadow:#fff;"startDate="2025-05-26"{endDate="2025-05-26" startTime="10:00" endTime="16:00" timeZone="America/Chicago" &gt;&lt;/add-to-calendar-button&gt;</v>
      </c>
      <c r="AE142" s="24">
        <v>0.41666666666666669</v>
      </c>
      <c r="AF142" s="24">
        <v>0.66666666666666663</v>
      </c>
      <c r="AG142" s="25" t="s">
        <v>1533</v>
      </c>
    </row>
    <row r="143" spans="1:33" x14ac:dyDescent="0.3">
      <c r="A143" t="s">
        <v>144</v>
      </c>
      <c r="B143" t="s">
        <v>144</v>
      </c>
      <c r="C143" t="s">
        <v>1162</v>
      </c>
      <c r="D143" t="s">
        <v>437</v>
      </c>
      <c r="E143" t="s">
        <v>2176</v>
      </c>
      <c r="F143" t="s">
        <v>1182</v>
      </c>
      <c r="G143" s="7">
        <f ca="1">X143</f>
        <v>45808</v>
      </c>
      <c r="H143" s="5" t="s">
        <v>1180</v>
      </c>
      <c r="I143" t="s">
        <v>1181</v>
      </c>
      <c r="J143" s="36" t="s">
        <v>2697</v>
      </c>
      <c r="K143" t="s">
        <v>1187</v>
      </c>
      <c r="L143" t="s">
        <v>2048</v>
      </c>
      <c r="M143" s="16" t="s">
        <v>1183</v>
      </c>
      <c r="N143" s="16" t="s">
        <v>1184</v>
      </c>
      <c r="O143" s="7">
        <v>44979</v>
      </c>
      <c r="P143" s="7" t="s">
        <v>1185</v>
      </c>
      <c r="Q143" s="18">
        <v>6</v>
      </c>
      <c r="R143" s="18">
        <v>1</v>
      </c>
      <c r="S143" s="18">
        <v>2</v>
      </c>
      <c r="T143" s="4">
        <f>DATE(AI$2,$Q143,1+(($R143-($S143&gt;=WEEKDAY(DATE(AI$2,$Q143,1))))*7)+($S143-WEEKDAY(DATE(AI$2,$Q143,1))))</f>
        <v>45810</v>
      </c>
      <c r="U143" s="4">
        <f>DATE(AJ$2,$Q143,1+(($R143-($S143&gt;=WEEKDAY(DATE(AJ$2,$Q143,1))))*7)+($S143-WEEKDAY(DATE(AJ$2,$Q143,1))))</f>
        <v>46174</v>
      </c>
      <c r="V143" s="20">
        <v>-1</v>
      </c>
      <c r="W143" s="20">
        <v>2</v>
      </c>
      <c r="X143" s="4">
        <f ca="1">Y143-(W143-1)</f>
        <v>45808</v>
      </c>
      <c r="Y143" s="5">
        <f ca="1">IF(OR(T143+V143&lt;(NOW()-0.5),ISNUMBER(SEARCH("&lt;h4&gt;",K143))),U143+V143,T143+V143)</f>
        <v>45809</v>
      </c>
      <c r="Z143" t="str">
        <f ca="1">CONCATENATE(IF(OR(Y143=X143,ISBLANK(Y143)),TEXT(X143,"mmmm d"),CONCATENATE(TEXT(X143,"mmmm d"),"-",IF(TEXT(X143,"mmmm")=TEXT(Y143,"mmmm"),TEXT(Y143,"d"),TEXT(Y143,"mmmm d")))),", ",YEAR(Y143))</f>
        <v>May 31-June 1, 2025</v>
      </c>
      <c r="AA143" s="7">
        <f>O143</f>
        <v>44979</v>
      </c>
      <c r="AB143" s="14">
        <f>T143+V143-(W143-1)</f>
        <v>45808</v>
      </c>
      <c r="AC143" t="s">
        <v>1284</v>
      </c>
      <c r="AD143" s="23" t="str">
        <f ca="1">CONCATENATE("&lt;add-to-calendar-button  name=",CHAR(34),H143,CHAR(34),
IF(ISBLANK(M143),"",CONCATENATE("   location=",CHAR(34),RIGHT(M143,LEN(M143)-SEARCH("|",M143)-1),CHAR(34))),
"   description=",CHAR(34),IF(ISBLANK(I143),"",CONCATENATE(I143,"; ")),"shapenotesingings.com",CHAR(34),
"   options=",CHAR(34),"'Apple','Google','iCal','Outlook.com'",CHAR(34),"   styleLight=",CHAR(34),"--btn-background: #550000; --btn-text: #fff; --btn-shadow:#fff;",CHAR(34),
IF(W143=1,CONCATENATE(
"startDate=",CHAR(34),TEXT(G143,"yyyy-mm-dd"),CHAR(34),
"{endDate=",CHAR(34),TEXT(G143,"yyyy-mm-dd"),CHAR(34),
IF(OR(ISBLANK(AE143),ISBLANK(AF143)),"",(CONCATENATE(" startTime=",CHAR(34),TEXT(AE143,"hh:mm"),CHAR(34)," endTime=",CHAR(34),TEXT(AF143,"h:mm"),CHAR(34),
" timeZone=",CHAR(34),AG143,CHAR(34))))),
IF(W143=2,CONCATENATE(" dates='[{",
CHAR(34),"startDate",CHAR(34),":",CHAR(34),TEXT(G143,"yyyy-mm-dd"),CHAR(34),", ",
,CHAR(34),"endDate",CHAR(34),":",CHAR(34),TEXT(G143,"yyyy-mm-dd"),CHAR(34),
IF(OR(ISBLANK(AE143),ISBLANK(AF143)),"",(CONCATENATE(", ",CHAR(34),"startTime",CHAR(34),":",CHAR(34),TEXT(AE143,"hh:mm"),CHAR(34),", ",CHAR(34),"endTime",CHAR(34),":",CHAR(34),TEXT(AF143,"hh:mm"),CHAR(34),", ",CHAR(34),"timeZone",CHAR(34),":",CHAR(34),AG143,CHAR(34)))),"}, {",
,CHAR(34),"startDate",CHAR(34),":",CHAR(34),TEXT(G143+1,"yyyy-mm-dd"),CHAR(34),", ",
,CHAR(34),"endDate",CHAR(34),":",CHAR(34),TEXT(G143+W143-1,"yyyy-mm-dd"),CHAR(34),
IF(OR(ISBLANK(AE143),ISBLANK(AF143)),"",(CONCATENATE(", ",CHAR(34),"startTime",CHAR(34),":",CHAR(34),TEXT(AE143,"hh:mm"),CHAR(34),", ",CHAR(34),"endTime",CHAR(34),":",CHAR(34),TEXT(AF143,"hh:mm"),CHAR(34),", ",CHAR(34),"timeZone",CHAR(34),":",CHAR(34),AG143,CHAR(34)))),"}]'"),
CONCATENATE(
"{  startDate=",CHAR(34),TEXT(G143,"yyyy-mm-dd"),CHAR(34),
"  endDate=",CHAR(34),TEXT(G143+W143-1,"yyyy-mm-dd"),CHAR(34),"}"))),
" &gt;&lt;/add-to-calendar-button&gt;")</f>
        <v>&lt;add-to-calendar-button  name="Newcastle Singing"   location="Saturday: St Francis Church Hall, Cleveland Gardens High Heaton, Newcastle, NE7 7QH, UK and Sunday: Side by Side Arts, Dunsmuir Grove, Gateshead, NE8 4QL, UK"   description="10:30-3:30; shapenotesingings.com"   options="'Apple','Google','iCal','Outlook.com'"   styleLight="--btn-background: #550000; --btn-text: #fff; --btn-shadow:#fff;" dates='[{"startDate":"2025-05-31", "endDate":"2025-05-31", "startTime":"10:30", "endTime":"15:00", "timeZone":"Europe/London"}, {"startDate":"2025-06-01", "endDate":"2025-06-01", "startTime":"10:30", "endTime":"15:00", "timeZone":"Europe/London"}]' &gt;&lt;/add-to-calendar-button&gt;</v>
      </c>
      <c r="AE143" s="24">
        <v>0.4375</v>
      </c>
      <c r="AF143" s="24">
        <v>0.625</v>
      </c>
      <c r="AG143" s="25" t="s">
        <v>1535</v>
      </c>
    </row>
    <row r="144" spans="1:33" x14ac:dyDescent="0.3">
      <c r="A144" t="s">
        <v>8</v>
      </c>
      <c r="B144" t="s">
        <v>273</v>
      </c>
      <c r="C144" t="s">
        <v>1160</v>
      </c>
      <c r="D144" t="s">
        <v>811</v>
      </c>
      <c r="E144" t="s">
        <v>777</v>
      </c>
      <c r="F144" t="s">
        <v>441</v>
      </c>
      <c r="G144" s="7">
        <f ca="1">X144</f>
        <v>45808</v>
      </c>
      <c r="H144" s="5" t="s">
        <v>1472</v>
      </c>
      <c r="I144" t="s">
        <v>1028</v>
      </c>
      <c r="J144" s="36" t="s">
        <v>2595</v>
      </c>
      <c r="L144" t="s">
        <v>1448</v>
      </c>
      <c r="M144" s="16" t="s">
        <v>1474</v>
      </c>
      <c r="N144" s="16" t="s">
        <v>1475</v>
      </c>
      <c r="O144" s="7">
        <v>45012</v>
      </c>
      <c r="P144" s="7" t="s">
        <v>1509</v>
      </c>
      <c r="Q144" s="18">
        <v>6</v>
      </c>
      <c r="R144" s="18">
        <v>1</v>
      </c>
      <c r="S144" s="18">
        <v>1</v>
      </c>
      <c r="T144" s="4">
        <f>DATE(AI$2,$Q144,1+(($R144-($S144&gt;=WEEKDAY(DATE(AI$2,$Q144,1))))*7)+($S144-WEEKDAY(DATE(AI$2,$Q144,1))))</f>
        <v>45809</v>
      </c>
      <c r="U144" s="4">
        <f>DATE(AJ$2,$Q144,1+(($R144-($S144&gt;=WEEKDAY(DATE(AJ$2,$Q144,1))))*7)+($S144-WEEKDAY(DATE(AJ$2,$Q144,1))))</f>
        <v>46180</v>
      </c>
      <c r="V144" s="20">
        <v>-1</v>
      </c>
      <c r="W144" s="20">
        <v>1</v>
      </c>
      <c r="X144" s="4">
        <f ca="1">Y144-(W144-1)</f>
        <v>45808</v>
      </c>
      <c r="Y144" s="5">
        <f ca="1">IF(OR(T144+V144&lt;(NOW()-0.5),ISNUMBER(SEARCH("&lt;h4&gt;",K144))),U144+V144,T144+V144)</f>
        <v>45808</v>
      </c>
      <c r="Z144" t="str">
        <f ca="1">CONCATENATE(IF(OR(Y144=X144,ISBLANK(Y144)),TEXT(X144,"mmmm d"),CONCATENATE(TEXT(X144,"mmmm d"),"-",IF(TEXT(X144,"mmmm")=TEXT(Y144,"mmmm"),TEXT(Y144,"d"),TEXT(Y144,"mmmm d")))),", ",YEAR(Y144))</f>
        <v>May 31, 2025</v>
      </c>
      <c r="AA144" s="7">
        <f>O144</f>
        <v>45012</v>
      </c>
      <c r="AB144" s="14">
        <f>T144+V144-(W144-1)</f>
        <v>45808</v>
      </c>
      <c r="AC144" t="s">
        <v>1473</v>
      </c>
      <c r="AD144" s="23" t="str">
        <f ca="1">CONCATENATE("&lt;add-to-calendar-button  name=",CHAR(34),H144,CHAR(34),
IF(ISBLANK(M144),"",CONCATENATE("   location=",CHAR(34),RIGHT(M144,LEN(M144)-SEARCH("|",M144)-1),CHAR(34))),
"   description=",CHAR(34),IF(ISBLANK(I144),"",CONCATENATE(I144,"; ")),"shapenotesingings.com",CHAR(34),
"   options=",CHAR(34),"'Apple','Google','iCal','Outlook.com'",CHAR(34),"   styleLight=",CHAR(34),"--btn-background: #550000; --btn-text: #fff; --btn-shadow:#fff;",CHAR(34),
IF(W144=1,CONCATENATE(
"startDate=",CHAR(34),TEXT(G144,"yyyy-mm-dd"),CHAR(34),
"{endDate=",CHAR(34),TEXT(G144,"yyyy-mm-dd"),CHAR(34),
IF(OR(ISBLANK(AE144),ISBLANK(AF144)),"",(CONCATENATE(" startTime=",CHAR(34),TEXT(AE144,"hh:mm"),CHAR(34)," endTime=",CHAR(34),TEXT(AF144,"h:mm"),CHAR(34),
" timeZone=",CHAR(34),AG144,CHAR(34))))),
IF(W144=2,CONCATENATE(" dates='[{",
CHAR(34),"startDate",CHAR(34),":",CHAR(34),TEXT(G144,"yyyy-mm-dd"),CHAR(34),", ",
,CHAR(34),"endDate",CHAR(34),":",CHAR(34),TEXT(G144,"yyyy-mm-dd"),CHAR(34),
IF(OR(ISBLANK(AE144),ISBLANK(AF144)),"",(CONCATENATE(", ",CHAR(34),"startTime",CHAR(34),":",CHAR(34),TEXT(AE144,"hh:mm"),CHAR(34),", ",CHAR(34),"endTime",CHAR(34),":",CHAR(34),TEXT(AF144,"hh:mm"),CHAR(34),", ",CHAR(34),"timeZone",CHAR(34),":",CHAR(34),AG144,CHAR(34)))),"}, {",
,CHAR(34),"startDate",CHAR(34),":",CHAR(34),TEXT(G144+1,"yyyy-mm-dd"),CHAR(34),", ",
,CHAR(34),"endDate",CHAR(34),":",CHAR(34),TEXT(G144+W144-1,"yyyy-mm-dd"),CHAR(34),
IF(OR(ISBLANK(AE144),ISBLANK(AF144)),"",(CONCATENATE(", ",CHAR(34),"startTime",CHAR(34),":",CHAR(34),TEXT(AE144,"hh:mm"),CHAR(34),", ",CHAR(34),"endTime",CHAR(34),":",CHAR(34),TEXT(AF144,"hh:mm"),CHAR(34),", ",CHAR(34),"timeZone",CHAR(34),":",CHAR(34),AG144,CHAR(34)))),"}]'"),
CONCATENATE(
"{  startDate=",CHAR(34),TEXT(G144,"yyyy-mm-dd"),CHAR(34),
"  endDate=",CHAR(34),TEXT(G144+W144-1,"yyyy-mm-dd"),CHAR(34),"}"))),
" &gt;&lt;/add-to-calendar-button&gt;")</f>
        <v>&lt;add-to-calendar-button  name="Franklin Singing"   location="New Bethel Cumberland Presbyterian Church, 90 Cox Rd, Greeneville, TN 37743"   description="10am; shapenotesingings.com"   options="'Apple','Google','iCal','Outlook.com'"   styleLight="--btn-background: #550000; --btn-text: #fff; --btn-shadow:#fff;"startDate="2025-05-31"{endDate="2025-05-31" startTime="10:00" endTime="15:00" timeZone="America/New_York" &gt;&lt;/add-to-calendar-button&gt;</v>
      </c>
      <c r="AE144" s="24">
        <v>0.41666666666666669</v>
      </c>
      <c r="AF144" s="24">
        <v>0.625</v>
      </c>
      <c r="AG144" s="25" t="s">
        <v>1532</v>
      </c>
    </row>
    <row r="145" spans="1:33" x14ac:dyDescent="0.3">
      <c r="A145" t="s">
        <v>8</v>
      </c>
      <c r="B145" t="s">
        <v>743</v>
      </c>
      <c r="C145" t="s">
        <v>1165</v>
      </c>
      <c r="D145" t="s">
        <v>2092</v>
      </c>
      <c r="E145" t="s">
        <v>50</v>
      </c>
      <c r="F145" t="s">
        <v>441</v>
      </c>
      <c r="G145" s="7">
        <f ca="1">X145</f>
        <v>45808</v>
      </c>
      <c r="H145" s="5" t="s">
        <v>2093</v>
      </c>
      <c r="I145" t="s">
        <v>1037</v>
      </c>
      <c r="L145" t="s">
        <v>2094</v>
      </c>
      <c r="M145" s="16" t="s">
        <v>2096</v>
      </c>
      <c r="N145" s="16" t="s">
        <v>2097</v>
      </c>
      <c r="O145" s="7">
        <v>45437</v>
      </c>
      <c r="P145" s="7" t="s">
        <v>2095</v>
      </c>
      <c r="Q145" s="18">
        <v>6</v>
      </c>
      <c r="R145" s="18">
        <v>1</v>
      </c>
      <c r="S145" s="18">
        <v>1</v>
      </c>
      <c r="T145" s="4">
        <f>DATE(AI$2,$Q145,1+(($R145-($S145&gt;=WEEKDAY(DATE(AI$2,$Q145,1))))*7)+($S145-WEEKDAY(DATE(AI$2,$Q145,1))))</f>
        <v>45809</v>
      </c>
      <c r="U145" s="4">
        <f>DATE(AJ$2,$Q145,1+(($R145-($S145&gt;=WEEKDAY(DATE(AJ$2,$Q145,1))))*7)+($S145-WEEKDAY(DATE(AJ$2,$Q145,1))))</f>
        <v>46180</v>
      </c>
      <c r="V145" s="20">
        <v>-1</v>
      </c>
      <c r="W145" s="20">
        <v>1</v>
      </c>
      <c r="X145" s="4">
        <f ca="1">Y145-(W145-1)</f>
        <v>45808</v>
      </c>
      <c r="Y145" s="5">
        <f ca="1">IF(OR(T145+V145&lt;(NOW()-0.5),ISNUMBER(SEARCH("&lt;h4&gt;",K145))),U145+V145,T145+V145)</f>
        <v>45808</v>
      </c>
      <c r="Z145" t="str">
        <f ca="1">CONCATENATE(IF(OR(Y145=X145,ISBLANK(Y145)),TEXT(X145,"mmmm d"),CONCATENATE(TEXT(X145,"mmmm d"),"-",IF(TEXT(X145,"mmmm")=TEXT(Y145,"mmmm"),TEXT(Y145,"d"),TEXT(Y145,"mmmm d")))),", ",YEAR(Y145))</f>
        <v>May 31, 2025</v>
      </c>
      <c r="AA145" s="7">
        <f>O145</f>
        <v>45437</v>
      </c>
      <c r="AB145" s="14">
        <f>T145+V145-(W145-1)</f>
        <v>45808</v>
      </c>
      <c r="AC145" t="s">
        <v>2098</v>
      </c>
      <c r="AD145" s="23" t="str">
        <f ca="1">CONCATENATE("&lt;add-to-calendar-button  name=",CHAR(34),H145,CHAR(34),
IF(ISBLANK(M145),"",CONCATENATE("   location=",CHAR(34),RIGHT(M145,LEN(M145)-SEARCH("|",M145)-1),CHAR(34))),
"   description=",CHAR(34),IF(ISBLANK(I145),"",CONCATENATE(I145,"; ")),"shapenotesingings.com",CHAR(34),
"   options=",CHAR(34),"'Apple','Google','iCal','Outlook.com'",CHAR(34),"   styleLight=",CHAR(34),"--btn-background: #550000; --btn-text: #fff; --btn-shadow:#fff;",CHAR(34),
IF(W145=1,CONCATENATE(
"startDate=",CHAR(34),TEXT(G145,"yyyy-mm-dd"),CHAR(34),
"{endDate=",CHAR(34),TEXT(G145,"yyyy-mm-dd"),CHAR(34),
IF(OR(ISBLANK(AE145),ISBLANK(AF145)),"",(CONCATENATE(" startTime=",CHAR(34),TEXT(AE145,"hh:mm"),CHAR(34)," endTime=",CHAR(34),TEXT(AF145,"h:mm"),CHAR(34),
" timeZone=",CHAR(34),AG145,CHAR(34))))),
IF(W145=2,CONCATENATE(" dates='[{",
CHAR(34),"startDate",CHAR(34),":",CHAR(34),TEXT(G145,"yyyy-mm-dd"),CHAR(34),", ",
,CHAR(34),"endDate",CHAR(34),":",CHAR(34),TEXT(G145,"yyyy-mm-dd"),CHAR(34),
IF(OR(ISBLANK(AE145),ISBLANK(AF145)),"",(CONCATENATE(", ",CHAR(34),"startTime",CHAR(34),":",CHAR(34),TEXT(AE145,"hh:mm"),CHAR(34),", ",CHAR(34),"endTime",CHAR(34),":",CHAR(34),TEXT(AF145,"hh:mm"),CHAR(34),", ",CHAR(34),"timeZone",CHAR(34),":",CHAR(34),AG145,CHAR(34)))),"}, {",
,CHAR(34),"startDate",CHAR(34),":",CHAR(34),TEXT(G145+1,"yyyy-mm-dd"),CHAR(34),", ",
,CHAR(34),"endDate",CHAR(34),":",CHAR(34),TEXT(G145+W145-1,"yyyy-mm-dd"),CHAR(34),
IF(OR(ISBLANK(AE145),ISBLANK(AF145)),"",(CONCATENATE(", ",CHAR(34),"startTime",CHAR(34),":",CHAR(34),TEXT(AE145,"hh:mm"),CHAR(34),", ",CHAR(34),"endTime",CHAR(34),":",CHAR(34),TEXT(AF145,"hh:mm"),CHAR(34),", ",CHAR(34),"timeZone",CHAR(34),":",CHAR(34),AG145,CHAR(34)))),"}]'"),
CONCATENATE(
"{  startDate=",CHAR(34),TEXT(G145,"yyyy-mm-dd"),CHAR(34),
"  endDate=",CHAR(34),TEXT(G145+W145-1,"yyyy-mm-dd"),CHAR(34),"}"))),
" &gt;&lt;/add-to-calendar-button&gt;")</f>
        <v>&lt;add-to-calendar-button  name="South Shore of Lake Superior All-Day Singing"   location="Lake Wind Coffee, 83010 Washington Ave, Port Wing, WI 54865"   description="10am-3pm; shapenotesingings.com"   options="'Apple','Google','iCal','Outlook.com'"   styleLight="--btn-background: #550000; --btn-text: #fff; --btn-shadow:#fff;"startDate="2025-05-31"{endDate="2025-05-31" startTime="10:00" endTime="15:30" timeZone="America/Chicago" &gt;&lt;/add-to-calendar-button&gt;</v>
      </c>
      <c r="AE145" s="24">
        <v>0.41666666666666669</v>
      </c>
      <c r="AF145" s="24">
        <v>0.64583333333333337</v>
      </c>
      <c r="AG145" s="25" t="s">
        <v>1533</v>
      </c>
    </row>
    <row r="146" spans="1:33" x14ac:dyDescent="0.3">
      <c r="A146" t="s">
        <v>8</v>
      </c>
      <c r="B146" t="s">
        <v>11</v>
      </c>
      <c r="C146" t="s">
        <v>1134</v>
      </c>
      <c r="D146" t="s">
        <v>216</v>
      </c>
      <c r="E146" t="s">
        <v>2178</v>
      </c>
      <c r="F146" t="s">
        <v>441</v>
      </c>
      <c r="G146" s="7">
        <f ca="1">X146</f>
        <v>45808</v>
      </c>
      <c r="H146" s="5" t="s">
        <v>431</v>
      </c>
      <c r="I146" t="s">
        <v>1037</v>
      </c>
      <c r="J146" s="36" t="s">
        <v>2698</v>
      </c>
      <c r="L146" t="s">
        <v>2110</v>
      </c>
      <c r="M146" s="16" t="s">
        <v>1009</v>
      </c>
      <c r="N146" s="16" t="s">
        <v>432</v>
      </c>
      <c r="O146" s="7">
        <v>44936</v>
      </c>
      <c r="P146" s="7" t="s">
        <v>926</v>
      </c>
      <c r="Q146" s="18">
        <v>6</v>
      </c>
      <c r="R146" s="18">
        <v>1</v>
      </c>
      <c r="S146" s="18">
        <v>1</v>
      </c>
      <c r="T146" s="4">
        <f>DATE(AI$2,$Q146,1+(($R146-($S146&gt;=WEEKDAY(DATE(AI$2,$Q146,1))))*7)+($S146-WEEKDAY(DATE(AI$2,$Q146,1))))</f>
        <v>45809</v>
      </c>
      <c r="U146" s="4">
        <f>DATE(AJ$2,$Q146,1+(($R146-($S146&gt;=WEEKDAY(DATE(AJ$2,$Q146,1))))*7)+($S146-WEEKDAY(DATE(AJ$2,$Q146,1))))</f>
        <v>46180</v>
      </c>
      <c r="V146" s="20">
        <v>-1</v>
      </c>
      <c r="W146" s="20">
        <v>1</v>
      </c>
      <c r="X146" s="4">
        <f ca="1">Y146-(W146-1)</f>
        <v>45808</v>
      </c>
      <c r="Y146" s="5">
        <f ca="1">IF(OR(T146+V146&lt;(NOW()-0.5),ISNUMBER(SEARCH("&lt;h4&gt;",K146))),U146+V146,T146+V146)</f>
        <v>45808</v>
      </c>
      <c r="Z146" t="str">
        <f ca="1">CONCATENATE(IF(OR(Y146=X146,ISBLANK(Y146)),TEXT(X146,"mmmm d"),CONCATENATE(TEXT(X146,"mmmm d"),"-",IF(TEXT(X146,"mmmm")=TEXT(Y146,"mmmm"),TEXT(Y146,"d"),TEXT(Y146,"mmmm d")))),", ",YEAR(Y146))</f>
        <v>May 31, 2025</v>
      </c>
      <c r="AA146" s="7">
        <f>O146</f>
        <v>44936</v>
      </c>
      <c r="AB146" s="14">
        <f>T146+V146-(W146-1)</f>
        <v>45808</v>
      </c>
      <c r="AC146" t="s">
        <v>1280</v>
      </c>
      <c r="AD146" s="23" t="str">
        <f ca="1">CONCATENATE("&lt;add-to-calendar-button  name=",CHAR(34),H146,CHAR(34),
IF(ISBLANK(M146),"",CONCATENATE("   location=",CHAR(34),RIGHT(M146,LEN(M146)-SEARCH("|",M146)-1),CHAR(34))),
"   description=",CHAR(34),IF(ISBLANK(I146),"",CONCATENATE(I146,"; ")),"shapenotesingings.com",CHAR(34),
"   options=",CHAR(34),"'Apple','Google','iCal','Outlook.com'",CHAR(34),"   styleLight=",CHAR(34),"--btn-background: #550000; --btn-text: #fff; --btn-shadow:#fff;",CHAR(34),
IF(W146=1,CONCATENATE(
"startDate=",CHAR(34),TEXT(G146,"yyyy-mm-dd"),CHAR(34),
"{endDate=",CHAR(34),TEXT(G146,"yyyy-mm-dd"),CHAR(34),
IF(OR(ISBLANK(AE146),ISBLANK(AF146)),"",(CONCATENATE(" startTime=",CHAR(34),TEXT(AE146,"hh:mm"),CHAR(34)," endTime=",CHAR(34),TEXT(AF146,"h:mm"),CHAR(34),
" timeZone=",CHAR(34),AG146,CHAR(34))))),
IF(W146=2,CONCATENATE(" dates='[{",
CHAR(34),"startDate",CHAR(34),":",CHAR(34),TEXT(G146,"yyyy-mm-dd"),CHAR(34),", ",
,CHAR(34),"endDate",CHAR(34),":",CHAR(34),TEXT(G146,"yyyy-mm-dd"),CHAR(34),
IF(OR(ISBLANK(AE146),ISBLANK(AF146)),"",(CONCATENATE(", ",CHAR(34),"startTime",CHAR(34),":",CHAR(34),TEXT(AE146,"hh:mm"),CHAR(34),", ",CHAR(34),"endTime",CHAR(34),":",CHAR(34),TEXT(AF146,"hh:mm"),CHAR(34),", ",CHAR(34),"timeZone",CHAR(34),":",CHAR(34),AG146,CHAR(34)))),"}, {",
,CHAR(34),"startDate",CHAR(34),":",CHAR(34),TEXT(G146+1,"yyyy-mm-dd"),CHAR(34),", ",
,CHAR(34),"endDate",CHAR(34),":",CHAR(34),TEXT(G146+W146-1,"yyyy-mm-dd"),CHAR(34),
IF(OR(ISBLANK(AE146),ISBLANK(AF146)),"",(CONCATENATE(", ",CHAR(34),"startTime",CHAR(34),":",CHAR(34),TEXT(AE146,"hh:mm"),CHAR(34),", ",CHAR(34),"endTime",CHAR(34),":",CHAR(34),TEXT(AF146,"hh:mm"),CHAR(34),", ",CHAR(34),"timeZone",CHAR(34),":",CHAR(34),AG146,CHAR(34)))),"}]'"),
CONCATENATE(
"{  startDate=",CHAR(34),TEXT(G146,"yyyy-mm-dd"),CHAR(34),
"  endDate=",CHAR(34),TEXT(G146+W146-1,"yyyy-mm-dd"),CHAR(34),"}"))),
" &gt;&lt;/add-to-calendar-button&gt;")</f>
        <v>&lt;add-to-calendar-button  name="Lamar and Pickens County Convention"   location="Zion Primitive Baptist Church, Pickens County 49 and Dyer Dr, Gordo AL - 33.424296731243054, -87.87855542105524"   description="10am-3pm; shapenotesingings.com"   options="'Apple','Google','iCal','Outlook.com'"   styleLight="--btn-background: #550000; --btn-text: #fff; --btn-shadow:#fff;"startDate="2025-05-31"{endDate="2025-05-31" startTime="10:00" endTime="15:00" timeZone="America/Chicago" &gt;&lt;/add-to-calendar-button&gt;</v>
      </c>
      <c r="AE146" s="24">
        <v>0.41666666666666669</v>
      </c>
      <c r="AF146" s="24">
        <v>0.625</v>
      </c>
      <c r="AG146" s="25" t="s">
        <v>1533</v>
      </c>
    </row>
    <row r="147" spans="1:33" x14ac:dyDescent="0.3">
      <c r="A147" t="s">
        <v>8</v>
      </c>
      <c r="B147" t="s">
        <v>17</v>
      </c>
      <c r="C147" t="s">
        <v>1140</v>
      </c>
      <c r="D147" t="s">
        <v>155</v>
      </c>
      <c r="E147" t="s">
        <v>2178</v>
      </c>
      <c r="F147" t="s">
        <v>441</v>
      </c>
      <c r="G147" s="7">
        <f ca="1">X147</f>
        <v>45808</v>
      </c>
      <c r="H147" s="5" t="s">
        <v>1758</v>
      </c>
      <c r="I147" t="s">
        <v>1030</v>
      </c>
      <c r="J147" s="36" t="s">
        <v>2699</v>
      </c>
      <c r="K147" t="s">
        <v>1094</v>
      </c>
      <c r="L147" t="s">
        <v>2112</v>
      </c>
      <c r="M147" s="16" t="s">
        <v>1026</v>
      </c>
      <c r="N147" s="16" t="s">
        <v>129</v>
      </c>
      <c r="O147" s="7">
        <v>45031</v>
      </c>
      <c r="P147" s="7" t="s">
        <v>1546</v>
      </c>
      <c r="Q147" s="18">
        <v>6</v>
      </c>
      <c r="R147" s="18">
        <v>1</v>
      </c>
      <c r="S147" s="18">
        <v>1</v>
      </c>
      <c r="T147" s="4">
        <f>DATE(AI$2,$Q147,1+(($R147-($S147&gt;=WEEKDAY(DATE(AI$2,$Q147,1))))*7)+($S147-WEEKDAY(DATE(AI$2,$Q147,1))))</f>
        <v>45809</v>
      </c>
      <c r="U147" s="4">
        <f>DATE(AJ$2,$Q147,1+(($R147-($S147&gt;=WEEKDAY(DATE(AJ$2,$Q147,1))))*7)+($S147-WEEKDAY(DATE(AJ$2,$Q147,1))))</f>
        <v>46180</v>
      </c>
      <c r="V147" s="20">
        <v>-1</v>
      </c>
      <c r="W147" s="20">
        <v>1</v>
      </c>
      <c r="X147" s="4">
        <f ca="1">Y147-(W147-1)</f>
        <v>45808</v>
      </c>
      <c r="Y147" s="5">
        <f ca="1">IF(OR(T147+V147&lt;(NOW()-0.5),ISNUMBER(SEARCH("&lt;h4&gt;",K147))),U147+V147,T147+V147)</f>
        <v>45808</v>
      </c>
      <c r="Z147" t="str">
        <f ca="1">CONCATENATE(IF(OR(Y147=X147,ISBLANK(Y147)),TEXT(X147,"mmmm d"),CONCATENATE(TEXT(X147,"mmmm d"),"-",IF(TEXT(X147,"mmmm")=TEXT(Y147,"mmmm"),TEXT(Y147,"d"),TEXT(Y147,"mmmm d")))),", ",YEAR(Y147))</f>
        <v>May 31, 2025</v>
      </c>
      <c r="AA147" s="7">
        <f>O147</f>
        <v>45031</v>
      </c>
      <c r="AB147" s="14">
        <f>T147+V147-(W147-1)</f>
        <v>45808</v>
      </c>
      <c r="AC147" t="s">
        <v>1191</v>
      </c>
      <c r="AD147" s="23" t="str">
        <f ca="1">CONCATENATE("&lt;add-to-calendar-button  name=",CHAR(34),H147,CHAR(34),
IF(ISBLANK(M147),"",CONCATENATE("   location=",CHAR(34),RIGHT(M147,LEN(M147)-SEARCH("|",M147)-1),CHAR(34))),
"   description=",CHAR(34),IF(ISBLANK(I147),"",CONCATENATE(I147,"; ")),"shapenotesingings.com",CHAR(34),
"   options=",CHAR(34),"'Apple','Google','iCal','Outlook.com'",CHAR(34),"   styleLight=",CHAR(34),"--btn-background: #550000; --btn-text: #fff; --btn-shadow:#fff;",CHAR(34),
IF(W147=1,CONCATENATE(
"startDate=",CHAR(34),TEXT(G147,"yyyy-mm-dd"),CHAR(34),
"{endDate=",CHAR(34),TEXT(G147,"yyyy-mm-dd"),CHAR(34),
IF(OR(ISBLANK(AE147),ISBLANK(AF147)),"",(CONCATENATE(" startTime=",CHAR(34),TEXT(AE147,"hh:mm"),CHAR(34)," endTime=",CHAR(34),TEXT(AF147,"h:mm"),CHAR(34),
" timeZone=",CHAR(34),AG147,CHAR(34))))),
IF(W147=2,CONCATENATE(" dates='[{",
CHAR(34),"startDate",CHAR(34),":",CHAR(34),TEXT(G147,"yyyy-mm-dd"),CHAR(34),", ",
,CHAR(34),"endDate",CHAR(34),":",CHAR(34),TEXT(G147,"yyyy-mm-dd"),CHAR(34),
IF(OR(ISBLANK(AE147),ISBLANK(AF147)),"",(CONCATENATE(", ",CHAR(34),"startTime",CHAR(34),":",CHAR(34),TEXT(AE147,"hh:mm"),CHAR(34),", ",CHAR(34),"endTime",CHAR(34),":",CHAR(34),TEXT(AF147,"hh:mm"),CHAR(34),", ",CHAR(34),"timeZone",CHAR(34),":",CHAR(34),AG147,CHAR(34)))),"}, {",
,CHAR(34),"startDate",CHAR(34),":",CHAR(34),TEXT(G147+1,"yyyy-mm-dd"),CHAR(34),", ",
,CHAR(34),"endDate",CHAR(34),":",CHAR(34),TEXT(G147+W147-1,"yyyy-mm-dd"),CHAR(34),
IF(OR(ISBLANK(AE147),ISBLANK(AF147)),"",(CONCATENATE(", ",CHAR(34),"startTime",CHAR(34),":",CHAR(34),TEXT(AE147,"hh:mm"),CHAR(34),", ",CHAR(34),"endTime",CHAR(34),":",CHAR(34),TEXT(AF147,"hh:mm"),CHAR(34),", ",CHAR(34),"timeZone",CHAR(34),":",CHAR(34),AG147,CHAR(34)))),"}]'"),
CONCATENATE(
"{  startDate=",CHAR(34),TEXT(G147,"yyyy-mm-dd"),CHAR(34),
"  endDate=",CHAR(34),TEXT(G147+W147-1,"yyyy-mm-dd"),CHAR(34),"}"))),
" &gt;&lt;/add-to-calendar-button&gt;")</f>
        <v>&lt;add-to-calendar-button  name="Holly Springs Memorial Singing"   location="Holly Springs Primitive Baptist Church, 760 Holly Springs Rd, Carrollton, GA 30117"   description="10:00am; shapenotesingings.com"   options="'Apple','Google','iCal','Outlook.com'"   styleLight="--btn-background: #550000; --btn-text: #fff; --btn-shadow:#fff;"startDate="2025-05-31"{endDate="2025-05-31" startTime="10:00" endTime="15:00" timeZone="America/New_York" &gt;&lt;/add-to-calendar-button&gt;</v>
      </c>
      <c r="AE147" s="24">
        <v>0.41666666666666669</v>
      </c>
      <c r="AF147" s="24">
        <v>0.625</v>
      </c>
      <c r="AG147" s="25" t="s">
        <v>1532</v>
      </c>
    </row>
    <row r="148" spans="1:33" x14ac:dyDescent="0.3">
      <c r="A148" t="s">
        <v>8</v>
      </c>
      <c r="B148" t="s">
        <v>45</v>
      </c>
      <c r="C148" t="s">
        <v>1144</v>
      </c>
      <c r="D148" t="s">
        <v>436</v>
      </c>
      <c r="E148" t="s">
        <v>2178</v>
      </c>
      <c r="F148" t="s">
        <v>441</v>
      </c>
      <c r="G148" s="7">
        <f ca="1">X148</f>
        <v>45808</v>
      </c>
      <c r="H148" s="5" t="s">
        <v>433</v>
      </c>
      <c r="J148" s="36" t="s">
        <v>2700</v>
      </c>
      <c r="L148" t="s">
        <v>967</v>
      </c>
      <c r="M148" s="16" t="s">
        <v>435</v>
      </c>
      <c r="N148" s="16" t="s">
        <v>434</v>
      </c>
      <c r="O148" s="7">
        <v>44936</v>
      </c>
      <c r="P148" s="7" t="s">
        <v>926</v>
      </c>
      <c r="Q148" s="18">
        <v>6</v>
      </c>
      <c r="R148" s="18">
        <v>1</v>
      </c>
      <c r="S148" s="18">
        <v>1</v>
      </c>
      <c r="T148" s="4">
        <f>DATE(AI$2,$Q148,1+(($R148-($S148&gt;=WEEKDAY(DATE(AI$2,$Q148,1))))*7)+($S148-WEEKDAY(DATE(AI$2,$Q148,1))))</f>
        <v>45809</v>
      </c>
      <c r="U148" s="4">
        <f>DATE(AJ$2,$Q148,1+(($R148-($S148&gt;=WEEKDAY(DATE(AJ$2,$Q148,1))))*7)+($S148-WEEKDAY(DATE(AJ$2,$Q148,1))))</f>
        <v>46180</v>
      </c>
      <c r="V148" s="20">
        <v>-1</v>
      </c>
      <c r="W148" s="20">
        <v>1</v>
      </c>
      <c r="X148" s="4">
        <f ca="1">Y148-(W148-1)</f>
        <v>45808</v>
      </c>
      <c r="Y148" s="5">
        <f ca="1">IF(OR(T148+V148&lt;(NOW()-0.5),ISNUMBER(SEARCH("&lt;h4&gt;",K148))),U148+V148,T148+V148)</f>
        <v>45808</v>
      </c>
      <c r="Z148" t="str">
        <f ca="1">CONCATENATE(IF(OR(Y148=X148,ISBLANK(Y148)),TEXT(X148,"mmmm d"),CONCATENATE(TEXT(X148,"mmmm d"),"-",IF(TEXT(X148,"mmmm")=TEXT(Y148,"mmmm"),TEXT(Y148,"d"),TEXT(Y148,"mmmm d")))),", ",YEAR(Y148))</f>
        <v>May 31, 2025</v>
      </c>
      <c r="AA148" s="7">
        <f>O148</f>
        <v>44936</v>
      </c>
      <c r="AB148" s="14">
        <f>T148+V148-(W148-1)</f>
        <v>45808</v>
      </c>
      <c r="AC148" t="s">
        <v>1282</v>
      </c>
      <c r="AD148" s="23" t="str">
        <f ca="1">CONCATENATE("&lt;add-to-calendar-button  name=",CHAR(34),H148,CHAR(34),
IF(ISBLANK(M148),"",CONCATENATE("   location=",CHAR(34),RIGHT(M148,LEN(M148)-SEARCH("|",M148)-1),CHAR(34))),
"   description=",CHAR(34),IF(ISBLANK(I148),"",CONCATENATE(I148,"; ")),"shapenotesingings.com",CHAR(34),
"   options=",CHAR(34),"'Apple','Google','iCal','Outlook.com'",CHAR(34),"   styleLight=",CHAR(34),"--btn-background: #550000; --btn-text: #fff; --btn-shadow:#fff;",CHAR(34),
IF(W148=1,CONCATENATE(
"startDate=",CHAR(34),TEXT(G148,"yyyy-mm-dd"),CHAR(34),
"{endDate=",CHAR(34),TEXT(G148,"yyyy-mm-dd"),CHAR(34),
IF(OR(ISBLANK(AE148),ISBLANK(AF148)),"",(CONCATENATE(" startTime=",CHAR(34),TEXT(AE148,"hh:mm"),CHAR(34)," endTime=",CHAR(34),TEXT(AF148,"h:mm"),CHAR(34),
" timeZone=",CHAR(34),AG148,CHAR(34))))),
IF(W148=2,CONCATENATE(" dates='[{",
CHAR(34),"startDate",CHAR(34),":",CHAR(34),TEXT(G148,"yyyy-mm-dd"),CHAR(34),", ",
,CHAR(34),"endDate",CHAR(34),":",CHAR(34),TEXT(G148,"yyyy-mm-dd"),CHAR(34),
IF(OR(ISBLANK(AE148),ISBLANK(AF148)),"",(CONCATENATE(", ",CHAR(34),"startTime",CHAR(34),":",CHAR(34),TEXT(AE148,"hh:mm"),CHAR(34),", ",CHAR(34),"endTime",CHAR(34),":",CHAR(34),TEXT(AF148,"hh:mm"),CHAR(34),", ",CHAR(34),"timeZone",CHAR(34),":",CHAR(34),AG148,CHAR(34)))),"}, {",
,CHAR(34),"startDate",CHAR(34),":",CHAR(34),TEXT(G148+1,"yyyy-mm-dd"),CHAR(34),", ",
,CHAR(34),"endDate",CHAR(34),":",CHAR(34),TEXT(G148+W148-1,"yyyy-mm-dd"),CHAR(34),
IF(OR(ISBLANK(AE148),ISBLANK(AF148)),"",(CONCATENATE(", ",CHAR(34),"startTime",CHAR(34),":",CHAR(34),TEXT(AE148,"hh:mm"),CHAR(34),", ",CHAR(34),"endTime",CHAR(34),":",CHAR(34),TEXT(AF148,"hh:mm"),CHAR(34),", ",CHAR(34),"timeZone",CHAR(34),":",CHAR(34),AG148,CHAR(34)))),"}]'"),
CONCATENATE(
"{  startDate=",CHAR(34),TEXT(G148,"yyyy-mm-dd"),CHAR(34),
"  endDate=",CHAR(34),TEXT(G148+W148-1,"yyyy-mm-dd"),CHAR(34),"}"))),
" &gt;&lt;/add-to-calendar-button&gt;")</f>
        <v>&lt;add-to-calendar-button  name="Shaker Meetinghouse and Francis Bliss Memorial Singing"   location="Sabbathday Lake Shaker Village, 707 Shaker Rd, New Gloucester, ME 04260"   description="shapenotesingings.com"   options="'Apple','Google','iCal','Outlook.com'"   styleLight="--btn-background: #550000; --btn-text: #fff; --btn-shadow:#fff;"startDate="2025-05-31"{endDate="2025-05-31" &gt;&lt;/add-to-calendar-button&gt;</v>
      </c>
      <c r="AG148" s="25" t="s">
        <v>1532</v>
      </c>
    </row>
    <row r="149" spans="1:33" x14ac:dyDescent="0.3">
      <c r="A149" t="s">
        <v>144</v>
      </c>
      <c r="B149" t="s">
        <v>144</v>
      </c>
      <c r="C149" t="s">
        <v>1162</v>
      </c>
      <c r="D149" t="s">
        <v>578</v>
      </c>
      <c r="E149" t="s">
        <v>2178</v>
      </c>
      <c r="F149" t="s">
        <v>441</v>
      </c>
      <c r="G149" s="7">
        <f ca="1">X149</f>
        <v>45808</v>
      </c>
      <c r="H149" s="5" t="s">
        <v>580</v>
      </c>
      <c r="I149" t="s">
        <v>1043</v>
      </c>
      <c r="J149" s="36" t="s">
        <v>2701</v>
      </c>
      <c r="K149" t="s">
        <v>2137</v>
      </c>
      <c r="L149" t="s">
        <v>2064</v>
      </c>
      <c r="M149" s="16" t="s">
        <v>903</v>
      </c>
      <c r="N149" s="16" t="s">
        <v>579</v>
      </c>
      <c r="O149" s="7">
        <v>45608</v>
      </c>
      <c r="P149" s="7" t="s">
        <v>2385</v>
      </c>
      <c r="Q149" s="18">
        <v>6</v>
      </c>
      <c r="R149" s="18">
        <v>1</v>
      </c>
      <c r="S149" s="18">
        <v>1</v>
      </c>
      <c r="T149" s="4">
        <f>DATE(AI$2,$Q149,1+(($R149-($S149&gt;=WEEKDAY(DATE(AI$2,$Q149,1))))*7)+($S149-WEEKDAY(DATE(AI$2,$Q149,1))))</f>
        <v>45809</v>
      </c>
      <c r="U149" s="4">
        <f>DATE(AJ$2,$Q149,1+(($R149-($S149&gt;=WEEKDAY(DATE(AJ$2,$Q149,1))))*7)+($S149-WEEKDAY(DATE(AJ$2,$Q149,1))))</f>
        <v>46180</v>
      </c>
      <c r="V149" s="20">
        <v>-1</v>
      </c>
      <c r="W149" s="20">
        <v>1</v>
      </c>
      <c r="X149" s="4">
        <f ca="1">Y149-(W149-1)</f>
        <v>45808</v>
      </c>
      <c r="Y149" s="5">
        <f ca="1">IF(OR(T149+V149&lt;(NOW()-0.5),ISNUMBER(SEARCH("&lt;h4&gt;",K149))),U149+V149,T149+V149)</f>
        <v>45808</v>
      </c>
      <c r="Z149" t="str">
        <f ca="1">CONCATENATE(IF(OR(Y149=X149,ISBLANK(Y149)),TEXT(X149,"mmmm d"),CONCATENATE(TEXT(X149,"mmmm d"),"-",IF(TEXT(X149,"mmmm")=TEXT(Y149,"mmmm"),TEXT(Y149,"d"),TEXT(Y149,"mmmm d")))),", ",YEAR(Y149))</f>
        <v>May 31, 2025</v>
      </c>
      <c r="AA149" s="7">
        <f>O149</f>
        <v>45608</v>
      </c>
      <c r="AB149" s="14">
        <f>T149+V149-(W149-1)</f>
        <v>45808</v>
      </c>
      <c r="AC149" t="s">
        <v>1334</v>
      </c>
      <c r="AD149" s="23" t="str">
        <f ca="1">CONCATENATE("&lt;add-to-calendar-button  name=",CHAR(34),H149,CHAR(34),
IF(ISBLANK(M149),"",CONCATENATE("   location=",CHAR(34),RIGHT(M149,LEN(M149)-SEARCH("|",M149)-1),CHAR(34))),
"   description=",CHAR(34),IF(ISBLANK(I149),"",CONCATENATE(I149,"; ")),"shapenotesingings.com",CHAR(34),
"   options=",CHAR(34),"'Apple','Google','iCal','Outlook.com'",CHAR(34),"   styleLight=",CHAR(34),"--btn-background: #550000; --btn-text: #fff; --btn-shadow:#fff;",CHAR(34),
IF(W149=1,CONCATENATE(
"startDate=",CHAR(34),TEXT(G149,"yyyy-mm-dd"),CHAR(34),
"{endDate=",CHAR(34),TEXT(G149,"yyyy-mm-dd"),CHAR(34),
IF(OR(ISBLANK(AE149),ISBLANK(AF149)),"",(CONCATENATE(" startTime=",CHAR(34),TEXT(AE149,"hh:mm"),CHAR(34)," endTime=",CHAR(34),TEXT(AF149,"h:mm"),CHAR(34),
" timeZone=",CHAR(34),AG149,CHAR(34))))),
IF(W149=2,CONCATENATE(" dates='[{",
CHAR(34),"startDate",CHAR(34),":",CHAR(34),TEXT(G149,"yyyy-mm-dd"),CHAR(34),", ",
,CHAR(34),"endDate",CHAR(34),":",CHAR(34),TEXT(G149,"yyyy-mm-dd"),CHAR(34),
IF(OR(ISBLANK(AE149),ISBLANK(AF149)),"",(CONCATENATE(", ",CHAR(34),"startTime",CHAR(34),":",CHAR(34),TEXT(AE149,"hh:mm"),CHAR(34),", ",CHAR(34),"endTime",CHAR(34),":",CHAR(34),TEXT(AF149,"hh:mm"),CHAR(34),", ",CHAR(34),"timeZone",CHAR(34),":",CHAR(34),AG149,CHAR(34)))),"}, {",
,CHAR(34),"startDate",CHAR(34),":",CHAR(34),TEXT(G149+1,"yyyy-mm-dd"),CHAR(34),", ",
,CHAR(34),"endDate",CHAR(34),":",CHAR(34),TEXT(G149+W149-1,"yyyy-mm-dd"),CHAR(34),
IF(OR(ISBLANK(AE149),ISBLANK(AF149)),"",(CONCATENATE(", ",CHAR(34),"startTime",CHAR(34),":",CHAR(34),TEXT(AE149,"hh:mm"),CHAR(34),", ",CHAR(34),"endTime",CHAR(34),":",CHAR(34),TEXT(AF149,"hh:mm"),CHAR(34),", ",CHAR(34),"timeZone",CHAR(34),":",CHAR(34),AG149,CHAR(34)))),"}]'"),
CONCATENATE(
"{  startDate=",CHAR(34),TEXT(G149,"yyyy-mm-dd"),CHAR(34),
"  endDate=",CHAR(34),TEXT(G149+W149-1,"yyyy-mm-dd"),CHAR(34),"}"))),
" &gt;&lt;/add-to-calendar-button&gt;")</f>
        <v>&lt;add-to-calendar-button  name="Winchester Singing"   location="St Paul’s Church Hall, St Pauls Hill Winchester, Hampshire, SO22 5AB, United Kingdom "   description="10:30am-4pm; shapenotesingings.com"   options="'Apple','Google','iCal','Outlook.com'"   styleLight="--btn-background: #550000; --btn-text: #fff; --btn-shadow:#fff;"startDate="2025-05-31"{endDate="2025-05-31" startTime="10:30" endTime="16:00" timeZone="Europe/London" &gt;&lt;/add-to-calendar-button&gt;</v>
      </c>
      <c r="AE149" s="24">
        <v>0.4375</v>
      </c>
      <c r="AF149" s="24">
        <v>0.66666666666666663</v>
      </c>
      <c r="AG149" s="25" t="s">
        <v>1535</v>
      </c>
    </row>
    <row r="150" spans="1:33" x14ac:dyDescent="0.3">
      <c r="A150" t="s">
        <v>8</v>
      </c>
      <c r="B150" t="s">
        <v>11</v>
      </c>
      <c r="C150" t="s">
        <v>1134</v>
      </c>
      <c r="D150" t="s">
        <v>46</v>
      </c>
      <c r="E150" t="s">
        <v>2178</v>
      </c>
      <c r="F150" t="s">
        <v>446</v>
      </c>
      <c r="G150" s="7">
        <f ca="1">X150</f>
        <v>45809</v>
      </c>
      <c r="H150" s="5" t="s">
        <v>449</v>
      </c>
      <c r="I150" t="s">
        <v>1040</v>
      </c>
      <c r="J150" s="36" t="s">
        <v>2702</v>
      </c>
      <c r="L150" t="s">
        <v>1729</v>
      </c>
      <c r="M150" s="16" t="s">
        <v>450</v>
      </c>
      <c r="N150" s="16" t="s">
        <v>451</v>
      </c>
      <c r="O150" s="7">
        <v>44936</v>
      </c>
      <c r="P150" s="7" t="s">
        <v>926</v>
      </c>
      <c r="Q150" s="18">
        <v>6</v>
      </c>
      <c r="R150" s="18">
        <v>1</v>
      </c>
      <c r="S150" s="18">
        <v>1</v>
      </c>
      <c r="T150" s="4">
        <f>DATE(AI$2,$Q150,1+(($R150-($S150&gt;=WEEKDAY(DATE(AI$2,$Q150,1))))*7)+($S150-WEEKDAY(DATE(AI$2,$Q150,1))))</f>
        <v>45809</v>
      </c>
      <c r="U150" s="4">
        <f>DATE(AJ$2,$Q150,1+(($R150-($S150&gt;=WEEKDAY(DATE(AJ$2,$Q150,1))))*7)+($S150-WEEKDAY(DATE(AJ$2,$Q150,1))))</f>
        <v>46180</v>
      </c>
      <c r="V150" s="20">
        <v>0</v>
      </c>
      <c r="W150" s="20">
        <v>1</v>
      </c>
      <c r="X150" s="4">
        <f ca="1">Y150-(W150-1)</f>
        <v>45809</v>
      </c>
      <c r="Y150" s="5">
        <f ca="1">IF(OR(T150+V150&lt;(NOW()-0.5),ISNUMBER(SEARCH("&lt;h4&gt;",K150))),U150+V150,T150+V150)</f>
        <v>45809</v>
      </c>
      <c r="Z150" t="str">
        <f ca="1">CONCATENATE(IF(OR(Y150=X150,ISBLANK(Y150)),TEXT(X150,"mmmm d"),CONCATENATE(TEXT(X150,"mmmm d"),"-",IF(TEXT(X150,"mmmm")=TEXT(Y150,"mmmm"),TEXT(Y150,"d"),TEXT(Y150,"mmmm d")))),", ",YEAR(Y150))</f>
        <v>June 1, 2025</v>
      </c>
      <c r="AA150" s="7">
        <f>O150</f>
        <v>44936</v>
      </c>
      <c r="AB150" s="14">
        <f>T150+V150-(W150-1)</f>
        <v>45809</v>
      </c>
      <c r="AC150" t="s">
        <v>1286</v>
      </c>
      <c r="AD150" s="23" t="str">
        <f ca="1">CONCATENATE("&lt;add-to-calendar-button  name=",CHAR(34),H150,CHAR(34),
IF(ISBLANK(M150),"",CONCATENATE("   location=",CHAR(34),RIGHT(M150,LEN(M150)-SEARCH("|",M150)-1),CHAR(34))),
"   description=",CHAR(34),IF(ISBLANK(I150),"",CONCATENATE(I150,"; ")),"shapenotesingings.com",CHAR(34),
"   options=",CHAR(34),"'Apple','Google','iCal','Outlook.com'",CHAR(34),"   styleLight=",CHAR(34),"--btn-background: #550000; --btn-text: #fff; --btn-shadow:#fff;",CHAR(34),
IF(W150=1,CONCATENATE(
"startDate=",CHAR(34),TEXT(G150,"yyyy-mm-dd"),CHAR(34),
"{endDate=",CHAR(34),TEXT(G150,"yyyy-mm-dd"),CHAR(34),
IF(OR(ISBLANK(AE150),ISBLANK(AF150)),"",(CONCATENATE(" startTime=",CHAR(34),TEXT(AE150,"hh:mm"),CHAR(34)," endTime=",CHAR(34),TEXT(AF150,"h:mm"),CHAR(34),
" timeZone=",CHAR(34),AG150,CHAR(34))))),
IF(W150=2,CONCATENATE(" dates='[{",
CHAR(34),"startDate",CHAR(34),":",CHAR(34),TEXT(G150,"yyyy-mm-dd"),CHAR(34),", ",
,CHAR(34),"endDate",CHAR(34),":",CHAR(34),TEXT(G150,"yyyy-mm-dd"),CHAR(34),
IF(OR(ISBLANK(AE150),ISBLANK(AF150)),"",(CONCATENATE(", ",CHAR(34),"startTime",CHAR(34),":",CHAR(34),TEXT(AE150,"hh:mm"),CHAR(34),", ",CHAR(34),"endTime",CHAR(34),":",CHAR(34),TEXT(AF150,"hh:mm"),CHAR(34),", ",CHAR(34),"timeZone",CHAR(34),":",CHAR(34),AG150,CHAR(34)))),"}, {",
,CHAR(34),"startDate",CHAR(34),":",CHAR(34),TEXT(G150+1,"yyyy-mm-dd"),CHAR(34),", ",
,CHAR(34),"endDate",CHAR(34),":",CHAR(34),TEXT(G150+W150-1,"yyyy-mm-dd"),CHAR(34),
IF(OR(ISBLANK(AE150),ISBLANK(AF150)),"",(CONCATENATE(", ",CHAR(34),"startTime",CHAR(34),":",CHAR(34),TEXT(AE150,"hh:mm"),CHAR(34),", ",CHAR(34),"endTime",CHAR(34),":",CHAR(34),TEXT(AF150,"hh:mm"),CHAR(34),", ",CHAR(34),"timeZone",CHAR(34),":",CHAR(34),AG150,CHAR(34)))),"}]'"),
CONCATENATE(
"{  startDate=",CHAR(34),TEXT(G150,"yyyy-mm-dd"),CHAR(34),
"  endDate=",CHAR(34),TEXT(G150+W150-1,"yyyy-mm-dd"),CHAR(34),"}"))),
" &gt;&lt;/add-to-calendar-button&gt;")</f>
        <v>&lt;add-to-calendar-button  name="Liberty Decoration Day Singing"   location="Liberty Baptist Church, 1500 Liberty Rd, Henagar, AL 35978"   description="9:30am; shapenotesingings.com"   options="'Apple','Google','iCal','Outlook.com'"   styleLight="--btn-background: #550000; --btn-text: #fff; --btn-shadow:#fff;"startDate="2025-06-01"{endDate="2025-06-01" startTime="09:30" endTime="15:00" timeZone="America/Chicago" &gt;&lt;/add-to-calendar-button&gt;</v>
      </c>
      <c r="AE150" s="24">
        <v>0.39583333333333331</v>
      </c>
      <c r="AF150" s="24">
        <v>0.625</v>
      </c>
      <c r="AG150" s="25" t="s">
        <v>1533</v>
      </c>
    </row>
    <row r="151" spans="1:33" x14ac:dyDescent="0.3">
      <c r="A151" t="s">
        <v>8</v>
      </c>
      <c r="B151" t="s">
        <v>11</v>
      </c>
      <c r="C151" t="s">
        <v>1134</v>
      </c>
      <c r="D151" t="s">
        <v>245</v>
      </c>
      <c r="E151" t="s">
        <v>34</v>
      </c>
      <c r="F151" t="s">
        <v>446</v>
      </c>
      <c r="G151" s="7">
        <f ca="1">X151</f>
        <v>45809</v>
      </c>
      <c r="H151" s="5" t="s">
        <v>838</v>
      </c>
      <c r="L151" t="s">
        <v>953</v>
      </c>
      <c r="M151" s="16" t="s">
        <v>837</v>
      </c>
      <c r="N151" s="16" t="s">
        <v>836</v>
      </c>
      <c r="O151" s="7">
        <v>44927</v>
      </c>
      <c r="P151" s="7" t="s">
        <v>936</v>
      </c>
      <c r="Q151" s="18">
        <v>6</v>
      </c>
      <c r="R151" s="18">
        <v>1</v>
      </c>
      <c r="S151" s="18">
        <v>1</v>
      </c>
      <c r="T151" s="4">
        <f>DATE(AI$2,$Q151,1+(($R151-($S151&gt;=WEEKDAY(DATE(AI$2,$Q151,1))))*7)+($S151-WEEKDAY(DATE(AI$2,$Q151,1))))</f>
        <v>45809</v>
      </c>
      <c r="U151" s="4">
        <f>DATE(AJ$2,$Q151,1+(($R151-($S151&gt;=WEEKDAY(DATE(AJ$2,$Q151,1))))*7)+($S151-WEEKDAY(DATE(AJ$2,$Q151,1))))</f>
        <v>46180</v>
      </c>
      <c r="V151" s="20">
        <v>0</v>
      </c>
      <c r="W151" s="20">
        <v>1</v>
      </c>
      <c r="X151" s="4">
        <f ca="1">Y151-(W151-1)</f>
        <v>45809</v>
      </c>
      <c r="Y151" s="5">
        <f ca="1">IF(OR(T151+V151&lt;(NOW()-0.5),ISNUMBER(SEARCH("&lt;h4&gt;",K151))),U151+V151,T151+V151)</f>
        <v>45809</v>
      </c>
      <c r="Z151" t="str">
        <f ca="1">CONCATENATE(IF(OR(Y151=X151,ISBLANK(Y151)),TEXT(X151,"mmmm d"),CONCATENATE(TEXT(X151,"mmmm d"),"-",IF(TEXT(X151,"mmmm")=TEXT(Y151,"mmmm"),TEXT(Y151,"d"),TEXT(Y151,"mmmm d")))),", ",YEAR(Y151))</f>
        <v>June 1, 2025</v>
      </c>
      <c r="AA151" s="7">
        <f>O151</f>
        <v>44927</v>
      </c>
      <c r="AB151" s="14">
        <f>T151+V151-(W151-1)</f>
        <v>45809</v>
      </c>
      <c r="AC151" t="s">
        <v>1285</v>
      </c>
      <c r="AD151" s="23" t="str">
        <f ca="1">CONCATENATE("&lt;add-to-calendar-button  name=",CHAR(34),H151,CHAR(34),
IF(ISBLANK(M151),"",CONCATENATE("   location=",CHAR(34),RIGHT(M151,LEN(M151)-SEARCH("|",M151)-1),CHAR(34))),
"   description=",CHAR(34),IF(ISBLANK(I151),"",CONCATENATE(I151,"; ")),"shapenotesingings.com",CHAR(34),
"   options=",CHAR(34),"'Apple','Google','iCal','Outlook.com'",CHAR(34),"   styleLight=",CHAR(34),"--btn-background: #550000; --btn-text: #fff; --btn-shadow:#fff;",CHAR(34),
IF(W151=1,CONCATENATE(
"startDate=",CHAR(34),TEXT(G151,"yyyy-mm-dd"),CHAR(34),
"{endDate=",CHAR(34),TEXT(G151,"yyyy-mm-dd"),CHAR(34),
IF(OR(ISBLANK(AE151),ISBLANK(AF151)),"",(CONCATENATE(" startTime=",CHAR(34),TEXT(AE151,"hh:mm"),CHAR(34)," endTime=",CHAR(34),TEXT(AF151,"h:mm"),CHAR(34),
" timeZone=",CHAR(34),AG151,CHAR(34))))),
IF(W151=2,CONCATENATE(" dates='[{",
CHAR(34),"startDate",CHAR(34),":",CHAR(34),TEXT(G151,"yyyy-mm-dd"),CHAR(34),", ",
,CHAR(34),"endDate",CHAR(34),":",CHAR(34),TEXT(G151,"yyyy-mm-dd"),CHAR(34),
IF(OR(ISBLANK(AE151),ISBLANK(AF151)),"",(CONCATENATE(", ",CHAR(34),"startTime",CHAR(34),":",CHAR(34),TEXT(AE151,"hh:mm"),CHAR(34),", ",CHAR(34),"endTime",CHAR(34),":",CHAR(34),TEXT(AF151,"hh:mm"),CHAR(34),", ",CHAR(34),"timeZone",CHAR(34),":",CHAR(34),AG151,CHAR(34)))),"}, {",
,CHAR(34),"startDate",CHAR(34),":",CHAR(34),TEXT(G151+1,"yyyy-mm-dd"),CHAR(34),", ",
,CHAR(34),"endDate",CHAR(34),":",CHAR(34),TEXT(G151+W151-1,"yyyy-mm-dd"),CHAR(34),
IF(OR(ISBLANK(AE151),ISBLANK(AF151)),"",(CONCATENATE(", ",CHAR(34),"startTime",CHAR(34),":",CHAR(34),TEXT(AE151,"hh:mm"),CHAR(34),", ",CHAR(34),"endTime",CHAR(34),":",CHAR(34),TEXT(AF151,"hh:mm"),CHAR(34),", ",CHAR(34),"timeZone",CHAR(34),":",CHAR(34),AG151,CHAR(34)))),"}]'"),
CONCATENATE(
"{  startDate=",CHAR(34),TEXT(G151,"yyyy-mm-dd"),CHAR(34),
"  endDate=",CHAR(34),TEXT(G151+W151-1,"yyyy-mm-dd"),CHAR(34),"}"))),
" &gt;&lt;/add-to-calendar-button&gt;")</f>
        <v>&lt;add-to-calendar-button  name="Shady Hill Homecoming Singing"   location="Shady Hill Church, Hogfoot Rd, Andalusia, AL 36420 - 31.151723722981135, -86.53839868859271"   description="shapenotesingings.com"   options="'Apple','Google','iCal','Outlook.com'"   styleLight="--btn-background: #550000; --btn-text: #fff; --btn-shadow:#fff;"startDate="2025-06-01"{endDate="2025-06-01" &gt;&lt;/add-to-calendar-button&gt;</v>
      </c>
      <c r="AG151" s="25" t="s">
        <v>1533</v>
      </c>
    </row>
    <row r="152" spans="1:33" x14ac:dyDescent="0.3">
      <c r="A152" t="s">
        <v>443</v>
      </c>
      <c r="B152" t="s">
        <v>895</v>
      </c>
      <c r="D152" t="s">
        <v>444</v>
      </c>
      <c r="E152" t="s">
        <v>2178</v>
      </c>
      <c r="F152" t="s">
        <v>441</v>
      </c>
      <c r="G152" s="7">
        <f ca="1">X152</f>
        <v>45815</v>
      </c>
      <c r="H152" s="5" t="s">
        <v>442</v>
      </c>
      <c r="I152" t="s">
        <v>1043</v>
      </c>
      <c r="J152" s="36" t="s">
        <v>2703</v>
      </c>
      <c r="K152" t="s">
        <v>1870</v>
      </c>
      <c r="L152" t="s">
        <v>2516</v>
      </c>
      <c r="M152" s="16" t="s">
        <v>944</v>
      </c>
      <c r="N152" s="16" t="s">
        <v>945</v>
      </c>
      <c r="O152" s="7">
        <v>45561</v>
      </c>
      <c r="P152" s="7" t="s">
        <v>2299</v>
      </c>
      <c r="Q152" s="18">
        <v>6</v>
      </c>
      <c r="R152" s="18">
        <v>2</v>
      </c>
      <c r="S152" s="18">
        <v>1</v>
      </c>
      <c r="T152" s="4">
        <f>DATE(AI$2,$Q152,1+(($R152-($S152&gt;=WEEKDAY(DATE(AI$2,$Q152,1))))*7)+($S152-WEEKDAY(DATE(AI$2,$Q152,1))))</f>
        <v>45816</v>
      </c>
      <c r="U152" s="4">
        <f>DATE(AJ$2,$Q152,1+(($R152-($S152&gt;=WEEKDAY(DATE(AJ$2,$Q152,1))))*7)+($S152-WEEKDAY(DATE(AJ$2,$Q152,1))))</f>
        <v>46187</v>
      </c>
      <c r="V152" s="20">
        <v>-1</v>
      </c>
      <c r="W152" s="20">
        <v>1</v>
      </c>
      <c r="X152" s="4">
        <f ca="1">Y152-(W152-1)</f>
        <v>45815</v>
      </c>
      <c r="Y152" s="5">
        <f ca="1">IF(OR(T152+V152&lt;(NOW()-0.5),ISNUMBER(SEARCH("&lt;h4&gt;",K152))),U152+V152,T152+V152)</f>
        <v>45815</v>
      </c>
      <c r="Z152" t="str">
        <f ca="1">CONCATENATE(IF(OR(Y152=X152,ISBLANK(Y152)),TEXT(X152,"mmmm d"),CONCATENATE(TEXT(X152,"mmmm d"),"-",IF(TEXT(X152,"mmmm")=TEXT(Y152,"mmmm"),TEXT(Y152,"d"),TEXT(Y152,"mmmm d")))),", ",YEAR(Y152))</f>
        <v>June 7, 2025</v>
      </c>
      <c r="AA152" s="7">
        <f>O152</f>
        <v>45561</v>
      </c>
      <c r="AB152" s="14">
        <f>T152+V152-(W152-1)</f>
        <v>45815</v>
      </c>
      <c r="AC152" t="s">
        <v>1283</v>
      </c>
      <c r="AD152" s="23" t="str">
        <f ca="1">CONCATENATE("&lt;add-to-calendar-button  name=",CHAR(34),H152,CHAR(34),
IF(ISBLANK(M152),"",CONCATENATE("   location=",CHAR(34),RIGHT(M152,LEN(M152)-SEARCH("|",M152)-1),CHAR(34))),
"   description=",CHAR(34),IF(ISBLANK(I152),"",CONCATENATE(I152,"; ")),"shapenotesingings.com",CHAR(34),
"   options=",CHAR(34),"'Apple','Google','iCal','Outlook.com'",CHAR(34),"   styleLight=",CHAR(34),"--btn-background: #550000; --btn-text: #fff; --btn-shadow:#fff;",CHAR(34),
IF(W152=1,CONCATENATE(
"startDate=",CHAR(34),TEXT(G152,"yyyy-mm-dd"),CHAR(34),
"{endDate=",CHAR(34),TEXT(G152,"yyyy-mm-dd"),CHAR(34),
IF(OR(ISBLANK(AE152),ISBLANK(AF152)),"",(CONCATENATE(" startTime=",CHAR(34),TEXT(AE152,"hh:mm"),CHAR(34)," endTime=",CHAR(34),TEXT(AF152,"h:mm"),CHAR(34),
" timeZone=",CHAR(34),AG152,CHAR(34))))),
IF(W152=2,CONCATENATE(" dates='[{",
CHAR(34),"startDate",CHAR(34),":",CHAR(34),TEXT(G152,"yyyy-mm-dd"),CHAR(34),", ",
,CHAR(34),"endDate",CHAR(34),":",CHAR(34),TEXT(G152,"yyyy-mm-dd"),CHAR(34),
IF(OR(ISBLANK(AE152),ISBLANK(AF152)),"",(CONCATENATE(", ",CHAR(34),"startTime",CHAR(34),":",CHAR(34),TEXT(AE152,"hh:mm"),CHAR(34),", ",CHAR(34),"endTime",CHAR(34),":",CHAR(34),TEXT(AF152,"hh:mm"),CHAR(34),", ",CHAR(34),"timeZone",CHAR(34),":",CHAR(34),AG152,CHAR(34)))),"}, {",
,CHAR(34),"startDate",CHAR(34),":",CHAR(34),TEXT(G152+1,"yyyy-mm-dd"),CHAR(34),", ",
,CHAR(34),"endDate",CHAR(34),":",CHAR(34),TEXT(G152+W152-1,"yyyy-mm-dd"),CHAR(34),
IF(OR(ISBLANK(AE152),ISBLANK(AF152)),"",(CONCATENATE(", ",CHAR(34),"startTime",CHAR(34),":",CHAR(34),TEXT(AE152,"hh:mm"),CHAR(34),", ",CHAR(34),"endTime",CHAR(34),":",CHAR(34),TEXT(AF152,"hh:mm"),CHAR(34),", ",CHAR(34),"timeZone",CHAR(34),":",CHAR(34),AG152,CHAR(34)))),"}]'"),
CONCATENATE(
"{  startDate=",CHAR(34),TEXT(G152,"yyyy-mm-dd"),CHAR(34),
"  endDate=",CHAR(34),TEXT(G152+W152-1,"yyyy-mm-dd"),CHAR(34),"}"))),
" &gt;&lt;/add-to-calendar-button&gt;")</f>
        <v>&lt;add-to-calendar-button  name="Oslo Sacred Harp Singing"   location="Normannsgata 55, 0655 Oslo, Norway"   description="10:30am-4pm; shapenotesingings.com"   options="'Apple','Google','iCal','Outlook.com'"   styleLight="--btn-background: #550000; --btn-text: #fff; --btn-shadow:#fff;"startDate="2025-06-07"{endDate="2025-06-07" &gt;&lt;/add-to-calendar-button&gt;</v>
      </c>
      <c r="AG152" s="25" t="s">
        <v>1541</v>
      </c>
    </row>
    <row r="153" spans="1:33" x14ac:dyDescent="0.3">
      <c r="A153" t="s">
        <v>8</v>
      </c>
      <c r="B153" t="s">
        <v>114</v>
      </c>
      <c r="C153" t="s">
        <v>1153</v>
      </c>
      <c r="D153" t="s">
        <v>778</v>
      </c>
      <c r="E153" t="s">
        <v>781</v>
      </c>
      <c r="F153" t="s">
        <v>453</v>
      </c>
      <c r="G153" s="7">
        <f ca="1">X153</f>
        <v>45815</v>
      </c>
      <c r="H153" s="5" t="s">
        <v>865</v>
      </c>
      <c r="I153" t="s">
        <v>1037</v>
      </c>
      <c r="J153" s="36" t="s">
        <v>2596</v>
      </c>
      <c r="K153" t="s">
        <v>1097</v>
      </c>
      <c r="L153" t="s">
        <v>1735</v>
      </c>
      <c r="M153" s="16" t="s">
        <v>779</v>
      </c>
      <c r="N153" s="16" t="s">
        <v>780</v>
      </c>
      <c r="O153" s="7">
        <v>44927</v>
      </c>
      <c r="P153" s="7" t="s">
        <v>934</v>
      </c>
      <c r="Q153" s="18">
        <v>6</v>
      </c>
      <c r="R153" s="18">
        <v>2</v>
      </c>
      <c r="S153" s="18">
        <v>1</v>
      </c>
      <c r="T153" s="4">
        <f>DATE(AI$2,$Q153,1+(($R153-($S153&gt;=WEEKDAY(DATE(AI$2,$Q153,1))))*7)+($S153-WEEKDAY(DATE(AI$2,$Q153,1))))</f>
        <v>45816</v>
      </c>
      <c r="U153" s="4">
        <f>DATE(AJ$2,$Q153,1+(($R153-($S153&gt;=WEEKDAY(DATE(AJ$2,$Q153,1))))*7)+($S153-WEEKDAY(DATE(AJ$2,$Q153,1))))</f>
        <v>46187</v>
      </c>
      <c r="V153" s="20">
        <v>-1</v>
      </c>
      <c r="W153" s="20">
        <v>1</v>
      </c>
      <c r="X153" s="4">
        <f ca="1">Y153-(W153-1)</f>
        <v>45815</v>
      </c>
      <c r="Y153" s="5">
        <f ca="1">IF(OR(T153+V153&lt;(NOW()-0.5),ISNUMBER(SEARCH("&lt;h4&gt;",K153))),U153+V153,T153+V153)</f>
        <v>45815</v>
      </c>
      <c r="Z153" t="str">
        <f ca="1">CONCATENATE(IF(OR(Y153=X153,ISBLANK(Y153)),TEXT(X153,"mmmm d"),CONCATENATE(TEXT(X153,"mmmm d"),"-",IF(TEXT(X153,"mmmm")=TEXT(Y153,"mmmm"),TEXT(Y153,"d"),TEXT(Y153,"mmmm d")))),", ",YEAR(Y153))</f>
        <v>June 7, 2025</v>
      </c>
      <c r="AA153" s="7">
        <f>O153</f>
        <v>44927</v>
      </c>
      <c r="AB153" s="14">
        <f>T153+V153-(W153-1)</f>
        <v>45815</v>
      </c>
      <c r="AC153" t="s">
        <v>1290</v>
      </c>
      <c r="AD153" s="23" t="str">
        <f ca="1">CONCATENATE("&lt;add-to-calendar-button  name=",CHAR(34),H153,CHAR(34),
IF(ISBLANK(M153),"",CONCATENATE("   location=",CHAR(34),RIGHT(M153,LEN(M153)-SEARCH("|",M153)-1),CHAR(34))),
"   description=",CHAR(34),IF(ISBLANK(I153),"",CONCATENATE(I153,"; ")),"shapenotesingings.com",CHAR(34),
"   options=",CHAR(34),"'Apple','Google','iCal','Outlook.com'",CHAR(34),"   styleLight=",CHAR(34),"--btn-background: #550000; --btn-text: #fff; --btn-shadow:#fff;",CHAR(34),
IF(W153=1,CONCATENATE(
"startDate=",CHAR(34),TEXT(G153,"yyyy-mm-dd"),CHAR(34),
"{endDate=",CHAR(34),TEXT(G153,"yyyy-mm-dd"),CHAR(34),
IF(OR(ISBLANK(AE153),ISBLANK(AF153)),"",(CONCATENATE(" startTime=",CHAR(34),TEXT(AE153,"hh:mm"),CHAR(34)," endTime=",CHAR(34),TEXT(AF153,"h:mm"),CHAR(34),
" timeZone=",CHAR(34),AG153,CHAR(34))))),
IF(W153=2,CONCATENATE(" dates='[{",
CHAR(34),"startDate",CHAR(34),":",CHAR(34),TEXT(G153,"yyyy-mm-dd"),CHAR(34),", ",
,CHAR(34),"endDate",CHAR(34),":",CHAR(34),TEXT(G153,"yyyy-mm-dd"),CHAR(34),
IF(OR(ISBLANK(AE153),ISBLANK(AF153)),"",(CONCATENATE(", ",CHAR(34),"startTime",CHAR(34),":",CHAR(34),TEXT(AE153,"hh:mm"),CHAR(34),", ",CHAR(34),"endTime",CHAR(34),":",CHAR(34),TEXT(AF153,"hh:mm"),CHAR(34),", ",CHAR(34),"timeZone",CHAR(34),":",CHAR(34),AG153,CHAR(34)))),"}, {",
,CHAR(34),"startDate",CHAR(34),":",CHAR(34),TEXT(G153+1,"yyyy-mm-dd"),CHAR(34),", ",
,CHAR(34),"endDate",CHAR(34),":",CHAR(34),TEXT(G153+W153-1,"yyyy-mm-dd"),CHAR(34),
IF(OR(ISBLANK(AE153),ISBLANK(AF153)),"",(CONCATENATE(", ",CHAR(34),"startTime",CHAR(34),":",CHAR(34),TEXT(AE153,"hh:mm"),CHAR(34),", ",CHAR(34),"endTime",CHAR(34),":",CHAR(34),TEXT(AF153,"hh:mm"),CHAR(34),", ",CHAR(34),"timeZone",CHAR(34),":",CHAR(34),AG153,CHAR(34)))),"}]'"),
CONCATENATE(
"{  startDate=",CHAR(34),TEXT(G153,"yyyy-mm-dd"),CHAR(34),
"  endDate=",CHAR(34),TEXT(G153+W153-1,"yyyy-mm-dd"),CHAR(34),"}"))),
" &gt;&lt;/add-to-calendar-button&gt;")</f>
        <v>&lt;add-to-calendar-button  name="Calvary-Fletcher Singing"   location="Calvary Episcopal Church, 2840 Hendersonville Rd, Fletcher, NC 28732"   description="10am-3pm; shapenotesingings.com"   options="'Apple','Google','iCal','Outlook.com'"   styleLight="--btn-background: #550000; --btn-text: #fff; --btn-shadow:#fff;"startDate="2025-06-07"{endDate="2025-06-07" startTime="10:00" endTime="15:00" timeZone="America/New_York" &gt;&lt;/add-to-calendar-button&gt;</v>
      </c>
      <c r="AE153" s="24">
        <v>0.41666666666666669</v>
      </c>
      <c r="AF153" s="24">
        <v>0.625</v>
      </c>
      <c r="AG153" s="25" t="s">
        <v>1532</v>
      </c>
    </row>
    <row r="154" spans="1:33" x14ac:dyDescent="0.3">
      <c r="A154" t="s">
        <v>8</v>
      </c>
      <c r="B154" t="s">
        <v>291</v>
      </c>
      <c r="C154" t="s">
        <v>1163</v>
      </c>
      <c r="D154" t="s">
        <v>2366</v>
      </c>
      <c r="E154" t="s">
        <v>2379</v>
      </c>
      <c r="F154" t="s">
        <v>2818</v>
      </c>
      <c r="G154" s="7">
        <f ca="1">X154</f>
        <v>45815</v>
      </c>
      <c r="H154" s="5" t="s">
        <v>2817</v>
      </c>
      <c r="I154" t="s">
        <v>1028</v>
      </c>
      <c r="L154" t="s">
        <v>2819</v>
      </c>
      <c r="M154" s="16" t="s">
        <v>2364</v>
      </c>
      <c r="N154" s="16" t="s">
        <v>2380</v>
      </c>
      <c r="O154" s="7">
        <v>45720</v>
      </c>
      <c r="P154" s="7" t="s">
        <v>2820</v>
      </c>
      <c r="Q154" s="18">
        <v>6</v>
      </c>
      <c r="R154" s="18">
        <v>2</v>
      </c>
      <c r="S154" s="18">
        <v>1</v>
      </c>
      <c r="T154" s="4">
        <f>DATE(AI$2,$Q154,1+(($R154-($S154&gt;=WEEKDAY(DATE(AI$2,$Q154,1))))*7)+($S154-WEEKDAY(DATE(AI$2,$Q154,1))))</f>
        <v>45816</v>
      </c>
      <c r="U154" s="4">
        <f>DATE(AJ$2,$Q154,1+(($R154-($S154&gt;=WEEKDAY(DATE(AJ$2,$Q154,1))))*7)+($S154-WEEKDAY(DATE(AJ$2,$Q154,1))))</f>
        <v>46187</v>
      </c>
      <c r="V154" s="20">
        <v>0</v>
      </c>
      <c r="W154" s="20">
        <v>2</v>
      </c>
      <c r="X154" s="4">
        <f ca="1">Y154-(W154-1)</f>
        <v>45815</v>
      </c>
      <c r="Y154" s="5">
        <f ca="1">IF(OR(T154+V154&lt;(NOW()-0.5),ISNUMBER(SEARCH("&lt;h4&gt;",K154))),U154+V154,T154+V154)</f>
        <v>45816</v>
      </c>
      <c r="Z154" t="str">
        <f ca="1">CONCATENATE(IF(OR(Y154=X154,ISBLANK(Y154)),TEXT(X154,"mmmm d"),CONCATENATE(TEXT(X154,"mmmm d"),"-",IF(TEXT(X154,"mmmm")=TEXT(Y154,"mmmm"),TEXT(Y154,"d"),TEXT(Y154,"mmmm d")))),", ",YEAR(Y154))</f>
        <v>June 7-8, 2025</v>
      </c>
      <c r="AA154" s="7">
        <f>O154</f>
        <v>45720</v>
      </c>
      <c r="AB154" s="14">
        <f>T154+V154-(W154-1)</f>
        <v>45815</v>
      </c>
      <c r="AC154" t="s">
        <v>2365</v>
      </c>
      <c r="AD154" s="23" t="str">
        <f ca="1">CONCATENATE("&lt;add-to-calendar-button  name=",CHAR(34),H154,CHAR(34),
IF(ISBLANK(M154),"",CONCATENATE("   location=",CHAR(34),RIGHT(M154,LEN(M154)-SEARCH("|",M154)-1),CHAR(34))),
"   description=",CHAR(34),IF(ISBLANK(I154),"",CONCATENATE(I154,"; ")),"shapenotesingings.com",CHAR(34),
"   options=",CHAR(34),"'Apple','Google','iCal','Outlook.com'",CHAR(34),"   styleLight=",CHAR(34),"--btn-background: #550000; --btn-text: #fff; --btn-shadow:#fff;",CHAR(34),
IF(W154=1,CONCATENATE(
"startDate=",CHAR(34),TEXT(G154,"yyyy-mm-dd"),CHAR(34),
"{endDate=",CHAR(34),TEXT(G154,"yyyy-mm-dd"),CHAR(34),
IF(OR(ISBLANK(AE154),ISBLANK(AF154)),"",(CONCATENATE(" startTime=",CHAR(34),TEXT(AE154,"hh:mm"),CHAR(34)," endTime=",CHAR(34),TEXT(AF154,"h:mm"),CHAR(34),
" timeZone=",CHAR(34),AG154,CHAR(34))))),
IF(W154=2,CONCATENATE(" dates='[{",
CHAR(34),"startDate",CHAR(34),":",CHAR(34),TEXT(G154,"yyyy-mm-dd"),CHAR(34),", ",
,CHAR(34),"endDate",CHAR(34),":",CHAR(34),TEXT(G154,"yyyy-mm-dd"),CHAR(34),
IF(OR(ISBLANK(AE154),ISBLANK(AF154)),"",(CONCATENATE(", ",CHAR(34),"startTime",CHAR(34),":",CHAR(34),TEXT(AE154,"hh:mm"),CHAR(34),", ",CHAR(34),"endTime",CHAR(34),":",CHAR(34),TEXT(AF154,"hh:mm"),CHAR(34),", ",CHAR(34),"timeZone",CHAR(34),":",CHAR(34),AG154,CHAR(34)))),"}, {",
,CHAR(34),"startDate",CHAR(34),":",CHAR(34),TEXT(G154+1,"yyyy-mm-dd"),CHAR(34),", ",
,CHAR(34),"endDate",CHAR(34),":",CHAR(34),TEXT(G154+W154-1,"yyyy-mm-dd"),CHAR(34),
IF(OR(ISBLANK(AE154),ISBLANK(AF154)),"",(CONCATENATE(", ",CHAR(34),"startTime",CHAR(34),":",CHAR(34),TEXT(AE154,"hh:mm"),CHAR(34),", ",CHAR(34),"endTime",CHAR(34),":",CHAR(34),TEXT(AF154,"hh:mm"),CHAR(34),", ",CHAR(34),"timeZone",CHAR(34),":",CHAR(34),AG154,CHAR(34)))),"}]'"),
CONCATENATE(
"{  startDate=",CHAR(34),TEXT(G154,"yyyy-mm-dd"),CHAR(34),
"  endDate=",CHAR(34),TEXT(G154+W154-1,"yyyy-mm-dd"),CHAR(34),"}"))),
" &gt;&lt;/add-to-calendar-button&gt;")</f>
        <v>&lt;add-to-calendar-button  name="Northern Shenandoah Valley Double All-Day"   location="Grace Episcopal Church Parish Hall (110 N. Church Street, Berryville VA) and Singing Hall (2336 Salem Church Rd, Boyce VA 22620) "   description="10am; shapenotesingings.com"   options="'Apple','Google','iCal','Outlook.com'"   styleLight="--btn-background: #550000; --btn-text: #fff; --btn-shadow:#fff;" dates='[{"startDate":"2025-06-07", "endDate":"2025-06-07", "startTime":"10:00", "endTime":"15:30", "timeZone":"America/New_York"}, {"startDate":"2025-06-08", "endDate":"2025-06-08", "startTime":"10:00", "endTime":"15:30", "timeZone":"America/New_York"}]' &gt;&lt;/add-to-calendar-button&gt;</v>
      </c>
      <c r="AE154" s="24">
        <v>0.41666666666666669</v>
      </c>
      <c r="AF154" s="24">
        <v>0.64583333333333337</v>
      </c>
      <c r="AG154" s="25" t="s">
        <v>1532</v>
      </c>
    </row>
    <row r="155" spans="1:33" x14ac:dyDescent="0.3">
      <c r="A155" t="s">
        <v>8</v>
      </c>
      <c r="B155" t="s">
        <v>11</v>
      </c>
      <c r="C155" t="s">
        <v>1134</v>
      </c>
      <c r="D155" t="s">
        <v>458</v>
      </c>
      <c r="E155" t="s">
        <v>2178</v>
      </c>
      <c r="F155" t="s">
        <v>453</v>
      </c>
      <c r="G155" s="7">
        <f ca="1">X155</f>
        <v>45815</v>
      </c>
      <c r="H155" s="5" t="s">
        <v>455</v>
      </c>
      <c r="I155" t="s">
        <v>1040</v>
      </c>
      <c r="J155" s="36" t="s">
        <v>2704</v>
      </c>
      <c r="M155" s="16" t="s">
        <v>456</v>
      </c>
      <c r="N155" s="16" t="s">
        <v>457</v>
      </c>
      <c r="O155" s="7">
        <v>45074</v>
      </c>
      <c r="P155" s="7" t="s">
        <v>1615</v>
      </c>
      <c r="Q155" s="18">
        <v>6</v>
      </c>
      <c r="R155" s="18">
        <v>2</v>
      </c>
      <c r="S155" s="18">
        <v>1</v>
      </c>
      <c r="T155" s="4">
        <f>DATE(AI$2,$Q155,1+(($R155-($S155&gt;=WEEKDAY(DATE(AI$2,$Q155,1))))*7)+($S155-WEEKDAY(DATE(AI$2,$Q155,1))))</f>
        <v>45816</v>
      </c>
      <c r="U155" s="4">
        <f>DATE(AJ$2,$Q155,1+(($R155-($S155&gt;=WEEKDAY(DATE(AJ$2,$Q155,1))))*7)+($S155-WEEKDAY(DATE(AJ$2,$Q155,1))))</f>
        <v>46187</v>
      </c>
      <c r="V155" s="20">
        <v>-1</v>
      </c>
      <c r="W155" s="20">
        <v>1</v>
      </c>
      <c r="X155" s="4">
        <f ca="1">Y155-(W155-1)</f>
        <v>45815</v>
      </c>
      <c r="Y155" s="5">
        <f ca="1">IF(OR(T155+V155&lt;(NOW()-0.5),ISNUMBER(SEARCH("&lt;h4&gt;",K155))),U155+V155,T155+V155)</f>
        <v>45815</v>
      </c>
      <c r="Z155" t="str">
        <f ca="1">CONCATENATE(IF(OR(Y155=X155,ISBLANK(Y155)),TEXT(X155,"mmmm d"),CONCATENATE(TEXT(X155,"mmmm d"),"-",IF(TEXT(X155,"mmmm")=TEXT(Y155,"mmmm"),TEXT(Y155,"d"),TEXT(Y155,"mmmm d")))),", ",YEAR(Y155))</f>
        <v>June 7, 2025</v>
      </c>
      <c r="AA155" s="7">
        <f>O155</f>
        <v>45074</v>
      </c>
      <c r="AB155" s="14">
        <f>T155+V155-(W155-1)</f>
        <v>45815</v>
      </c>
      <c r="AC155" t="s">
        <v>1288</v>
      </c>
      <c r="AD155" s="23" t="str">
        <f ca="1">CONCATENATE("&lt;add-to-calendar-button  name=",CHAR(34),H155,CHAR(34),
IF(ISBLANK(M155),"",CONCATENATE("   location=",CHAR(34),RIGHT(M155,LEN(M155)-SEARCH("|",M155)-1),CHAR(34))),
"   description=",CHAR(34),IF(ISBLANK(I155),"",CONCATENATE(I155,"; ")),"shapenotesingings.com",CHAR(34),
"   options=",CHAR(34),"'Apple','Google','iCal','Outlook.com'",CHAR(34),"   styleLight=",CHAR(34),"--btn-background: #550000; --btn-text: #fff; --btn-shadow:#fff;",CHAR(34),
IF(W155=1,CONCATENATE(
"startDate=",CHAR(34),TEXT(G155,"yyyy-mm-dd"),CHAR(34),
"{endDate=",CHAR(34),TEXT(G155,"yyyy-mm-dd"),CHAR(34),
IF(OR(ISBLANK(AE155),ISBLANK(AF155)),"",(CONCATENATE(" startTime=",CHAR(34),TEXT(AE155,"hh:mm"),CHAR(34)," endTime=",CHAR(34),TEXT(AF155,"h:mm"),CHAR(34),
" timeZone=",CHAR(34),AG155,CHAR(34))))),
IF(W155=2,CONCATENATE(" dates='[{",
CHAR(34),"startDate",CHAR(34),":",CHAR(34),TEXT(G155,"yyyy-mm-dd"),CHAR(34),", ",
,CHAR(34),"endDate",CHAR(34),":",CHAR(34),TEXT(G155,"yyyy-mm-dd"),CHAR(34),
IF(OR(ISBLANK(AE155),ISBLANK(AF155)),"",(CONCATENATE(", ",CHAR(34),"startTime",CHAR(34),":",CHAR(34),TEXT(AE155,"hh:mm"),CHAR(34),", ",CHAR(34),"endTime",CHAR(34),":",CHAR(34),TEXT(AF155,"hh:mm"),CHAR(34),", ",CHAR(34),"timeZone",CHAR(34),":",CHAR(34),AG155,CHAR(34)))),"}, {",
,CHAR(34),"startDate",CHAR(34),":",CHAR(34),TEXT(G155+1,"yyyy-mm-dd"),CHAR(34),", ",
,CHAR(34),"endDate",CHAR(34),":",CHAR(34),TEXT(G155+W155-1,"yyyy-mm-dd"),CHAR(34),
IF(OR(ISBLANK(AE155),ISBLANK(AF155)),"",(CONCATENATE(", ",CHAR(34),"startTime",CHAR(34),":",CHAR(34),TEXT(AE155,"hh:mm"),CHAR(34),", ",CHAR(34),"endTime",CHAR(34),":",CHAR(34),TEXT(AF155,"hh:mm"),CHAR(34),", ",CHAR(34),"timeZone",CHAR(34),":",CHAR(34),AG155,CHAR(34)))),"}]'"),
CONCATENATE(
"{  startDate=",CHAR(34),TEXT(G155,"yyyy-mm-dd"),CHAR(34),
"  endDate=",CHAR(34),TEXT(G155+W155-1,"yyyy-mm-dd"),CHAR(34),"}"))),
" &gt;&lt;/add-to-calendar-button&gt;")</f>
        <v>&lt;add-to-calendar-button  name="Hopewell Homecoming"   location="Hopewell Primitive Baptist Church, 3596 Airport Road, Altoona, AL"   description="9:30am; shapenotesingings.com"   options="'Apple','Google','iCal','Outlook.com'"   styleLight="--btn-background: #550000; --btn-text: #fff; --btn-shadow:#fff;"startDate="2025-06-07"{endDate="2025-06-07" startTime="09:30" endTime="15:00" timeZone="America/Chicago" &gt;&lt;/add-to-calendar-button&gt;</v>
      </c>
      <c r="AE155" s="24">
        <v>0.39583333333333331</v>
      </c>
      <c r="AF155" s="24">
        <v>0.625</v>
      </c>
      <c r="AG155" s="25" t="s">
        <v>1533</v>
      </c>
    </row>
    <row r="156" spans="1:33" x14ac:dyDescent="0.3">
      <c r="A156" t="s">
        <v>8</v>
      </c>
      <c r="B156" t="s">
        <v>17</v>
      </c>
      <c r="C156" t="s">
        <v>1140</v>
      </c>
      <c r="D156" t="s">
        <v>25</v>
      </c>
      <c r="E156" t="s">
        <v>33</v>
      </c>
      <c r="F156" t="s">
        <v>453</v>
      </c>
      <c r="G156" s="7">
        <f ca="1">X156</f>
        <v>45815</v>
      </c>
      <c r="H156" s="5" t="s">
        <v>454</v>
      </c>
      <c r="I156" t="s">
        <v>1028</v>
      </c>
      <c r="J156" s="36" t="s">
        <v>2598</v>
      </c>
      <c r="L156" t="s">
        <v>2113</v>
      </c>
      <c r="M156" s="16" t="s">
        <v>1010</v>
      </c>
      <c r="N156" s="16" t="s">
        <v>122</v>
      </c>
      <c r="O156" s="7">
        <v>44936</v>
      </c>
      <c r="P156" s="7" t="s">
        <v>926</v>
      </c>
      <c r="Q156" s="18">
        <v>6</v>
      </c>
      <c r="R156" s="18">
        <v>2</v>
      </c>
      <c r="S156" s="18">
        <v>1</v>
      </c>
      <c r="T156" s="4">
        <f>DATE(AI$2,$Q156,1+(($R156-($S156&gt;=WEEKDAY(DATE(AI$2,$Q156,1))))*7)+($S156-WEEKDAY(DATE(AI$2,$Q156,1))))</f>
        <v>45816</v>
      </c>
      <c r="U156" s="4">
        <f>DATE(AJ$2,$Q156,1+(($R156-($S156&gt;=WEEKDAY(DATE(AJ$2,$Q156,1))))*7)+($S156-WEEKDAY(DATE(AJ$2,$Q156,1))))</f>
        <v>46187</v>
      </c>
      <c r="V156" s="20">
        <v>-1</v>
      </c>
      <c r="W156" s="20">
        <v>1</v>
      </c>
      <c r="X156" s="4">
        <f ca="1">Y156-(W156-1)</f>
        <v>45815</v>
      </c>
      <c r="Y156" s="5">
        <f ca="1">IF(OR(T156+V156&lt;(NOW()-0.5),ISNUMBER(SEARCH("&lt;h4&gt;",K156))),U156+V156,T156+V156)</f>
        <v>45815</v>
      </c>
      <c r="Z156" t="str">
        <f ca="1">CONCATENATE(IF(OR(Y156=X156,ISBLANK(Y156)),TEXT(X156,"mmmm d"),CONCATENATE(TEXT(X156,"mmmm d"),"-",IF(TEXT(X156,"mmmm")=TEXT(Y156,"mmmm"),TEXT(Y156,"d"),TEXT(Y156,"mmmm d")))),", ",YEAR(Y156))</f>
        <v>June 7, 2025</v>
      </c>
      <c r="AA156" s="7">
        <f>O156</f>
        <v>44936</v>
      </c>
      <c r="AB156" s="14">
        <f>T156+V156-(W156-1)</f>
        <v>45815</v>
      </c>
      <c r="AC156" t="s">
        <v>1289</v>
      </c>
      <c r="AD156" s="23" t="str">
        <f ca="1">CONCATENATE("&lt;add-to-calendar-button  name=",CHAR(34),H156,CHAR(34),
IF(ISBLANK(M156),"",CONCATENATE("   location=",CHAR(34),RIGHT(M156,LEN(M156)-SEARCH("|",M156)-1),CHAR(34))),
"   description=",CHAR(34),IF(ISBLANK(I156),"",CONCATENATE(I156,"; ")),"shapenotesingings.com",CHAR(34),
"   options=",CHAR(34),"'Apple','Google','iCal','Outlook.com'",CHAR(34),"   styleLight=",CHAR(34),"--btn-background: #550000; --btn-text: #fff; --btn-shadow:#fff;",CHAR(34),
IF(W156=1,CONCATENATE(
"startDate=",CHAR(34),TEXT(G156,"yyyy-mm-dd"),CHAR(34),
"{endDate=",CHAR(34),TEXT(G156,"yyyy-mm-dd"),CHAR(34),
IF(OR(ISBLANK(AE156),ISBLANK(AF156)),"",(CONCATENATE(" startTime=",CHAR(34),TEXT(AE156,"hh:mm"),CHAR(34)," endTime=",CHAR(34),TEXT(AF156,"h:mm"),CHAR(34),
" timeZone=",CHAR(34),AG156,CHAR(34))))),
IF(W156=2,CONCATENATE(" dates='[{",
CHAR(34),"startDate",CHAR(34),":",CHAR(34),TEXT(G156,"yyyy-mm-dd"),CHAR(34),", ",
,CHAR(34),"endDate",CHAR(34),":",CHAR(34),TEXT(G156,"yyyy-mm-dd"),CHAR(34),
IF(OR(ISBLANK(AE156),ISBLANK(AF156)),"",(CONCATENATE(", ",CHAR(34),"startTime",CHAR(34),":",CHAR(34),TEXT(AE156,"hh:mm"),CHAR(34),", ",CHAR(34),"endTime",CHAR(34),":",CHAR(34),TEXT(AF156,"hh:mm"),CHAR(34),", ",CHAR(34),"timeZone",CHAR(34),":",CHAR(34),AG156,CHAR(34)))),"}, {",
,CHAR(34),"startDate",CHAR(34),":",CHAR(34),TEXT(G156+1,"yyyy-mm-dd"),CHAR(34),", ",
,CHAR(34),"endDate",CHAR(34),":",CHAR(34),TEXT(G156+W156-1,"yyyy-mm-dd"),CHAR(34),
IF(OR(ISBLANK(AE156),ISBLANK(AF156)),"",(CONCATENATE(", ",CHAR(34),"startTime",CHAR(34),":",CHAR(34),TEXT(AE156,"hh:mm"),CHAR(34),", ",CHAR(34),"endTime",CHAR(34),":",CHAR(34),TEXT(AF156,"hh:mm"),CHAR(34),", ",CHAR(34),"timeZone",CHAR(34),":",CHAR(34),AG156,CHAR(34)))),"}]'"),
CONCATENATE(
"{  startDate=",CHAR(34),TEXT(G156,"yyyy-mm-dd"),CHAR(34),
"  endDate=",CHAR(34),TEXT(G156+W156-1,"yyyy-mm-dd"),CHAR(34),"}"))),
" &gt;&lt;/add-to-calendar-button&gt;")</f>
        <v>&lt;add-to-calendar-button  name="Raymond Hamrick Memorial "   location="Roberta Civic Center, 93 S Mathews St, Roberta, GA 31078"   description="10am; shapenotesingings.com"   options="'Apple','Google','iCal','Outlook.com'"   styleLight="--btn-background: #550000; --btn-text: #fff; --btn-shadow:#fff;"startDate="2025-06-07"{endDate="2025-06-07" startTime="10:00" endTime="15:00" timeZone="America/New_York" &gt;&lt;/add-to-calendar-button&gt;</v>
      </c>
      <c r="AE156" s="24">
        <v>0.41666666666666669</v>
      </c>
      <c r="AF156" s="24">
        <v>0.625</v>
      </c>
      <c r="AG156" s="25" t="s">
        <v>1532</v>
      </c>
    </row>
    <row r="157" spans="1:33" x14ac:dyDescent="0.3">
      <c r="A157" t="s">
        <v>8</v>
      </c>
      <c r="B157" t="s">
        <v>333</v>
      </c>
      <c r="C157" t="s">
        <v>452</v>
      </c>
      <c r="D157" t="s">
        <v>682</v>
      </c>
      <c r="E157" t="s">
        <v>2178</v>
      </c>
      <c r="F157" t="s">
        <v>453</v>
      </c>
      <c r="G157" s="7">
        <f ca="1">X157</f>
        <v>45815</v>
      </c>
      <c r="H157" s="5" t="s">
        <v>1579</v>
      </c>
      <c r="I157" t="s">
        <v>1039</v>
      </c>
      <c r="J157" s="36" t="s">
        <v>2706</v>
      </c>
      <c r="L157" t="s">
        <v>2089</v>
      </c>
      <c r="M157" s="16" t="s">
        <v>1580</v>
      </c>
      <c r="N157" s="16" t="s">
        <v>1581</v>
      </c>
      <c r="O157" s="7">
        <v>45312</v>
      </c>
      <c r="P157" s="7" t="s">
        <v>1915</v>
      </c>
      <c r="Q157" s="18">
        <v>6</v>
      </c>
      <c r="R157" s="18">
        <v>2</v>
      </c>
      <c r="S157" s="18">
        <v>1</v>
      </c>
      <c r="T157" s="4">
        <f>DATE(AI$2,$Q157,1+(($R157-($S157&gt;=WEEKDAY(DATE(AI$2,$Q157,1))))*7)+($S157-WEEKDAY(DATE(AI$2,$Q157,1))))</f>
        <v>45816</v>
      </c>
      <c r="U157" s="4">
        <f>DATE(AJ$2,$Q157,1+(($R157-($S157&gt;=WEEKDAY(DATE(AJ$2,$Q157,1))))*7)+($S157-WEEKDAY(DATE(AJ$2,$Q157,1))))</f>
        <v>46187</v>
      </c>
      <c r="V157" s="20">
        <v>-1</v>
      </c>
      <c r="W157" s="20">
        <v>1</v>
      </c>
      <c r="X157" s="4">
        <f ca="1">Y157-(W157-1)</f>
        <v>45815</v>
      </c>
      <c r="Y157" s="5">
        <f ca="1">IF(OR(T157+V157&lt;(NOW()-0.5),ISNUMBER(SEARCH("&lt;h4&gt;",K157))),U157+V157,T157+V157)</f>
        <v>45815</v>
      </c>
      <c r="Z157" t="str">
        <f ca="1">CONCATENATE(IF(OR(Y157=X157,ISBLANK(Y157)),TEXT(X157,"mmmm d"),CONCATENATE(TEXT(X157,"mmmm d"),"-",IF(TEXT(X157,"mmmm")=TEXT(Y157,"mmmm"),TEXT(Y157,"d"),TEXT(Y157,"mmmm d")))),", ",YEAR(Y157))</f>
        <v>June 7, 2025</v>
      </c>
      <c r="AA157" s="7">
        <f>O157</f>
        <v>45312</v>
      </c>
      <c r="AB157" s="14">
        <f>T157+V157-(W157-1)</f>
        <v>45815</v>
      </c>
      <c r="AC157" t="s">
        <v>1582</v>
      </c>
      <c r="AD157" s="23" t="str">
        <f ca="1">CONCATENATE("&lt;add-to-calendar-button  name=",CHAR(34),H157,CHAR(34),
IF(ISBLANK(M157),"",CONCATENATE("   location=",CHAR(34),RIGHT(M157,LEN(M157)-SEARCH("|",M157)-1),CHAR(34))),
"   description=",CHAR(34),IF(ISBLANK(I157),"",CONCATENATE(I157,"; ")),"shapenotesingings.com",CHAR(34),
"   options=",CHAR(34),"'Apple','Google','iCal','Outlook.com'",CHAR(34),"   styleLight=",CHAR(34),"--btn-background: #550000; --btn-text: #fff; --btn-shadow:#fff;",CHAR(34),
IF(W157=1,CONCATENATE(
"startDate=",CHAR(34),TEXT(G157,"yyyy-mm-dd"),CHAR(34),
"{endDate=",CHAR(34),TEXT(G157,"yyyy-mm-dd"),CHAR(34),
IF(OR(ISBLANK(AE157),ISBLANK(AF157)),"",(CONCATENATE(" startTime=",CHAR(34),TEXT(AE157,"hh:mm"),CHAR(34)," endTime=",CHAR(34),TEXT(AF157,"h:mm"),CHAR(34),
" timeZone=",CHAR(34),AG157,CHAR(34))))),
IF(W157=2,CONCATENATE(" dates='[{",
CHAR(34),"startDate",CHAR(34),":",CHAR(34),TEXT(G157,"yyyy-mm-dd"),CHAR(34),", ",
,CHAR(34),"endDate",CHAR(34),":",CHAR(34),TEXT(G157,"yyyy-mm-dd"),CHAR(34),
IF(OR(ISBLANK(AE157),ISBLANK(AF157)),"",(CONCATENATE(", ",CHAR(34),"startTime",CHAR(34),":",CHAR(34),TEXT(AE157,"hh:mm"),CHAR(34),", ",CHAR(34),"endTime",CHAR(34),":",CHAR(34),TEXT(AF157,"hh:mm"),CHAR(34),", ",CHAR(34),"timeZone",CHAR(34),":",CHAR(34),AG157,CHAR(34)))),"}, {",
,CHAR(34),"startDate",CHAR(34),":",CHAR(34),TEXT(G157+1,"yyyy-mm-dd"),CHAR(34),", ",
,CHAR(34),"endDate",CHAR(34),":",CHAR(34),TEXT(G157+W157-1,"yyyy-mm-dd"),CHAR(34),
IF(OR(ISBLANK(AE157),ISBLANK(AF157)),"",(CONCATENATE(", ",CHAR(34),"startTime",CHAR(34),":",CHAR(34),TEXT(AE157,"hh:mm"),CHAR(34),", ",CHAR(34),"endTime",CHAR(34),":",CHAR(34),TEXT(AF157,"hh:mm"),CHAR(34),", ",CHAR(34),"timeZone",CHAR(34),":",CHAR(34),AG157,CHAR(34)))),"}]'"),
CONCATENATE(
"{  startDate=",CHAR(34),TEXT(G157,"yyyy-mm-dd"),CHAR(34),
"  endDate=",CHAR(34),TEXT(G157+W157-1,"yyyy-mm-dd"),CHAR(34),"}"))),
" &gt;&lt;/add-to-calendar-button&gt;")</f>
        <v>&lt;add-to-calendar-button  name="Albany Regional All-Day Singing"   location="Burton Hall (Easton Town Hall), 1071 NY-40, Greenwich, NY 12834"   description="10am-3:30pm; shapenotesingings.com"   options="'Apple','Google','iCal','Outlook.com'"   styleLight="--btn-background: #550000; --btn-text: #fff; --btn-shadow:#fff;"startDate="2025-06-07"{endDate="2025-06-07" startTime="10:00" endTime="15:30" timeZone="America/Chicago" &gt;&lt;/add-to-calendar-button&gt;</v>
      </c>
      <c r="AE157" s="24">
        <v>0.41666666666666669</v>
      </c>
      <c r="AF157" s="24">
        <v>0.64583333333333337</v>
      </c>
      <c r="AG157" s="25" t="s">
        <v>1533</v>
      </c>
    </row>
    <row r="158" spans="1:33" x14ac:dyDescent="0.3">
      <c r="A158" t="s">
        <v>8</v>
      </c>
      <c r="B158" t="s">
        <v>17</v>
      </c>
      <c r="C158" t="s">
        <v>1140</v>
      </c>
      <c r="D158" t="s">
        <v>108</v>
      </c>
      <c r="E158" t="s">
        <v>2178</v>
      </c>
      <c r="F158" t="s">
        <v>466</v>
      </c>
      <c r="G158" s="7">
        <f ca="1">X158</f>
        <v>45816</v>
      </c>
      <c r="H158" s="5" t="s">
        <v>461</v>
      </c>
      <c r="I158" t="s">
        <v>1028</v>
      </c>
      <c r="J158" s="36" t="s">
        <v>2707</v>
      </c>
      <c r="K158" t="s">
        <v>1098</v>
      </c>
      <c r="L158" t="s">
        <v>2114</v>
      </c>
      <c r="M158" s="16" t="s">
        <v>459</v>
      </c>
      <c r="N158" s="16" t="s">
        <v>460</v>
      </c>
      <c r="O158" s="7">
        <v>44936</v>
      </c>
      <c r="P158" s="7" t="s">
        <v>926</v>
      </c>
      <c r="Q158" s="18">
        <v>6</v>
      </c>
      <c r="R158" s="18">
        <v>2</v>
      </c>
      <c r="S158" s="18">
        <v>1</v>
      </c>
      <c r="T158" s="4">
        <f>DATE(AI$2,$Q158,1+(($R158-($S158&gt;=WEEKDAY(DATE(AI$2,$Q158,1))))*7)+($S158-WEEKDAY(DATE(AI$2,$Q158,1))))</f>
        <v>45816</v>
      </c>
      <c r="U158" s="4">
        <f>DATE(AJ$2,$Q158,1+(($R158-($S158&gt;=WEEKDAY(DATE(AJ$2,$Q158,1))))*7)+($S158-WEEKDAY(DATE(AJ$2,$Q158,1))))</f>
        <v>46187</v>
      </c>
      <c r="V158" s="20">
        <v>0</v>
      </c>
      <c r="W158" s="20">
        <v>1</v>
      </c>
      <c r="X158" s="4">
        <f ca="1">Y158-(W158-1)</f>
        <v>45816</v>
      </c>
      <c r="Y158" s="5">
        <f ca="1">IF(OR(T158+V158&lt;(NOW()-0.5),ISNUMBER(SEARCH("&lt;h4&gt;",K158))),U158+V158,T158+V158)</f>
        <v>45816</v>
      </c>
      <c r="Z158" t="str">
        <f ca="1">CONCATENATE(IF(OR(Y158=X158,ISBLANK(Y158)),TEXT(X158,"mmmm d"),CONCATENATE(TEXT(X158,"mmmm d"),"-",IF(TEXT(X158,"mmmm")=TEXT(Y158,"mmmm"),TEXT(Y158,"d"),TEXT(Y158,"mmmm d")))),", ",YEAR(Y158))</f>
        <v>June 8, 2025</v>
      </c>
      <c r="AA158" s="7">
        <f>O158</f>
        <v>44936</v>
      </c>
      <c r="AB158" s="14">
        <f>T158+V158-(W158-1)</f>
        <v>45816</v>
      </c>
      <c r="AC158" t="s">
        <v>1291</v>
      </c>
      <c r="AD158" s="23" t="str">
        <f ca="1">CONCATENATE("&lt;add-to-calendar-button  name=",CHAR(34),H158,CHAR(34),
IF(ISBLANK(M158),"",CONCATENATE("   location=",CHAR(34),RIGHT(M158,LEN(M158)-SEARCH("|",M158)-1),CHAR(34))),
"   description=",CHAR(34),IF(ISBLANK(I158),"",CONCATENATE(I158,"; ")),"shapenotesingings.com",CHAR(34),
"   options=",CHAR(34),"'Apple','Google','iCal','Outlook.com'",CHAR(34),"   styleLight=",CHAR(34),"--btn-background: #550000; --btn-text: #fff; --btn-shadow:#fff;",CHAR(34),
IF(W158=1,CONCATENATE(
"startDate=",CHAR(34),TEXT(G158,"yyyy-mm-dd"),CHAR(34),
"{endDate=",CHAR(34),TEXT(G158,"yyyy-mm-dd"),CHAR(34),
IF(OR(ISBLANK(AE158),ISBLANK(AF158)),"",(CONCATENATE(" startTime=",CHAR(34),TEXT(AE158,"hh:mm"),CHAR(34)," endTime=",CHAR(34),TEXT(AF158,"h:mm"),CHAR(34),
" timeZone=",CHAR(34),AG158,CHAR(34))))),
IF(W158=2,CONCATENATE(" dates='[{",
CHAR(34),"startDate",CHAR(34),":",CHAR(34),TEXT(G158,"yyyy-mm-dd"),CHAR(34),", ",
,CHAR(34),"endDate",CHAR(34),":",CHAR(34),TEXT(G158,"yyyy-mm-dd"),CHAR(34),
IF(OR(ISBLANK(AE158),ISBLANK(AF158)),"",(CONCATENATE(", ",CHAR(34),"startTime",CHAR(34),":",CHAR(34),TEXT(AE158,"hh:mm"),CHAR(34),", ",CHAR(34),"endTime",CHAR(34),":",CHAR(34),TEXT(AF158,"hh:mm"),CHAR(34),", ",CHAR(34),"timeZone",CHAR(34),":",CHAR(34),AG158,CHAR(34)))),"}, {",
,CHAR(34),"startDate",CHAR(34),":",CHAR(34),TEXT(G158+1,"yyyy-mm-dd"),CHAR(34),", ",
,CHAR(34),"endDate",CHAR(34),":",CHAR(34),TEXT(G158+W158-1,"yyyy-mm-dd"),CHAR(34),
IF(OR(ISBLANK(AE158),ISBLANK(AF158)),"",(CONCATENATE(", ",CHAR(34),"startTime",CHAR(34),":",CHAR(34),TEXT(AE158,"hh:mm"),CHAR(34),", ",CHAR(34),"endTime",CHAR(34),":",CHAR(34),TEXT(AF158,"hh:mm"),CHAR(34),", ",CHAR(34),"timeZone",CHAR(34),":",CHAR(34),AG158,CHAR(34)))),"}]'"),
CONCATENATE(
"{  startDate=",CHAR(34),TEXT(G158,"yyyy-mm-dd"),CHAR(34),
"  endDate=",CHAR(34),TEXT(G158+W158-1,"yyyy-mm-dd"),CHAR(34),"}"))),
" &gt;&lt;/add-to-calendar-button&gt;")</f>
        <v>&lt;add-to-calendar-button  name="Alpharetta June Singing"   location="Alpharetta City Hall, 2 Park Plaza, Alpharetta, GA 30009"   description="10am; shapenotesingings.com"   options="'Apple','Google','iCal','Outlook.com'"   styleLight="--btn-background: #550000; --btn-text: #fff; --btn-shadow:#fff;"startDate="2025-06-08"{endDate="2025-06-08" startTime="10:00" endTime="15:00" timeZone="America/New_York" &gt;&lt;/add-to-calendar-button&gt;</v>
      </c>
      <c r="AE158" s="24">
        <v>0.41666666666666669</v>
      </c>
      <c r="AF158" s="24">
        <v>0.625</v>
      </c>
      <c r="AG158" s="25" t="s">
        <v>1532</v>
      </c>
    </row>
    <row r="159" spans="1:33" x14ac:dyDescent="0.3">
      <c r="A159" t="s">
        <v>8</v>
      </c>
      <c r="B159" t="s">
        <v>11</v>
      </c>
      <c r="C159" t="s">
        <v>1134</v>
      </c>
      <c r="D159" t="s">
        <v>1873</v>
      </c>
      <c r="E159" t="s">
        <v>2178</v>
      </c>
      <c r="F159" t="s">
        <v>466</v>
      </c>
      <c r="G159" s="7">
        <f ca="1">X159</f>
        <v>45816</v>
      </c>
      <c r="H159" s="5" t="s">
        <v>2446</v>
      </c>
      <c r="K159" t="s">
        <v>2911</v>
      </c>
      <c r="L159" t="s">
        <v>2445</v>
      </c>
      <c r="M159" s="16" t="s">
        <v>2909</v>
      </c>
      <c r="N159" s="16" t="s">
        <v>2910</v>
      </c>
      <c r="O159" s="7">
        <v>45742</v>
      </c>
      <c r="P159" s="7" t="s">
        <v>1618</v>
      </c>
      <c r="Q159" s="18">
        <v>6</v>
      </c>
      <c r="R159" s="18">
        <v>2</v>
      </c>
      <c r="S159" s="18">
        <v>1</v>
      </c>
      <c r="T159" s="4">
        <f>DATE(AI$2,$Q159,1+(($R159-($S159&gt;=WEEKDAY(DATE(AI$2,$Q159,1))))*7)+($S159-WEEKDAY(DATE(AI$2,$Q159,1))))</f>
        <v>45816</v>
      </c>
      <c r="U159" s="4">
        <f>DATE(AJ$2,$Q159,1+(($R159-($S159&gt;=WEEKDAY(DATE(AJ$2,$Q159,1))))*7)+($S159-WEEKDAY(DATE(AJ$2,$Q159,1))))</f>
        <v>46187</v>
      </c>
      <c r="V159" s="20">
        <v>0</v>
      </c>
      <c r="W159" s="20">
        <v>1</v>
      </c>
      <c r="X159" s="4">
        <f ca="1">Y159-(W159-1)</f>
        <v>45816</v>
      </c>
      <c r="Y159" s="5">
        <f ca="1">IF(OR(T159+V159&lt;(NOW()-0.5),ISNUMBER(SEARCH("&lt;h4&gt;",K159))),U159+V159,T159+V159)</f>
        <v>45816</v>
      </c>
      <c r="Z159" t="str">
        <f ca="1">CONCATENATE(IF(OR(Y159=X159,ISBLANK(Y159)),TEXT(X159,"mmmm d"),CONCATENATE(TEXT(X159,"mmmm d"),"-",IF(TEXT(X159,"mmmm")=TEXT(Y159,"mmmm"),TEXT(Y159,"d"),TEXT(Y159,"mmmm d")))),", ",YEAR(Y159))</f>
        <v>June 8, 2025</v>
      </c>
      <c r="AA159" s="7">
        <f>O159</f>
        <v>45742</v>
      </c>
      <c r="AB159" s="14">
        <f>T159+V159-(W159-1)</f>
        <v>45816</v>
      </c>
      <c r="AC159" t="s">
        <v>2912</v>
      </c>
      <c r="AD159" s="23" t="str">
        <f ca="1">CONCATENATE("&lt;add-to-calendar-button  name=",CHAR(34),H159,CHAR(34),
IF(ISBLANK(M159),"",CONCATENATE("   location=",CHAR(34),RIGHT(M159,LEN(M159)-SEARCH("|",M159)-1),CHAR(34))),
"   description=",CHAR(34),IF(ISBLANK(I159),"",CONCATENATE(I159,"; ")),"shapenotesingings.com",CHAR(34),
"   options=",CHAR(34),"'Apple','Google','iCal','Outlook.com'",CHAR(34),"   styleLight=",CHAR(34),"--btn-background: #550000; --btn-text: #fff; --btn-shadow:#fff;",CHAR(34),
IF(W159=1,CONCATENATE(
"startDate=",CHAR(34),TEXT(G159,"yyyy-mm-dd"),CHAR(34),
"{endDate=",CHAR(34),TEXT(G159,"yyyy-mm-dd"),CHAR(34),
IF(OR(ISBLANK(AE159),ISBLANK(AF159)),"",(CONCATENATE(" startTime=",CHAR(34),TEXT(AE159,"hh:mm"),CHAR(34)," endTime=",CHAR(34),TEXT(AF159,"h:mm"),CHAR(34),
" timeZone=",CHAR(34),AG159,CHAR(34))))),
IF(W159=2,CONCATENATE(" dates='[{",
CHAR(34),"startDate",CHAR(34),":",CHAR(34),TEXT(G159,"yyyy-mm-dd"),CHAR(34),", ",
,CHAR(34),"endDate",CHAR(34),":",CHAR(34),TEXT(G159,"yyyy-mm-dd"),CHAR(34),
IF(OR(ISBLANK(AE159),ISBLANK(AF159)),"",(CONCATENATE(", ",CHAR(34),"startTime",CHAR(34),":",CHAR(34),TEXT(AE159,"hh:mm"),CHAR(34),", ",CHAR(34),"endTime",CHAR(34),":",CHAR(34),TEXT(AF159,"hh:mm"),CHAR(34),", ",CHAR(34),"timeZone",CHAR(34),":",CHAR(34),AG159,CHAR(34)))),"}, {",
,CHAR(34),"startDate",CHAR(34),":",CHAR(34),TEXT(G159+1,"yyyy-mm-dd"),CHAR(34),", ",
,CHAR(34),"endDate",CHAR(34),":",CHAR(34),TEXT(G159+W159-1,"yyyy-mm-dd"),CHAR(34),
IF(OR(ISBLANK(AE159),ISBLANK(AF159)),"",(CONCATENATE(", ",CHAR(34),"startTime",CHAR(34),":",CHAR(34),TEXT(AE159,"hh:mm"),CHAR(34),", ",CHAR(34),"endTime",CHAR(34),":",CHAR(34),TEXT(AF159,"hh:mm"),CHAR(34),", ",CHAR(34),"timeZone",CHAR(34),":",CHAR(34),AG159,CHAR(34)))),"}]'"),
CONCATENATE(
"{  startDate=",CHAR(34),TEXT(G159,"yyyy-mm-dd"),CHAR(34),
"  endDate=",CHAR(34),TEXT(G159+W159-1,"yyyy-mm-dd"),CHAR(34),"}"))),
" &gt;&lt;/add-to-calendar-button&gt;")</f>
        <v>&lt;add-to-calendar-button  name="Magic City All-Day Singing"   location="AEIVA , 1221 10th Ave S, Birmingham, AL 35294"   description="shapenotesingings.com"   options="'Apple','Google','iCal','Outlook.com'"   styleLight="--btn-background: #550000; --btn-text: #fff; --btn-shadow:#fff;"startDate="2025-06-08"{endDate="2025-06-08" startTime="09:30" endTime="15:00" timeZone="America/Chicago" &gt;&lt;/add-to-calendar-button&gt;</v>
      </c>
      <c r="AE159" s="24">
        <v>0.39583333333333331</v>
      </c>
      <c r="AF159" s="24">
        <v>0.625</v>
      </c>
      <c r="AG159" s="25" t="s">
        <v>1533</v>
      </c>
    </row>
    <row r="160" spans="1:33" x14ac:dyDescent="0.3">
      <c r="A160" t="s">
        <v>8</v>
      </c>
      <c r="B160" t="s">
        <v>176</v>
      </c>
      <c r="C160" t="s">
        <v>1157</v>
      </c>
      <c r="D160" t="s">
        <v>2140</v>
      </c>
      <c r="E160" t="s">
        <v>2178</v>
      </c>
      <c r="F160" t="s">
        <v>266</v>
      </c>
      <c r="G160" s="7">
        <f ca="1">X160</f>
        <v>45822</v>
      </c>
      <c r="H160" s="5" t="s">
        <v>471</v>
      </c>
      <c r="I160" t="s">
        <v>1039</v>
      </c>
      <c r="J160" s="36" t="s">
        <v>2735</v>
      </c>
      <c r="K160" t="s">
        <v>1104</v>
      </c>
      <c r="L160" t="s">
        <v>2139</v>
      </c>
      <c r="M160" s="16" t="s">
        <v>472</v>
      </c>
      <c r="N160" s="16" t="s">
        <v>473</v>
      </c>
      <c r="O160" s="7">
        <v>45312</v>
      </c>
      <c r="P160" s="7" t="s">
        <v>1914</v>
      </c>
      <c r="Q160" s="18">
        <v>6</v>
      </c>
      <c r="R160" s="18">
        <v>3</v>
      </c>
      <c r="S160" s="18">
        <v>1</v>
      </c>
      <c r="T160" s="4">
        <f>DATE(AI$2,$Q160,1+(($R160-($S160&gt;=WEEKDAY(DATE(AI$2,$Q160,1))))*7)+($S160-WEEKDAY(DATE(AI$2,$Q160,1))))</f>
        <v>45823</v>
      </c>
      <c r="U160" s="4">
        <f>DATE(AJ$2,$Q160,1+(($R160-($S160&gt;=WEEKDAY(DATE(AJ$2,$Q160,1))))*7)+($S160-WEEKDAY(DATE(AJ$2,$Q160,1))))</f>
        <v>46194</v>
      </c>
      <c r="V160" s="20">
        <v>-1</v>
      </c>
      <c r="W160" s="20">
        <v>1</v>
      </c>
      <c r="X160" s="4">
        <f ca="1">Y160-(W160-1)</f>
        <v>45822</v>
      </c>
      <c r="Y160" s="5">
        <f ca="1">IF(OR(T160+V160&lt;(NOW()-0.5),ISNUMBER(SEARCH("&lt;h4&gt;",K160))),U160+V160,T160+V160)</f>
        <v>45822</v>
      </c>
      <c r="Z160" t="str">
        <f ca="1">CONCATENATE(IF(OR(Y160=X160,ISBLANK(Y160)),TEXT(X160,"mmmm d"),CONCATENATE(TEXT(X160,"mmmm d"),"-",IF(TEXT(X160,"mmmm")=TEXT(Y160,"mmmm"),TEXT(Y160,"d"),TEXT(Y160,"mmmm d")))),", ",YEAR(Y160))</f>
        <v>June 14, 2025</v>
      </c>
      <c r="AA160" s="7">
        <f>O160</f>
        <v>45312</v>
      </c>
      <c r="AB160" s="14">
        <f>T160+V160-(W160-1)</f>
        <v>45822</v>
      </c>
      <c r="AC160" t="s">
        <v>1296</v>
      </c>
      <c r="AD160" s="23" t="str">
        <f ca="1">CONCATENATE("&lt;add-to-calendar-button  name=",CHAR(34),H160,CHAR(34),
IF(ISBLANK(M160),"",CONCATENATE("   location=",CHAR(34),RIGHT(M160,LEN(M160)-SEARCH("|",M160)-1),CHAR(34))),
"   description=",CHAR(34),IF(ISBLANK(I160),"",CONCATENATE(I160,"; ")),"shapenotesingings.com",CHAR(34),
"   options=",CHAR(34),"'Apple','Google','iCal','Outlook.com'",CHAR(34),"   styleLight=",CHAR(34),"--btn-background: #550000; --btn-text: #fff; --btn-shadow:#fff;",CHAR(34),
IF(W160=1,CONCATENATE(
"startDate=",CHAR(34),TEXT(G160,"yyyy-mm-dd"),CHAR(34),
"{endDate=",CHAR(34),TEXT(G160,"yyyy-mm-dd"),CHAR(34),
IF(OR(ISBLANK(AE160),ISBLANK(AF160)),"",(CONCATENATE(" startTime=",CHAR(34),TEXT(AE160,"hh:mm"),CHAR(34)," endTime=",CHAR(34),TEXT(AF160,"h:mm"),CHAR(34),
" timeZone=",CHAR(34),AG160,CHAR(34))))),
IF(W160=2,CONCATENATE(" dates='[{",
CHAR(34),"startDate",CHAR(34),":",CHAR(34),TEXT(G160,"yyyy-mm-dd"),CHAR(34),", ",
,CHAR(34),"endDate",CHAR(34),":",CHAR(34),TEXT(G160,"yyyy-mm-dd"),CHAR(34),
IF(OR(ISBLANK(AE160),ISBLANK(AF160)),"",(CONCATENATE(", ",CHAR(34),"startTime",CHAR(34),":",CHAR(34),TEXT(AE160,"hh:mm"),CHAR(34),", ",CHAR(34),"endTime",CHAR(34),":",CHAR(34),TEXT(AF160,"hh:mm"),CHAR(34),", ",CHAR(34),"timeZone",CHAR(34),":",CHAR(34),AG160,CHAR(34)))),"}, {",
,CHAR(34),"startDate",CHAR(34),":",CHAR(34),TEXT(G160+1,"yyyy-mm-dd"),CHAR(34),", ",
,CHAR(34),"endDate",CHAR(34),":",CHAR(34),TEXT(G160+W160-1,"yyyy-mm-dd"),CHAR(34),
IF(OR(ISBLANK(AE160),ISBLANK(AF160)),"",(CONCATENATE(", ",CHAR(34),"startTime",CHAR(34),":",CHAR(34),TEXT(AE160,"hh:mm"),CHAR(34),", ",CHAR(34),"endTime",CHAR(34),":",CHAR(34),TEXT(AF160,"hh:mm"),CHAR(34),", ",CHAR(34),"timeZone",CHAR(34),":",CHAR(34),AG160,CHAR(34)))),"}]'"),
CONCATENATE(
"{  startDate=",CHAR(34),TEXT(G160,"yyyy-mm-dd"),CHAR(34),
"  endDate=",CHAR(34),TEXT(G160+W160-1,"yyyy-mm-dd"),CHAR(34),"}"))),
" &gt;&lt;/add-to-calendar-button&gt;")</f>
        <v>&lt;add-to-calendar-button  name="Exeter All Day Singing"   location="Exeter Friends Meetinghouse, 191 Meetinghouse Rd, Douglassville, PA 19518"   description="10am-3:30pm; shapenotesingings.com"   options="'Apple','Google','iCal','Outlook.com'"   styleLight="--btn-background: #550000; --btn-text: #fff; --btn-shadow:#fff;"startDate="2025-06-14"{endDate="2025-06-14" startTime="10:00" endTime="15:00" timeZone="America/New_York" &gt;&lt;/add-to-calendar-button&gt;</v>
      </c>
      <c r="AE160" s="24">
        <v>0.41666666666666669</v>
      </c>
      <c r="AF160" s="24">
        <v>0.625</v>
      </c>
      <c r="AG160" s="25" t="s">
        <v>1532</v>
      </c>
    </row>
    <row r="161" spans="1:33" x14ac:dyDescent="0.3">
      <c r="A161" t="s">
        <v>8</v>
      </c>
      <c r="B161" t="s">
        <v>11</v>
      </c>
      <c r="C161" t="s">
        <v>1134</v>
      </c>
      <c r="D161" t="s">
        <v>2199</v>
      </c>
      <c r="E161" t="s">
        <v>1435</v>
      </c>
      <c r="F161" t="s">
        <v>2428</v>
      </c>
      <c r="G161" s="7">
        <f ca="1">X161</f>
        <v>45822</v>
      </c>
      <c r="H161" s="5" t="s">
        <v>2200</v>
      </c>
      <c r="I161" t="s">
        <v>2204</v>
      </c>
      <c r="J161" s="36" t="s">
        <v>2597</v>
      </c>
      <c r="L161" t="s">
        <v>2207</v>
      </c>
      <c r="M161" s="16" t="s">
        <v>2201</v>
      </c>
      <c r="N161" s="16" t="s">
        <v>2202</v>
      </c>
      <c r="O161" s="7">
        <v>45644</v>
      </c>
      <c r="P161" s="7" t="s">
        <v>2429</v>
      </c>
      <c r="Q161" s="18">
        <v>6</v>
      </c>
      <c r="R161" s="18">
        <v>2</v>
      </c>
      <c r="S161" s="18">
        <v>7</v>
      </c>
      <c r="T161" s="4">
        <f>DATE(AI$2,$Q161,1+(($R161-($S161&gt;=WEEKDAY(DATE(AI$2,$Q161,1))))*7)+($S161-WEEKDAY(DATE(AI$2,$Q161,1))))</f>
        <v>45822</v>
      </c>
      <c r="U161" s="4">
        <f>DATE(AJ$2,$Q161,1+(($R161-($S161&gt;=WEEKDAY(DATE(AJ$2,$Q161,1))))*7)+($S161-WEEKDAY(DATE(AJ$2,$Q161,1))))</f>
        <v>46186</v>
      </c>
      <c r="V161" s="20">
        <v>0</v>
      </c>
      <c r="W161" s="20">
        <v>1</v>
      </c>
      <c r="X161" s="4">
        <f ca="1">Y161-(W161-1)</f>
        <v>45822</v>
      </c>
      <c r="Y161" s="5">
        <f ca="1">IF(OR(T161+V161&lt;(NOW()-0.5),ISNUMBER(SEARCH("&lt;h4&gt;",K161))),U161+V161,T161+V161)</f>
        <v>45822</v>
      </c>
      <c r="Z161" t="str">
        <f ca="1">CONCATENATE(IF(OR(Y161=X161,ISBLANK(Y161)),TEXT(X161,"mmmm d"),CONCATENATE(TEXT(X161,"mmmm d"),"-",IF(TEXT(X161,"mmmm")=TEXT(Y161,"mmmm"),TEXT(Y161,"d"),TEXT(Y161,"mmmm d")))),", ",YEAR(Y161))</f>
        <v>June 14, 2025</v>
      </c>
      <c r="AA161" s="7">
        <f>O161</f>
        <v>45644</v>
      </c>
      <c r="AB161" s="14">
        <f>T161+V161-(W161-1)</f>
        <v>45822</v>
      </c>
      <c r="AC161" t="s">
        <v>2203</v>
      </c>
      <c r="AD161" s="23" t="str">
        <f ca="1">CONCATENATE("&lt;add-to-calendar-button  name=",CHAR(34),H161,CHAR(34),
IF(ISBLANK(M161),"",CONCATENATE("   location=",CHAR(34),RIGHT(M161,LEN(M161)-SEARCH("|",M161)-1),CHAR(34))),
"   description=",CHAR(34),IF(ISBLANK(I161),"",CONCATENATE(I161,"; ")),"shapenotesingings.com",CHAR(34),
"   options=",CHAR(34),"'Apple','Google','iCal','Outlook.com'",CHAR(34),"   styleLight=",CHAR(34),"--btn-background: #550000; --btn-text: #fff; --btn-shadow:#fff;",CHAR(34),
IF(W161=1,CONCATENATE(
"startDate=",CHAR(34),TEXT(G161,"yyyy-mm-dd"),CHAR(34),
"{endDate=",CHAR(34),TEXT(G161,"yyyy-mm-dd"),CHAR(34),
IF(OR(ISBLANK(AE161),ISBLANK(AF161)),"",(CONCATENATE(" startTime=",CHAR(34),TEXT(AE161,"hh:mm"),CHAR(34)," endTime=",CHAR(34),TEXT(AF161,"h:mm"),CHAR(34),
" timeZone=",CHAR(34),AG161,CHAR(34))))),
IF(W161=2,CONCATENATE(" dates='[{",
CHAR(34),"startDate",CHAR(34),":",CHAR(34),TEXT(G161,"yyyy-mm-dd"),CHAR(34),", ",
,CHAR(34),"endDate",CHAR(34),":",CHAR(34),TEXT(G161,"yyyy-mm-dd"),CHAR(34),
IF(OR(ISBLANK(AE161),ISBLANK(AF161)),"",(CONCATENATE(", ",CHAR(34),"startTime",CHAR(34),":",CHAR(34),TEXT(AE161,"hh:mm"),CHAR(34),", ",CHAR(34),"endTime",CHAR(34),":",CHAR(34),TEXT(AF161,"hh:mm"),CHAR(34),", ",CHAR(34),"timeZone",CHAR(34),":",CHAR(34),AG161,CHAR(34)))),"}, {",
,CHAR(34),"startDate",CHAR(34),":",CHAR(34),TEXT(G161+1,"yyyy-mm-dd"),CHAR(34),", ",
,CHAR(34),"endDate",CHAR(34),":",CHAR(34),TEXT(G161+W161-1,"yyyy-mm-dd"),CHAR(34),
IF(OR(ISBLANK(AE161),ISBLANK(AF161)),"",(CONCATENATE(", ",CHAR(34),"startTime",CHAR(34),":",CHAR(34),TEXT(AE161,"hh:mm"),CHAR(34),", ",CHAR(34),"endTime",CHAR(34),":",CHAR(34),TEXT(AF161,"hh:mm"),CHAR(34),", ",CHAR(34),"timeZone",CHAR(34),":",CHAR(34),AG161,CHAR(34)))),"}]'"),
CONCATENATE(
"{  startDate=",CHAR(34),TEXT(G161,"yyyy-mm-dd"),CHAR(34),
"  endDate=",CHAR(34),TEXT(G161+W161-1,"yyyy-mm-dd"),CHAR(34),"}"))),
" &gt;&lt;/add-to-calendar-button&gt;")</f>
        <v>&lt;add-to-calendar-button  name="Shiloh June Singing"   location="33.013635, -87.389662, Shiloh Methodist Church, Lake Payne Road, Duncanville AL 35456"   description="10am-2pm; shapenotesingings.com"   options="'Apple','Google','iCal','Outlook.com'"   styleLight="--btn-background: #550000; --btn-text: #fff; --btn-shadow:#fff;"startDate="2025-06-14"{endDate="2025-06-14" startTime="10:00" endTime="14:00" timeZone="America/Chicago" &gt;&lt;/add-to-calendar-button&gt;</v>
      </c>
      <c r="AE161" s="24">
        <v>0.41666666666666669</v>
      </c>
      <c r="AF161" s="24">
        <v>0.58333333333333337</v>
      </c>
      <c r="AG161" s="25" t="s">
        <v>1533</v>
      </c>
    </row>
    <row r="162" spans="1:33" x14ac:dyDescent="0.3">
      <c r="A162" t="s">
        <v>8</v>
      </c>
      <c r="B162" t="s">
        <v>41</v>
      </c>
      <c r="C162" t="s">
        <v>1148</v>
      </c>
      <c r="D162" t="s">
        <v>2125</v>
      </c>
      <c r="E162" t="s">
        <v>1435</v>
      </c>
      <c r="F162" t="s">
        <v>266</v>
      </c>
      <c r="G162" s="7">
        <f ca="1">X162</f>
        <v>45822</v>
      </c>
      <c r="H162" s="5" t="s">
        <v>2126</v>
      </c>
      <c r="I162" t="s">
        <v>2127</v>
      </c>
      <c r="L162" t="s">
        <v>2128</v>
      </c>
      <c r="M162" s="16" t="s">
        <v>2130</v>
      </c>
      <c r="N162" s="16" t="s">
        <v>2131</v>
      </c>
      <c r="O162" s="7">
        <v>45453</v>
      </c>
      <c r="P162" s="7" t="s">
        <v>2129</v>
      </c>
      <c r="Q162" s="18">
        <v>6</v>
      </c>
      <c r="R162" s="18">
        <v>3</v>
      </c>
      <c r="S162" s="18">
        <v>1</v>
      </c>
      <c r="T162" s="4">
        <f>DATE(AI$2,$Q162,1+(($R162-($S162&gt;=WEEKDAY(DATE(AI$2,$Q162,1))))*7)+($S162-WEEKDAY(DATE(AI$2,$Q162,1))))</f>
        <v>45823</v>
      </c>
      <c r="U162" s="4">
        <f>DATE(AJ$2,$Q162,1+(($R162-($S162&gt;=WEEKDAY(DATE(AJ$2,$Q162,1))))*7)+($S162-WEEKDAY(DATE(AJ$2,$Q162,1))))</f>
        <v>46194</v>
      </c>
      <c r="V162" s="20">
        <v>-1</v>
      </c>
      <c r="W162" s="20">
        <v>1</v>
      </c>
      <c r="X162" s="4">
        <f ca="1">Y162-(W162-1)</f>
        <v>45822</v>
      </c>
      <c r="Y162" s="5">
        <f ca="1">IF(OR(T162+V162&lt;(NOW()-0.5),ISNUMBER(SEARCH("&lt;h4&gt;",K162))),U162+V162,T162+V162)</f>
        <v>45822</v>
      </c>
      <c r="Z162" t="str">
        <f ca="1">CONCATENATE(IF(OR(Y162=X162,ISBLANK(Y162)),TEXT(X162,"mmmm d"),CONCATENATE(TEXT(X162,"mmmm d"),"-",IF(TEXT(X162,"mmmm")=TEXT(Y162,"mmmm"),TEXT(Y162,"d"),TEXT(Y162,"mmmm d")))),", ",YEAR(Y162))</f>
        <v>June 14, 2025</v>
      </c>
      <c r="AA162" s="7">
        <f>O162</f>
        <v>45453</v>
      </c>
      <c r="AB162" s="14">
        <f>T162+V162-(W162-1)</f>
        <v>45822</v>
      </c>
      <c r="AC162" t="s">
        <v>2132</v>
      </c>
      <c r="AD162" s="23" t="str">
        <f ca="1">CONCATENATE("&lt;add-to-calendar-button  name=",CHAR(34),H162,CHAR(34),
IF(ISBLANK(M162),"",CONCATENATE("   location=",CHAR(34),RIGHT(M162,LEN(M162)-SEARCH("|",M162)-1),CHAR(34))),
"   description=",CHAR(34),IF(ISBLANK(I162),"",CONCATENATE(I162,"; ")),"shapenotesingings.com",CHAR(34),
"   options=",CHAR(34),"'Apple','Google','iCal','Outlook.com'",CHAR(34),"   styleLight=",CHAR(34),"--btn-background: #550000; --btn-text: #fff; --btn-shadow:#fff;",CHAR(34),
IF(W162=1,CONCATENATE(
"startDate=",CHAR(34),TEXT(G162,"yyyy-mm-dd"),CHAR(34),
"{endDate=",CHAR(34),TEXT(G162,"yyyy-mm-dd"),CHAR(34),
IF(OR(ISBLANK(AE162),ISBLANK(AF162)),"",(CONCATENATE(" startTime=",CHAR(34),TEXT(AE162,"hh:mm"),CHAR(34)," endTime=",CHAR(34),TEXT(AF162,"h:mm"),CHAR(34),
" timeZone=",CHAR(34),AG162,CHAR(34))))),
IF(W162=2,CONCATENATE(" dates='[{",
CHAR(34),"startDate",CHAR(34),":",CHAR(34),TEXT(G162,"yyyy-mm-dd"),CHAR(34),", ",
,CHAR(34),"endDate",CHAR(34),":",CHAR(34),TEXT(G162,"yyyy-mm-dd"),CHAR(34),
IF(OR(ISBLANK(AE162),ISBLANK(AF162)),"",(CONCATENATE(", ",CHAR(34),"startTime",CHAR(34),":",CHAR(34),TEXT(AE162,"hh:mm"),CHAR(34),", ",CHAR(34),"endTime",CHAR(34),":",CHAR(34),TEXT(AF162,"hh:mm"),CHAR(34),", ",CHAR(34),"timeZone",CHAR(34),":",CHAR(34),AG162,CHAR(34)))),"}, {",
,CHAR(34),"startDate",CHAR(34),":",CHAR(34),TEXT(G162+1,"yyyy-mm-dd"),CHAR(34),", ",
,CHAR(34),"endDate",CHAR(34),":",CHAR(34),TEXT(G162+W162-1,"yyyy-mm-dd"),CHAR(34),
IF(OR(ISBLANK(AE162),ISBLANK(AF162)),"",(CONCATENATE(", ",CHAR(34),"startTime",CHAR(34),":",CHAR(34),TEXT(AE162,"hh:mm"),CHAR(34),", ",CHAR(34),"endTime",CHAR(34),":",CHAR(34),TEXT(AF162,"hh:mm"),CHAR(34),", ",CHAR(34),"timeZone",CHAR(34),":",CHAR(34),AG162,CHAR(34)))),"}]'"),
CONCATENATE(
"{  startDate=",CHAR(34),TEXT(G162,"yyyy-mm-dd"),CHAR(34),
"  endDate=",CHAR(34),TEXT(G162+W162-1,"yyyy-mm-dd"),CHAR(34),"}"))),
" &gt;&lt;/add-to-calendar-button&gt;")</f>
        <v>&lt;add-to-calendar-button  name="Newton Highlands Singing"   location="Newton Highlands Congregational, 54 Lincoln St, Newton, MA 02461"   description="1pm-5:30pm; shapenotesingings.com"   options="'Apple','Google','iCal','Outlook.com'"   styleLight="--btn-background: #550000; --btn-text: #fff; --btn-shadow:#fff;"startDate="2025-06-14"{endDate="2025-06-14" startTime="13:00" endTime="17:30" timeZone="America/New_York" &gt;&lt;/add-to-calendar-button&gt;</v>
      </c>
      <c r="AE162" s="24">
        <v>0.54166666666666663</v>
      </c>
      <c r="AF162" s="24">
        <v>0.72916666666666663</v>
      </c>
      <c r="AG162" s="25" t="s">
        <v>1532</v>
      </c>
    </row>
    <row r="163" spans="1:33" x14ac:dyDescent="0.3">
      <c r="A163" t="s">
        <v>8</v>
      </c>
      <c r="B163" t="s">
        <v>17</v>
      </c>
      <c r="C163" t="s">
        <v>1140</v>
      </c>
      <c r="D163" t="s">
        <v>782</v>
      </c>
      <c r="E163" t="s">
        <v>1435</v>
      </c>
      <c r="F163" t="s">
        <v>266</v>
      </c>
      <c r="G163" s="7">
        <f ca="1">X163</f>
        <v>45822</v>
      </c>
      <c r="H163" s="5" t="s">
        <v>783</v>
      </c>
      <c r="I163" t="s">
        <v>1102</v>
      </c>
      <c r="J163" s="36" t="s">
        <v>2599</v>
      </c>
      <c r="K163" t="s">
        <v>1103</v>
      </c>
      <c r="L163" t="s">
        <v>1736</v>
      </c>
      <c r="M163" s="16" t="s">
        <v>1011</v>
      </c>
      <c r="N163" s="16" t="s">
        <v>784</v>
      </c>
      <c r="O163" s="7">
        <v>44927</v>
      </c>
      <c r="P163" s="7" t="s">
        <v>934</v>
      </c>
      <c r="Q163" s="18">
        <v>6</v>
      </c>
      <c r="R163" s="18">
        <v>3</v>
      </c>
      <c r="S163" s="18">
        <v>1</v>
      </c>
      <c r="T163" s="4">
        <f>DATE(AI$2,$Q163,1+(($R163-($S163&gt;=WEEKDAY(DATE(AI$2,$Q163,1))))*7)+($S163-WEEKDAY(DATE(AI$2,$Q163,1))))</f>
        <v>45823</v>
      </c>
      <c r="U163" s="4">
        <f>DATE(AJ$2,$Q163,1+(($R163-($S163&gt;=WEEKDAY(DATE(AJ$2,$Q163,1))))*7)+($S163-WEEKDAY(DATE(AJ$2,$Q163,1))))</f>
        <v>46194</v>
      </c>
      <c r="V163" s="20">
        <v>-1</v>
      </c>
      <c r="W163" s="20">
        <v>1</v>
      </c>
      <c r="X163" s="4">
        <f ca="1">Y163-(W163-1)</f>
        <v>45822</v>
      </c>
      <c r="Y163" s="5">
        <f ca="1">IF(OR(T163+V163&lt;(NOW()-0.5),ISNUMBER(SEARCH("&lt;h4&gt;",K163))),U163+V163,T163+V163)</f>
        <v>45822</v>
      </c>
      <c r="Z163" t="str">
        <f ca="1">CONCATENATE(IF(OR(Y163=X163,ISBLANK(Y163)),TEXT(X163,"mmmm d"),CONCATENATE(TEXT(X163,"mmmm d"),"-",IF(TEXT(X163,"mmmm")=TEXT(Y163,"mmmm"),TEXT(Y163,"d"),TEXT(Y163,"mmmm d")))),", ",YEAR(Y163))</f>
        <v>June 14, 2025</v>
      </c>
      <c r="AA163" s="7">
        <f>O163</f>
        <v>44927</v>
      </c>
      <c r="AB163" s="14">
        <f>T163+V163-(W163-1)</f>
        <v>45822</v>
      </c>
      <c r="AC163" t="s">
        <v>1295</v>
      </c>
      <c r="AD163" s="23" t="str">
        <f ca="1">CONCATENATE("&lt;add-to-calendar-button  name=",CHAR(34),H163,CHAR(34),
IF(ISBLANK(M163),"",CONCATENATE("   location=",CHAR(34),RIGHT(M163,LEN(M163)-SEARCH("|",M163)-1),CHAR(34))),
"   description=",CHAR(34),IF(ISBLANK(I163),"",CONCATENATE(I163,"; ")),"shapenotesingings.com",CHAR(34),
"   options=",CHAR(34),"'Apple','Google','iCal','Outlook.com'",CHAR(34),"   styleLight=",CHAR(34),"--btn-background: #550000; --btn-text: #fff; --btn-shadow:#fff;",CHAR(34),
IF(W163=1,CONCATENATE(
"startDate=",CHAR(34),TEXT(G163,"yyyy-mm-dd"),CHAR(34),
"{endDate=",CHAR(34),TEXT(G163,"yyyy-mm-dd"),CHAR(34),
IF(OR(ISBLANK(AE163),ISBLANK(AF163)),"",(CONCATENATE(" startTime=",CHAR(34),TEXT(AE163,"hh:mm"),CHAR(34)," endTime=",CHAR(34),TEXT(AF163,"h:mm"),CHAR(34),
" timeZone=",CHAR(34),AG163,CHAR(34))))),
IF(W163=2,CONCATENATE(" dates='[{",
CHAR(34),"startDate",CHAR(34),":",CHAR(34),TEXT(G163,"yyyy-mm-dd"),CHAR(34),", ",
,CHAR(34),"endDate",CHAR(34),":",CHAR(34),TEXT(G163,"yyyy-mm-dd"),CHAR(34),
IF(OR(ISBLANK(AE163),ISBLANK(AF163)),"",(CONCATENATE(", ",CHAR(34),"startTime",CHAR(34),":",CHAR(34),TEXT(AE163,"hh:mm"),CHAR(34),", ",CHAR(34),"endTime",CHAR(34),":",CHAR(34),TEXT(AF163,"hh:mm"),CHAR(34),", ",CHAR(34),"timeZone",CHAR(34),":",CHAR(34),AG163,CHAR(34)))),"}, {",
,CHAR(34),"startDate",CHAR(34),":",CHAR(34),TEXT(G163+1,"yyyy-mm-dd"),CHAR(34),", ",
,CHAR(34),"endDate",CHAR(34),":",CHAR(34),TEXT(G163+W163-1,"yyyy-mm-dd"),CHAR(34),
IF(OR(ISBLANK(AE163),ISBLANK(AF163)),"",(CONCATENATE(", ",CHAR(34),"startTime",CHAR(34),":",CHAR(34),TEXT(AE163,"hh:mm"),CHAR(34),", ",CHAR(34),"endTime",CHAR(34),":",CHAR(34),TEXT(AF163,"hh:mm"),CHAR(34),", ",CHAR(34),"timeZone",CHAR(34),":",CHAR(34),AG163,CHAR(34)))),"}]'"),
CONCATENATE(
"{  startDate=",CHAR(34),TEXT(G163,"yyyy-mm-dd"),CHAR(34),
"  endDate=",CHAR(34),TEXT(G163+W163-1,"yyyy-mm-dd"),CHAR(34),"}"))),
" &gt;&lt;/add-to-calendar-button&gt;")</f>
        <v>&lt;add-to-calendar-button  name="Blue Ridge Primitive Baptist Church Singing"   location="Blue Ridge Primitive Baptist Church, 134 Hyden Tyler Rd, Chatsworth, GA 30705"   description="10:30am-3pm; shapenotesingings.com"   options="'Apple','Google','iCal','Outlook.com'"   styleLight="--btn-background: #550000; --btn-text: #fff; --btn-shadow:#fff;"startDate="2025-06-14"{endDate="2025-06-14" startTime="10:30" endTime="15:00" timeZone="America/New_York" &gt;&lt;/add-to-calendar-button&gt;</v>
      </c>
      <c r="AE163" s="24">
        <v>0.4375</v>
      </c>
      <c r="AF163" s="24">
        <v>0.625</v>
      </c>
      <c r="AG163" s="25" t="s">
        <v>1532</v>
      </c>
    </row>
    <row r="164" spans="1:33" x14ac:dyDescent="0.3">
      <c r="A164" t="s">
        <v>8</v>
      </c>
      <c r="B164" t="s">
        <v>11</v>
      </c>
      <c r="C164" t="s">
        <v>1134</v>
      </c>
      <c r="D164" t="s">
        <v>155</v>
      </c>
      <c r="E164" t="s">
        <v>2178</v>
      </c>
      <c r="F164" t="s">
        <v>266</v>
      </c>
      <c r="G164" s="7">
        <f ca="1">X164</f>
        <v>45822</v>
      </c>
      <c r="H164" s="5" t="s">
        <v>470</v>
      </c>
      <c r="I164" s="27" t="s">
        <v>1040</v>
      </c>
      <c r="J164" s="37" t="s">
        <v>2736</v>
      </c>
      <c r="K164" t="s">
        <v>1100</v>
      </c>
      <c r="M164" s="16" t="s">
        <v>468</v>
      </c>
      <c r="N164" s="16" t="s">
        <v>469</v>
      </c>
      <c r="O164" s="7">
        <v>44936</v>
      </c>
      <c r="P164" s="7" t="s">
        <v>926</v>
      </c>
      <c r="Q164" s="18">
        <v>6</v>
      </c>
      <c r="R164" s="18">
        <v>3</v>
      </c>
      <c r="S164" s="18">
        <v>1</v>
      </c>
      <c r="T164" s="4">
        <f>DATE(AI$2,$Q164,1+(($R164-($S164&gt;=WEEKDAY(DATE(AI$2,$Q164,1))))*7)+($S164-WEEKDAY(DATE(AI$2,$Q164,1))))</f>
        <v>45823</v>
      </c>
      <c r="U164" s="4">
        <f>DATE(AJ$2,$Q164,1+(($R164-($S164&gt;=WEEKDAY(DATE(AJ$2,$Q164,1))))*7)+($S164-WEEKDAY(DATE(AJ$2,$Q164,1))))</f>
        <v>46194</v>
      </c>
      <c r="V164" s="20">
        <v>-1</v>
      </c>
      <c r="W164" s="20">
        <v>1</v>
      </c>
      <c r="X164" s="4">
        <f ca="1">Y164-(W164-1)</f>
        <v>45822</v>
      </c>
      <c r="Y164" s="5">
        <f ca="1">IF(OR(T164+V164&lt;(NOW()-0.5),ISNUMBER(SEARCH("&lt;h4&gt;",K164))),U164+V164,T164+V164)</f>
        <v>45822</v>
      </c>
      <c r="Z164" t="str">
        <f ca="1">CONCATENATE(IF(OR(Y164=X164,ISBLANK(Y164)),TEXT(X164,"mmmm d"),CONCATENATE(TEXT(X164,"mmmm d"),"-",IF(TEXT(X164,"mmmm")=TEXT(Y164,"mmmm"),TEXT(Y164,"d"),TEXT(Y164,"mmmm d")))),", ",YEAR(Y164))</f>
        <v>June 14, 2025</v>
      </c>
      <c r="AA164" s="7">
        <f>O164</f>
        <v>44936</v>
      </c>
      <c r="AB164" s="14">
        <f>T164+V164-(W164-1)</f>
        <v>45822</v>
      </c>
      <c r="AC164" t="s">
        <v>1294</v>
      </c>
      <c r="AD164" s="23" t="str">
        <f ca="1">CONCATENATE("&lt;add-to-calendar-button  name=",CHAR(34),H164,CHAR(34),
IF(ISBLANK(M164),"",CONCATENATE("   location=",CHAR(34),RIGHT(M164,LEN(M164)-SEARCH("|",M164)-1),CHAR(34))),
"   description=",CHAR(34),IF(ISBLANK(I164),"",CONCATENATE(I164,"; ")),"shapenotesingings.com",CHAR(34),
"   options=",CHAR(34),"'Apple','Google','iCal','Outlook.com'",CHAR(34),"   styleLight=",CHAR(34),"--btn-background: #550000; --btn-text: #fff; --btn-shadow:#fff;",CHAR(34),
IF(W164=1,CONCATENATE(
"startDate=",CHAR(34),TEXT(G164,"yyyy-mm-dd"),CHAR(34),
"{endDate=",CHAR(34),TEXT(G164,"yyyy-mm-dd"),CHAR(34),
IF(OR(ISBLANK(AE164),ISBLANK(AF164)),"",(CONCATENATE(" startTime=",CHAR(34),TEXT(AE164,"hh:mm"),CHAR(34)," endTime=",CHAR(34),TEXT(AF164,"h:mm"),CHAR(34),
" timeZone=",CHAR(34),AG164,CHAR(34))))),
IF(W164=2,CONCATENATE(" dates='[{",
CHAR(34),"startDate",CHAR(34),":",CHAR(34),TEXT(G164,"yyyy-mm-dd"),CHAR(34),", ",
,CHAR(34),"endDate",CHAR(34),":",CHAR(34),TEXT(G164,"yyyy-mm-dd"),CHAR(34),
IF(OR(ISBLANK(AE164),ISBLANK(AF164)),"",(CONCATENATE(", ",CHAR(34),"startTime",CHAR(34),":",CHAR(34),TEXT(AE164,"hh:mm"),CHAR(34),", ",CHAR(34),"endTime",CHAR(34),":",CHAR(34),TEXT(AF164,"hh:mm"),CHAR(34),", ",CHAR(34),"timeZone",CHAR(34),":",CHAR(34),AG164,CHAR(34)))),"}, {",
,CHAR(34),"startDate",CHAR(34),":",CHAR(34),TEXT(G164+1,"yyyy-mm-dd"),CHAR(34),", ",
,CHAR(34),"endDate",CHAR(34),":",CHAR(34),TEXT(G164+W164-1,"yyyy-mm-dd"),CHAR(34),
IF(OR(ISBLANK(AE164),ISBLANK(AF164)),"",(CONCATENATE(", ",CHAR(34),"startTime",CHAR(34),":",CHAR(34),TEXT(AE164,"hh:mm"),CHAR(34),", ",CHAR(34),"endTime",CHAR(34),":",CHAR(34),TEXT(AF164,"hh:mm"),CHAR(34),", ",CHAR(34),"timeZone",CHAR(34),":",CHAR(34),AG164,CHAR(34)))),"}]'"),
CONCATENATE(
"{  startDate=",CHAR(34),TEXT(G164,"yyyy-mm-dd"),CHAR(34),
"  endDate=",CHAR(34),TEXT(G164+W164-1,"yyyy-mm-dd"),CHAR(34),"}"))),
" &gt;&lt;/add-to-calendar-button&gt;")</f>
        <v>&lt;add-to-calendar-button  name="Moore, Graves, and Calvert Memorial"   location="Addington Chapel, 185 Co Rd 59, Bremen, AL 35033"   description="9:30am; shapenotesingings.com"   options="'Apple','Google','iCal','Outlook.com'"   styleLight="--btn-background: #550000; --btn-text: #fff; --btn-shadow:#fff;"startDate="2025-06-14"{endDate="2025-06-14" startTime="09:30" endTime="15:00" timeZone="America/Chicago" &gt;&lt;/add-to-calendar-button&gt;</v>
      </c>
      <c r="AE164" s="24">
        <v>0.39583333333333331</v>
      </c>
      <c r="AF164" s="24">
        <v>0.625</v>
      </c>
      <c r="AG164" s="25" t="s">
        <v>1533</v>
      </c>
    </row>
    <row r="165" spans="1:33" x14ac:dyDescent="0.3">
      <c r="A165" t="s">
        <v>8</v>
      </c>
      <c r="B165" t="s">
        <v>11</v>
      </c>
      <c r="C165" t="s">
        <v>1134</v>
      </c>
      <c r="D165" t="s">
        <v>492</v>
      </c>
      <c r="E165" t="s">
        <v>2178</v>
      </c>
      <c r="F165" t="s">
        <v>484</v>
      </c>
      <c r="G165" s="7">
        <f ca="1">X165</f>
        <v>45823</v>
      </c>
      <c r="H165" s="5" t="s">
        <v>490</v>
      </c>
      <c r="I165" t="s">
        <v>1028</v>
      </c>
      <c r="J165" s="36" t="s">
        <v>2737</v>
      </c>
      <c r="K165" t="s">
        <v>1108</v>
      </c>
      <c r="L165" t="s">
        <v>972</v>
      </c>
      <c r="M165" s="16" t="s">
        <v>1012</v>
      </c>
      <c r="N165" s="16" t="s">
        <v>491</v>
      </c>
      <c r="O165" s="7">
        <v>44936</v>
      </c>
      <c r="P165" s="7" t="s">
        <v>926</v>
      </c>
      <c r="Q165" s="18">
        <v>6</v>
      </c>
      <c r="R165" s="18">
        <v>3</v>
      </c>
      <c r="S165" s="18">
        <v>1</v>
      </c>
      <c r="T165" s="4">
        <f>DATE(AI$2,$Q165,1+(($R165-($S165&gt;=WEEKDAY(DATE(AI$2,$Q165,1))))*7)+($S165-WEEKDAY(DATE(AI$2,$Q165,1))))</f>
        <v>45823</v>
      </c>
      <c r="U165" s="4">
        <f>DATE(AJ$2,$Q165,1+(($R165-($S165&gt;=WEEKDAY(DATE(AJ$2,$Q165,1))))*7)+($S165-WEEKDAY(DATE(AJ$2,$Q165,1))))</f>
        <v>46194</v>
      </c>
      <c r="V165" s="20">
        <v>0</v>
      </c>
      <c r="W165" s="20">
        <v>1</v>
      </c>
      <c r="X165" s="4">
        <f ca="1">Y165-(W165-1)</f>
        <v>45823</v>
      </c>
      <c r="Y165" s="5">
        <f ca="1">IF(OR(T165+V165&lt;(NOW()-0.5),ISNUMBER(SEARCH("&lt;h4&gt;",K165))),U165+V165,T165+V165)</f>
        <v>45823</v>
      </c>
      <c r="Z165" t="str">
        <f ca="1">CONCATENATE(IF(OR(Y165=X165,ISBLANK(Y165)),TEXT(X165,"mmmm d"),CONCATENATE(TEXT(X165,"mmmm d"),"-",IF(TEXT(X165,"mmmm")=TEXT(Y165,"mmmm"),TEXT(Y165,"d"),TEXT(Y165,"mmmm d")))),", ",YEAR(Y165))</f>
        <v>June 15, 2025</v>
      </c>
      <c r="AA165" s="7">
        <f>O165</f>
        <v>44936</v>
      </c>
      <c r="AB165" s="14">
        <f>T165+V165-(W165-1)</f>
        <v>45823</v>
      </c>
      <c r="AC165" t="s">
        <v>1301</v>
      </c>
      <c r="AD165" s="23" t="str">
        <f ca="1">CONCATENATE("&lt;add-to-calendar-button  name=",CHAR(34),H165,CHAR(34),
IF(ISBLANK(M165),"",CONCATENATE("   location=",CHAR(34),RIGHT(M165,LEN(M165)-SEARCH("|",M165)-1),CHAR(34))),
"   description=",CHAR(34),IF(ISBLANK(I165),"",CONCATENATE(I165,"; ")),"shapenotesingings.com",CHAR(34),
"   options=",CHAR(34),"'Apple','Google','iCal','Outlook.com'",CHAR(34),"   styleLight=",CHAR(34),"--btn-background: #550000; --btn-text: #fff; --btn-shadow:#fff;",CHAR(34),
IF(W165=1,CONCATENATE(
"startDate=",CHAR(34),TEXT(G165,"yyyy-mm-dd"),CHAR(34),
"{endDate=",CHAR(34),TEXT(G165,"yyyy-mm-dd"),CHAR(34),
IF(OR(ISBLANK(AE165),ISBLANK(AF165)),"",(CONCATENATE(" startTime=",CHAR(34),TEXT(AE165,"hh:mm"),CHAR(34)," endTime=",CHAR(34),TEXT(AF165,"h:mm"),CHAR(34),
" timeZone=",CHAR(34),AG165,CHAR(34))))),
IF(W165=2,CONCATENATE(" dates='[{",
CHAR(34),"startDate",CHAR(34),":",CHAR(34),TEXT(G165,"yyyy-mm-dd"),CHAR(34),", ",
,CHAR(34),"endDate",CHAR(34),":",CHAR(34),TEXT(G165,"yyyy-mm-dd"),CHAR(34),
IF(OR(ISBLANK(AE165),ISBLANK(AF165)),"",(CONCATENATE(", ",CHAR(34),"startTime",CHAR(34),":",CHAR(34),TEXT(AE165,"hh:mm"),CHAR(34),", ",CHAR(34),"endTime",CHAR(34),":",CHAR(34),TEXT(AF165,"hh:mm"),CHAR(34),", ",CHAR(34),"timeZone",CHAR(34),":",CHAR(34),AG165,CHAR(34)))),"}, {",
,CHAR(34),"startDate",CHAR(34),":",CHAR(34),TEXT(G165+1,"yyyy-mm-dd"),CHAR(34),", ",
,CHAR(34),"endDate",CHAR(34),":",CHAR(34),TEXT(G165+W165-1,"yyyy-mm-dd"),CHAR(34),
IF(OR(ISBLANK(AE165),ISBLANK(AF165)),"",(CONCATENATE(", ",CHAR(34),"startTime",CHAR(34),":",CHAR(34),TEXT(AE165,"hh:mm"),CHAR(34),", ",CHAR(34),"endTime",CHAR(34),":",CHAR(34),TEXT(AF165,"hh:mm"),CHAR(34),", ",CHAR(34),"timeZone",CHAR(34),":",CHAR(34),AG165,CHAR(34)))),"}]'"),
CONCATENATE(
"{  startDate=",CHAR(34),TEXT(G165,"yyyy-mm-dd"),CHAR(34),
"  endDate=",CHAR(34),TEXT(G165+W165-1,"yyyy-mm-dd"),CHAR(34),"}"))),
" &gt;&lt;/add-to-calendar-button&gt;")</f>
        <v>&lt;add-to-calendar-button  name="Macedonia Primitive Baptist Church Singing"   location="Macedonia Primitive Baptist Church, 3431 N 00 E W, Section, AL 35771"   description="10am; shapenotesingings.com"   options="'Apple','Google','iCal','Outlook.com'"   styleLight="--btn-background: #550000; --btn-text: #fff; --btn-shadow:#fff;"startDate="2025-06-15"{endDate="2025-06-15" startTime="10:00" endTime="15:00" timeZone="America/Chicago" &gt;&lt;/add-to-calendar-button&gt;</v>
      </c>
      <c r="AE165" s="24">
        <v>0.41666666666666669</v>
      </c>
      <c r="AF165" s="24">
        <v>0.625</v>
      </c>
      <c r="AG165" s="25" t="s">
        <v>1533</v>
      </c>
    </row>
    <row r="166" spans="1:33" x14ac:dyDescent="0.3">
      <c r="A166" t="s">
        <v>8</v>
      </c>
      <c r="B166" t="s">
        <v>40</v>
      </c>
      <c r="C166" t="s">
        <v>1161</v>
      </c>
      <c r="D166" t="s">
        <v>339</v>
      </c>
      <c r="E166" t="s">
        <v>34</v>
      </c>
      <c r="F166" t="s">
        <v>484</v>
      </c>
      <c r="G166" s="7">
        <f ca="1">X166</f>
        <v>45823</v>
      </c>
      <c r="H166" s="5" t="s">
        <v>482</v>
      </c>
      <c r="I166" t="s">
        <v>1028</v>
      </c>
      <c r="K166" t="s">
        <v>1107</v>
      </c>
      <c r="L166" t="s">
        <v>954</v>
      </c>
      <c r="M166" s="16" t="s">
        <v>1644</v>
      </c>
      <c r="N166" s="16" t="s">
        <v>483</v>
      </c>
      <c r="O166" s="7">
        <v>44936</v>
      </c>
      <c r="P166" s="7" t="s">
        <v>926</v>
      </c>
      <c r="Q166" s="18">
        <v>6</v>
      </c>
      <c r="R166" s="18">
        <v>3</v>
      </c>
      <c r="S166" s="18">
        <v>1</v>
      </c>
      <c r="T166" s="4">
        <f>DATE(AI$2,$Q166,1+(($R166-($S166&gt;=WEEKDAY(DATE(AI$2,$Q166,1))))*7)+($S166-WEEKDAY(DATE(AI$2,$Q166,1))))</f>
        <v>45823</v>
      </c>
      <c r="U166" s="4">
        <f>DATE(AJ$2,$Q166,1+(($R166-($S166&gt;=WEEKDAY(DATE(AJ$2,$Q166,1))))*7)+($S166-WEEKDAY(DATE(AJ$2,$Q166,1))))</f>
        <v>46194</v>
      </c>
      <c r="V166" s="20">
        <v>0</v>
      </c>
      <c r="W166" s="20">
        <v>1</v>
      </c>
      <c r="X166" s="4">
        <f ca="1">Y166-(W166-1)</f>
        <v>45823</v>
      </c>
      <c r="Y166" s="5">
        <f ca="1">IF(OR(T166+V166&lt;(NOW()-0.5),ISNUMBER(SEARCH("&lt;h4&gt;",K166))),U166+V166,T166+V166)</f>
        <v>45823</v>
      </c>
      <c r="Z166" t="str">
        <f ca="1">CONCATENATE(IF(OR(Y166=X166,ISBLANK(Y166)),TEXT(X166,"mmmm d"),CONCATENATE(TEXT(X166,"mmmm d"),"-",IF(TEXT(X166,"mmmm")=TEXT(Y166,"mmmm"),TEXT(Y166,"d"),TEXT(Y166,"mmmm d")))),", ",YEAR(Y166))</f>
        <v>June 15, 2025</v>
      </c>
      <c r="AA166" s="7">
        <f>O166</f>
        <v>44936</v>
      </c>
      <c r="AB166" s="14">
        <f>T166+V166-(W166-1)</f>
        <v>45823</v>
      </c>
      <c r="AC166" t="s">
        <v>1303</v>
      </c>
      <c r="AD166" s="23" t="str">
        <f ca="1">CONCATENATE("&lt;add-to-calendar-button  name=",CHAR(34),H166,CHAR(34),
IF(ISBLANK(M166),"",CONCATENATE("   location=",CHAR(34),RIGHT(M166,LEN(M166)-SEARCH("|",M166)-1),CHAR(34))),
"   description=",CHAR(34),IF(ISBLANK(I166),"",CONCATENATE(I166,"; ")),"shapenotesingings.com",CHAR(34),
"   options=",CHAR(34),"'Apple','Google','iCal','Outlook.com'",CHAR(34),"   styleLight=",CHAR(34),"--btn-background: #550000; --btn-text: #fff; --btn-shadow:#fff;",CHAR(34),
IF(W166=1,CONCATENATE(
"startDate=",CHAR(34),TEXT(G166,"yyyy-mm-dd"),CHAR(34),
"{endDate=",CHAR(34),TEXT(G166,"yyyy-mm-dd"),CHAR(34),
IF(OR(ISBLANK(AE166),ISBLANK(AF166)),"",(CONCATENATE(" startTime=",CHAR(34),TEXT(AE166,"hh:mm"),CHAR(34)," endTime=",CHAR(34),TEXT(AF166,"h:mm"),CHAR(34),
" timeZone=",CHAR(34),AG166,CHAR(34))))),
IF(W166=2,CONCATENATE(" dates='[{",
CHAR(34),"startDate",CHAR(34),":",CHAR(34),TEXT(G166,"yyyy-mm-dd"),CHAR(34),", ",
,CHAR(34),"endDate",CHAR(34),":",CHAR(34),TEXT(G166,"yyyy-mm-dd"),CHAR(34),
IF(OR(ISBLANK(AE166),ISBLANK(AF166)),"",(CONCATENATE(", ",CHAR(34),"startTime",CHAR(34),":",CHAR(34),TEXT(AE166,"hh:mm"),CHAR(34),", ",CHAR(34),"endTime",CHAR(34),":",CHAR(34),TEXT(AF166,"hh:mm"),CHAR(34),", ",CHAR(34),"timeZone",CHAR(34),":",CHAR(34),AG166,CHAR(34)))),"}, {",
,CHAR(34),"startDate",CHAR(34),":",CHAR(34),TEXT(G166+1,"yyyy-mm-dd"),CHAR(34),", ",
,CHAR(34),"endDate",CHAR(34),":",CHAR(34),TEXT(G166+W166-1,"yyyy-mm-dd"),CHAR(34),
IF(OR(ISBLANK(AE166),ISBLANK(AF166)),"",(CONCATENATE(", ",CHAR(34),"startTime",CHAR(34),":",CHAR(34),TEXT(AE166,"hh:mm"),CHAR(34),", ",CHAR(34),"endTime",CHAR(34),":",CHAR(34),TEXT(AF166,"hh:mm"),CHAR(34),", ",CHAR(34),"timeZone",CHAR(34),":",CHAR(34),AG166,CHAR(34)))),"}]'"),
CONCATENATE(
"{  startDate=",CHAR(34),TEXT(G166,"yyyy-mm-dd"),CHAR(34),
"  endDate=",CHAR(34),TEXT(G166+W166-1,"yyyy-mm-dd"),CHAR(34),"}"))),
" &gt;&lt;/add-to-calendar-button&gt;")</f>
        <v>&lt;add-to-calendar-button  name="Zion Hill Memorial"   location="Zion Hill Missionary Baptist Church, 3558 County Rd 368 E, Henderson, TX 75654"   description="10am; shapenotesingings.com"   options="'Apple','Google','iCal','Outlook.com'"   styleLight="--btn-background: #550000; --btn-text: #fff; --btn-shadow:#fff;"startDate="2025-06-15"{endDate="2025-06-15" startTime="10:00" endTime="15:00" timeZone="America/Chicago" &gt;&lt;/add-to-calendar-button&gt;</v>
      </c>
      <c r="AE166" s="24">
        <v>0.41666666666666669</v>
      </c>
      <c r="AF166" s="24">
        <v>0.625</v>
      </c>
      <c r="AG166" s="25" t="s">
        <v>1533</v>
      </c>
    </row>
    <row r="167" spans="1:33" x14ac:dyDescent="0.3">
      <c r="A167" t="s">
        <v>8</v>
      </c>
      <c r="B167" t="s">
        <v>17</v>
      </c>
      <c r="C167" t="s">
        <v>1140</v>
      </c>
      <c r="D167" t="s">
        <v>226</v>
      </c>
      <c r="E167" t="s">
        <v>2178</v>
      </c>
      <c r="F167" t="s">
        <v>484</v>
      </c>
      <c r="G167" s="7">
        <f ca="1">X167</f>
        <v>45823</v>
      </c>
      <c r="H167" s="5" t="s">
        <v>486</v>
      </c>
      <c r="I167" t="s">
        <v>1028</v>
      </c>
      <c r="J167" s="36" t="s">
        <v>2738</v>
      </c>
      <c r="L167" t="s">
        <v>2091</v>
      </c>
      <c r="M167" s="16" t="s">
        <v>1620</v>
      </c>
      <c r="N167" s="16" t="s">
        <v>485</v>
      </c>
      <c r="O167" s="7">
        <v>44936</v>
      </c>
      <c r="P167" s="7" t="s">
        <v>926</v>
      </c>
      <c r="Q167" s="18">
        <v>6</v>
      </c>
      <c r="R167" s="18">
        <v>3</v>
      </c>
      <c r="S167" s="18">
        <v>1</v>
      </c>
      <c r="T167" s="4">
        <f>DATE(AI$2,$Q167,1+(($R167-($S167&gt;=WEEKDAY(DATE(AI$2,$Q167,1))))*7)+($S167-WEEKDAY(DATE(AI$2,$Q167,1))))</f>
        <v>45823</v>
      </c>
      <c r="U167" s="4">
        <f>DATE(AJ$2,$Q167,1+(($R167-($S167&gt;=WEEKDAY(DATE(AJ$2,$Q167,1))))*7)+($S167-WEEKDAY(DATE(AJ$2,$Q167,1))))</f>
        <v>46194</v>
      </c>
      <c r="V167" s="20">
        <v>0</v>
      </c>
      <c r="W167" s="20">
        <v>1</v>
      </c>
      <c r="X167" s="4">
        <f ca="1">Y167-(W167-1)</f>
        <v>45823</v>
      </c>
      <c r="Y167" s="5">
        <f ca="1">IF(OR(T167+V167&lt;(NOW()-0.5),ISNUMBER(SEARCH("&lt;h4&gt;",K167))),U167+V167,T167+V167)</f>
        <v>45823</v>
      </c>
      <c r="Z167" t="str">
        <f ca="1">CONCATENATE(IF(OR(Y167=X167,ISBLANK(Y167)),TEXT(X167,"mmmm d"),CONCATENATE(TEXT(X167,"mmmm d"),"-",IF(TEXT(X167,"mmmm")=TEXT(Y167,"mmmm"),TEXT(Y167,"d"),TEXT(Y167,"mmmm d")))),", ",YEAR(Y167))</f>
        <v>June 15, 2025</v>
      </c>
      <c r="AA167" s="7">
        <f>O167</f>
        <v>44936</v>
      </c>
      <c r="AB167" s="14">
        <f>T167+V167-(W167-1)</f>
        <v>45823</v>
      </c>
      <c r="AC167" t="s">
        <v>1302</v>
      </c>
      <c r="AD167" s="23" t="str">
        <f ca="1">CONCATENATE("&lt;add-to-calendar-button  name=",CHAR(34),H167,CHAR(34),
IF(ISBLANK(M167),"",CONCATENATE("   location=",CHAR(34),RIGHT(M167,LEN(M167)-SEARCH("|",M167)-1),CHAR(34))),
"   description=",CHAR(34),IF(ISBLANK(I167),"",CONCATENATE(I167,"; ")),"shapenotesingings.com",CHAR(34),
"   options=",CHAR(34),"'Apple','Google','iCal','Outlook.com'",CHAR(34),"   styleLight=",CHAR(34),"--btn-background: #550000; --btn-text: #fff; --btn-shadow:#fff;",CHAR(34),
IF(W167=1,CONCATENATE(
"startDate=",CHAR(34),TEXT(G167,"yyyy-mm-dd"),CHAR(34),
"{endDate=",CHAR(34),TEXT(G167,"yyyy-mm-dd"),CHAR(34),
IF(OR(ISBLANK(AE167),ISBLANK(AF167)),"",(CONCATENATE(" startTime=",CHAR(34),TEXT(AE167,"hh:mm"),CHAR(34)," endTime=",CHAR(34),TEXT(AF167,"h:mm"),CHAR(34),
" timeZone=",CHAR(34),AG167,CHAR(34))))),
IF(W167=2,CONCATENATE(" dates='[{",
CHAR(34),"startDate",CHAR(34),":",CHAR(34),TEXT(G167,"yyyy-mm-dd"),CHAR(34),", ",
,CHAR(34),"endDate",CHAR(34),":",CHAR(34),TEXT(G167,"yyyy-mm-dd"),CHAR(34),
IF(OR(ISBLANK(AE167),ISBLANK(AF167)),"",(CONCATENATE(", ",CHAR(34),"startTime",CHAR(34),":",CHAR(34),TEXT(AE167,"hh:mm"),CHAR(34),", ",CHAR(34),"endTime",CHAR(34),":",CHAR(34),TEXT(AF167,"hh:mm"),CHAR(34),", ",CHAR(34),"timeZone",CHAR(34),":",CHAR(34),AG167,CHAR(34)))),"}, {",
,CHAR(34),"startDate",CHAR(34),":",CHAR(34),TEXT(G167+1,"yyyy-mm-dd"),CHAR(34),", ",
,CHAR(34),"endDate",CHAR(34),":",CHAR(34),TEXT(G167+W167-1,"yyyy-mm-dd"),CHAR(34),
IF(OR(ISBLANK(AE167),ISBLANK(AF167)),"",(CONCATENATE(", ",CHAR(34),"startTime",CHAR(34),":",CHAR(34),TEXT(AE167,"hh:mm"),CHAR(34),", ",CHAR(34),"endTime",CHAR(34),":",CHAR(34),TEXT(AF167,"hh:mm"),CHAR(34),", ",CHAR(34),"timeZone",CHAR(34),":",CHAR(34),AG167,CHAR(34)))),"}]'"),
CONCATENATE(
"{  startDate=",CHAR(34),TEXT(G167,"yyyy-mm-dd"),CHAR(34),
"  endDate=",CHAR(34),TEXT(G167+W167-1,"yyyy-mm-dd"),CHAR(34),"}"))),
" &gt;&lt;/add-to-calendar-button&gt;")</f>
        <v>&lt;add-to-calendar-button  name="Hopewell Primitive Baptist Church Singing"   location="Hopewell Primitive Baptist Church, 2227 Hopewell Rd, Ephesus GA, 33.402526665669505, -85.21902180077046"   description="10am; shapenotesingings.com"   options="'Apple','Google','iCal','Outlook.com'"   styleLight="--btn-background: #550000; --btn-text: #fff; --btn-shadow:#fff;"startDate="2025-06-15"{endDate="2025-06-15" startTime="10:00" endTime="15:00" timeZone="America/New_York" &gt;&lt;/add-to-calendar-button&gt;</v>
      </c>
      <c r="AE167" s="24">
        <v>0.41666666666666669</v>
      </c>
      <c r="AF167" s="24">
        <v>0.625</v>
      </c>
      <c r="AG167" s="25" t="s">
        <v>1532</v>
      </c>
    </row>
    <row r="168" spans="1:33" x14ac:dyDescent="0.3">
      <c r="A168" t="s">
        <v>8</v>
      </c>
      <c r="B168" t="s">
        <v>11</v>
      </c>
      <c r="C168" t="s">
        <v>1134</v>
      </c>
      <c r="D168" t="s">
        <v>245</v>
      </c>
      <c r="E168" t="s">
        <v>34</v>
      </c>
      <c r="F168" t="s">
        <v>484</v>
      </c>
      <c r="G168" s="7">
        <f ca="1">X168</f>
        <v>45823</v>
      </c>
      <c r="H168" s="5" t="s">
        <v>493</v>
      </c>
      <c r="I168" t="s">
        <v>1051</v>
      </c>
      <c r="L168" t="s">
        <v>2108</v>
      </c>
      <c r="M168" s="16" t="s">
        <v>495</v>
      </c>
      <c r="N168" s="16" t="s">
        <v>494</v>
      </c>
      <c r="O168" s="7">
        <v>44936</v>
      </c>
      <c r="P168" s="7" t="s">
        <v>926</v>
      </c>
      <c r="Q168" s="18">
        <v>6</v>
      </c>
      <c r="R168" s="18">
        <v>3</v>
      </c>
      <c r="S168" s="18">
        <v>1</v>
      </c>
      <c r="T168" s="4">
        <f>DATE(AI$2,$Q168,1+(($R168-($S168&gt;=WEEKDAY(DATE(AI$2,$Q168,1))))*7)+($S168-WEEKDAY(DATE(AI$2,$Q168,1))))</f>
        <v>45823</v>
      </c>
      <c r="U168" s="4">
        <f>DATE(AJ$2,$Q168,1+(($R168-($S168&gt;=WEEKDAY(DATE(AJ$2,$Q168,1))))*7)+($S168-WEEKDAY(DATE(AJ$2,$Q168,1))))</f>
        <v>46194</v>
      </c>
      <c r="V168" s="20">
        <v>0</v>
      </c>
      <c r="W168" s="20">
        <v>1</v>
      </c>
      <c r="X168" s="4">
        <f ca="1">Y168-(W168-1)</f>
        <v>45823</v>
      </c>
      <c r="Y168" s="5">
        <f ca="1">IF(OR(T168+V168&lt;(NOW()-0.5),ISNUMBER(SEARCH("&lt;h4&gt;",K168))),U168+V168,T168+V168)</f>
        <v>45823</v>
      </c>
      <c r="Z168" t="str">
        <f ca="1">CONCATENATE(IF(OR(Y168=X168,ISBLANK(Y168)),TEXT(X168,"mmmm d"),CONCATENATE(TEXT(X168,"mmmm d"),"-",IF(TEXT(X168,"mmmm")=TEXT(Y168,"mmmm"),TEXT(Y168,"d"),TEXT(Y168,"mmmm d")))),", ",YEAR(Y168))</f>
        <v>June 15, 2025</v>
      </c>
      <c r="AA168" s="7">
        <f>O168</f>
        <v>44936</v>
      </c>
      <c r="AB168" s="14">
        <f>T168+V168-(W168-1)</f>
        <v>45823</v>
      </c>
      <c r="AC168" t="s">
        <v>1299</v>
      </c>
      <c r="AD168" s="23" t="str">
        <f ca="1">CONCATENATE("&lt;add-to-calendar-button  name=",CHAR(34),H168,CHAR(34),
IF(ISBLANK(M168),"",CONCATENATE("   location=",CHAR(34),RIGHT(M168,LEN(M168)-SEARCH("|",M168)-1),CHAR(34))),
"   description=",CHAR(34),IF(ISBLANK(I168),"",CONCATENATE(I168,"; ")),"shapenotesingings.com",CHAR(34),
"   options=",CHAR(34),"'Apple','Google','iCal','Outlook.com'",CHAR(34),"   styleLight=",CHAR(34),"--btn-background: #550000; --btn-text: #fff; --btn-shadow:#fff;",CHAR(34),
IF(W168=1,CONCATENATE(
"startDate=",CHAR(34),TEXT(G168,"yyyy-mm-dd"),CHAR(34),
"{endDate=",CHAR(34),TEXT(G168,"yyyy-mm-dd"),CHAR(34),
IF(OR(ISBLANK(AE168),ISBLANK(AF168)),"",(CONCATENATE(" startTime=",CHAR(34),TEXT(AE168,"hh:mm"),CHAR(34)," endTime=",CHAR(34),TEXT(AF168,"h:mm"),CHAR(34),
" timeZone=",CHAR(34),AG168,CHAR(34))))),
IF(W168=2,CONCATENATE(" dates='[{",
CHAR(34),"startDate",CHAR(34),":",CHAR(34),TEXT(G168,"yyyy-mm-dd"),CHAR(34),", ",
,CHAR(34),"endDate",CHAR(34),":",CHAR(34),TEXT(G168,"yyyy-mm-dd"),CHAR(34),
IF(OR(ISBLANK(AE168),ISBLANK(AF168)),"",(CONCATENATE(", ",CHAR(34),"startTime",CHAR(34),":",CHAR(34),TEXT(AE168,"hh:mm"),CHAR(34),", ",CHAR(34),"endTime",CHAR(34),":",CHAR(34),TEXT(AF168,"hh:mm"),CHAR(34),", ",CHAR(34),"timeZone",CHAR(34),":",CHAR(34),AG168,CHAR(34)))),"}, {",
,CHAR(34),"startDate",CHAR(34),":",CHAR(34),TEXT(G168+1,"yyyy-mm-dd"),CHAR(34),", ",
,CHAR(34),"endDate",CHAR(34),":",CHAR(34),TEXT(G168+W168-1,"yyyy-mm-dd"),CHAR(34),
IF(OR(ISBLANK(AE168),ISBLANK(AF168)),"",(CONCATENATE(", ",CHAR(34),"startTime",CHAR(34),":",CHAR(34),TEXT(AE168,"hh:mm"),CHAR(34),", ",CHAR(34),"endTime",CHAR(34),":",CHAR(34),TEXT(AF168,"hh:mm"),CHAR(34),", ",CHAR(34),"timeZone",CHAR(34),":",CHAR(34),AG168,CHAR(34)))),"}]'"),
CONCATENATE(
"{  startDate=",CHAR(34),TEXT(G168,"yyyy-mm-dd"),CHAR(34),
"  endDate=",CHAR(34),TEXT(G168+W168-1,"yyyy-mm-dd"),CHAR(34),"}"))),
" &gt;&lt;/add-to-calendar-button&gt;")</f>
        <v>&lt;add-to-calendar-button  name="Pleasant Home Baptist Church Singing"   location="Pleasant Home Baptist Church, 6079 Eagle Rd, Andalusia, AL 36420"   description="9:30am-2:30pm; shapenotesingings.com"   options="'Apple','Google','iCal','Outlook.com'"   styleLight="--btn-background: #550000; --btn-text: #fff; --btn-shadow:#fff;"startDate="2025-06-15"{endDate="2025-06-15" startTime="09:30" endTime="15:00" timeZone="America/Chicago" &gt;&lt;/add-to-calendar-button&gt;</v>
      </c>
      <c r="AE168" s="24">
        <v>0.39583333333333331</v>
      </c>
      <c r="AF168" s="24">
        <v>0.625</v>
      </c>
      <c r="AG168" s="25" t="s">
        <v>1533</v>
      </c>
    </row>
    <row r="169" spans="1:33" ht="13.8" customHeight="1" x14ac:dyDescent="0.3">
      <c r="A169" t="s">
        <v>8</v>
      </c>
      <c r="B169" t="s">
        <v>11</v>
      </c>
      <c r="C169" t="s">
        <v>1134</v>
      </c>
      <c r="D169" t="s">
        <v>757</v>
      </c>
      <c r="E169" t="s">
        <v>2178</v>
      </c>
      <c r="F169" t="s">
        <v>484</v>
      </c>
      <c r="G169" s="7">
        <f ca="1">X169</f>
        <v>45823</v>
      </c>
      <c r="H169" s="5" t="s">
        <v>487</v>
      </c>
      <c r="J169" s="36" t="s">
        <v>2739</v>
      </c>
      <c r="M169" s="16" t="s">
        <v>488</v>
      </c>
      <c r="N169" s="16" t="s">
        <v>489</v>
      </c>
      <c r="O169" s="7">
        <v>44936</v>
      </c>
      <c r="P169" s="7" t="s">
        <v>926</v>
      </c>
      <c r="Q169" s="18">
        <v>6</v>
      </c>
      <c r="R169" s="18">
        <v>3</v>
      </c>
      <c r="S169" s="18">
        <v>1</v>
      </c>
      <c r="T169" s="4">
        <f>DATE(AI$2,$Q169,1+(($R169-($S169&gt;=WEEKDAY(DATE(AI$2,$Q169,1))))*7)+($S169-WEEKDAY(DATE(AI$2,$Q169,1))))</f>
        <v>45823</v>
      </c>
      <c r="U169" s="4">
        <f>DATE(AJ$2,$Q169,1+(($R169-($S169&gt;=WEEKDAY(DATE(AJ$2,$Q169,1))))*7)+($S169-WEEKDAY(DATE(AJ$2,$Q169,1))))</f>
        <v>46194</v>
      </c>
      <c r="V169" s="20">
        <v>0</v>
      </c>
      <c r="W169" s="20">
        <v>1</v>
      </c>
      <c r="X169" s="4">
        <f ca="1">Y169-(W169-1)</f>
        <v>45823</v>
      </c>
      <c r="Y169" s="5">
        <f ca="1">IF(OR(T169+V169&lt;(NOW()-0.5),ISNUMBER(SEARCH("&lt;h4&gt;",K169))),U169+V169,T169+V169)</f>
        <v>45823</v>
      </c>
      <c r="Z169" t="str">
        <f ca="1">CONCATENATE(IF(OR(Y169=X169,ISBLANK(Y169)),TEXT(X169,"mmmm d"),CONCATENATE(TEXT(X169,"mmmm d"),"-",IF(TEXT(X169,"mmmm")=TEXT(Y169,"mmmm"),TEXT(Y169,"d"),TEXT(Y169,"mmmm d")))),", ",YEAR(Y169))</f>
        <v>June 15, 2025</v>
      </c>
      <c r="AA169" s="7">
        <f>O169</f>
        <v>44936</v>
      </c>
      <c r="AB169" s="14">
        <f>T169+V169-(W169-1)</f>
        <v>45823</v>
      </c>
      <c r="AC169" t="s">
        <v>1300</v>
      </c>
      <c r="AD169" s="23" t="str">
        <f ca="1">CONCATENATE("&lt;add-to-calendar-button  name=",CHAR(34),H169,CHAR(34),
IF(ISBLANK(M169),"",CONCATENATE("   location=",CHAR(34),RIGHT(M169,LEN(M169)-SEARCH("|",M169)-1),CHAR(34))),
"   description=",CHAR(34),IF(ISBLANK(I169),"",CONCATENATE(I169,"; ")),"shapenotesingings.com",CHAR(34),
"   options=",CHAR(34),"'Apple','Google','iCal','Outlook.com'",CHAR(34),"   styleLight=",CHAR(34),"--btn-background: #550000; --btn-text: #fff; --btn-shadow:#fff;",CHAR(34),
IF(W169=1,CONCATENATE(
"startDate=",CHAR(34),TEXT(G169,"yyyy-mm-dd"),CHAR(34),
"{endDate=",CHAR(34),TEXT(G169,"yyyy-mm-dd"),CHAR(34),
IF(OR(ISBLANK(AE169),ISBLANK(AF169)),"",(CONCATENATE(" startTime=",CHAR(34),TEXT(AE169,"hh:mm"),CHAR(34)," endTime=",CHAR(34),TEXT(AF169,"h:mm"),CHAR(34),
" timeZone=",CHAR(34),AG169,CHAR(34))))),
IF(W169=2,CONCATENATE(" dates='[{",
CHAR(34),"startDate",CHAR(34),":",CHAR(34),TEXT(G169,"yyyy-mm-dd"),CHAR(34),", ",
,CHAR(34),"endDate",CHAR(34),":",CHAR(34),TEXT(G169,"yyyy-mm-dd"),CHAR(34),
IF(OR(ISBLANK(AE169),ISBLANK(AF169)),"",(CONCATENATE(", ",CHAR(34),"startTime",CHAR(34),":",CHAR(34),TEXT(AE169,"hh:mm"),CHAR(34),", ",CHAR(34),"endTime",CHAR(34),":",CHAR(34),TEXT(AF169,"hh:mm"),CHAR(34),", ",CHAR(34),"timeZone",CHAR(34),":",CHAR(34),AG169,CHAR(34)))),"}, {",
,CHAR(34),"startDate",CHAR(34),":",CHAR(34),TEXT(G169+1,"yyyy-mm-dd"),CHAR(34),", ",
,CHAR(34),"endDate",CHAR(34),":",CHAR(34),TEXT(G169+W169-1,"yyyy-mm-dd"),CHAR(34),
IF(OR(ISBLANK(AE169),ISBLANK(AF169)),"",(CONCATENATE(", ",CHAR(34),"startTime",CHAR(34),":",CHAR(34),TEXT(AE169,"hh:mm"),CHAR(34),", ",CHAR(34),"endTime",CHAR(34),":",CHAR(34),TEXT(AF169,"hh:mm"),CHAR(34),", ",CHAR(34),"timeZone",CHAR(34),":",CHAR(34),AG169,CHAR(34)))),"}]'"),
CONCATENATE(
"{  startDate=",CHAR(34),TEXT(G169,"yyyy-mm-dd"),CHAR(34),
"  endDate=",CHAR(34),TEXT(G169+W169-1,"yyyy-mm-dd"),CHAR(34),"}"))),
" &gt;&lt;/add-to-calendar-button&gt;")</f>
        <v>&lt;add-to-calendar-button  name="Clifford Wakefield Memorial"   location="King Schoolhouse, Co Rd 357, Haleyville AL - 34.1028491293549, -87.57087406507097"   description="shapenotesingings.com"   options="'Apple','Google','iCal','Outlook.com'"   styleLight="--btn-background: #550000; --btn-text: #fff; --btn-shadow:#fff;"startDate="2025-06-15"{endDate="2025-06-15" &gt;&lt;/add-to-calendar-button&gt;</v>
      </c>
      <c r="AG169" s="25" t="s">
        <v>1533</v>
      </c>
    </row>
    <row r="170" spans="1:33" x14ac:dyDescent="0.3">
      <c r="A170" t="s">
        <v>144</v>
      </c>
      <c r="B170" t="s">
        <v>144</v>
      </c>
      <c r="C170" t="s">
        <v>1162</v>
      </c>
      <c r="D170" t="s">
        <v>251</v>
      </c>
      <c r="E170" t="s">
        <v>2178</v>
      </c>
      <c r="F170" t="s">
        <v>497</v>
      </c>
      <c r="G170" s="7">
        <f ca="1">X170</f>
        <v>45829</v>
      </c>
      <c r="H170" s="5" t="s">
        <v>947</v>
      </c>
      <c r="I170" t="s">
        <v>1548</v>
      </c>
      <c r="J170" s="36" t="s">
        <v>2740</v>
      </c>
      <c r="L170" t="s">
        <v>2065</v>
      </c>
      <c r="M170" s="16" t="s">
        <v>901</v>
      </c>
      <c r="N170" s="16" t="s">
        <v>498</v>
      </c>
      <c r="O170" s="7">
        <v>45034</v>
      </c>
      <c r="P170" s="7" t="s">
        <v>1549</v>
      </c>
      <c r="Q170" s="18">
        <v>6</v>
      </c>
      <c r="R170" s="18">
        <v>4</v>
      </c>
      <c r="S170" s="18">
        <v>1</v>
      </c>
      <c r="T170" s="4">
        <f>DATE(AI$2,$Q170,1+(($R170-($S170&gt;=WEEKDAY(DATE(AI$2,$Q170,1))))*7)+($S170-WEEKDAY(DATE(AI$2,$Q170,1))))</f>
        <v>45830</v>
      </c>
      <c r="U170" s="4">
        <f>DATE(AJ$2,$Q170,1+(($R170-($S170&gt;=WEEKDAY(DATE(AJ$2,$Q170,1))))*7)+($S170-WEEKDAY(DATE(AJ$2,$Q170,1))))</f>
        <v>46201</v>
      </c>
      <c r="V170" s="20">
        <v>-1</v>
      </c>
      <c r="W170" s="20">
        <v>1</v>
      </c>
      <c r="X170" s="4">
        <f ca="1">Y170-(W170-1)</f>
        <v>45829</v>
      </c>
      <c r="Y170" s="5">
        <f ca="1">IF(OR(T170+V170&lt;(NOW()-0.5),ISNUMBER(SEARCH("&lt;h4&gt;",K170))),U170+V170,T170+V170)</f>
        <v>45829</v>
      </c>
      <c r="Z170" t="str">
        <f ca="1">CONCATENATE(IF(OR(Y170=X170,ISBLANK(Y170)),TEXT(X170,"mmmm d"),CONCATENATE(TEXT(X170,"mmmm d"),"-",IF(TEXT(X170,"mmmm")=TEXT(Y170,"mmmm"),TEXT(Y170,"d"),TEXT(Y170,"mmmm d")))),", ",YEAR(Y170))</f>
        <v>June 21, 2025</v>
      </c>
      <c r="AA170" s="7">
        <f>O170</f>
        <v>45034</v>
      </c>
      <c r="AB170" s="14">
        <f>T170+V170-(W170-1)</f>
        <v>45829</v>
      </c>
      <c r="AC170" t="s">
        <v>1306</v>
      </c>
      <c r="AD170" s="23" t="str">
        <f ca="1">CONCATENATE("&lt;add-to-calendar-button  name=",CHAR(34),H170,CHAR(34),
IF(ISBLANK(M170),"",CONCATENATE("   location=",CHAR(34),RIGHT(M170,LEN(M170)-SEARCH("|",M170)-1),CHAR(34))),
"   description=",CHAR(34),IF(ISBLANK(I170),"",CONCATENATE(I170,"; ")),"shapenotesingings.com",CHAR(34),
"   options=",CHAR(34),"'Apple','Google','iCal','Outlook.com'",CHAR(34),"   styleLight=",CHAR(34),"--btn-background: #550000; --btn-text: #fff; --btn-shadow:#fff;",CHAR(34),
IF(W170=1,CONCATENATE(
"startDate=",CHAR(34),TEXT(G170,"yyyy-mm-dd"),CHAR(34),
"{endDate=",CHAR(34),TEXT(G170,"yyyy-mm-dd"),CHAR(34),
IF(OR(ISBLANK(AE170),ISBLANK(AF170)),"",(CONCATENATE(" startTime=",CHAR(34),TEXT(AE170,"hh:mm"),CHAR(34)," endTime=",CHAR(34),TEXT(AF170,"h:mm"),CHAR(34),
" timeZone=",CHAR(34),AG170,CHAR(34))))),
IF(W170=2,CONCATENATE(" dates='[{",
CHAR(34),"startDate",CHAR(34),":",CHAR(34),TEXT(G170,"yyyy-mm-dd"),CHAR(34),", ",
,CHAR(34),"endDate",CHAR(34),":",CHAR(34),TEXT(G170,"yyyy-mm-dd"),CHAR(34),
IF(OR(ISBLANK(AE170),ISBLANK(AF170)),"",(CONCATENATE(", ",CHAR(34),"startTime",CHAR(34),":",CHAR(34),TEXT(AE170,"hh:mm"),CHAR(34),", ",CHAR(34),"endTime",CHAR(34),":",CHAR(34),TEXT(AF170,"hh:mm"),CHAR(34),", ",CHAR(34),"timeZone",CHAR(34),":",CHAR(34),AG170,CHAR(34)))),"}, {",
,CHAR(34),"startDate",CHAR(34),":",CHAR(34),TEXT(G170+1,"yyyy-mm-dd"),CHAR(34),", ",
,CHAR(34),"endDate",CHAR(34),":",CHAR(34),TEXT(G170+W170-1,"yyyy-mm-dd"),CHAR(34),
IF(OR(ISBLANK(AE170),ISBLANK(AF170)),"",(CONCATENATE(", ",CHAR(34),"startTime",CHAR(34),":",CHAR(34),TEXT(AE170,"hh:mm"),CHAR(34),", ",CHAR(34),"endTime",CHAR(34),":",CHAR(34),TEXT(AF170,"hh:mm"),CHAR(34),", ",CHAR(34),"timeZone",CHAR(34),":",CHAR(34),AG170,CHAR(34)))),"}]'"),
CONCATENATE(
"{  startDate=",CHAR(34),TEXT(G170,"yyyy-mm-dd"),CHAR(34),
"  endDate=",CHAR(34),TEXT(G170+W170-1,"yyyy-mm-dd"),CHAR(34),"}"))),
" &gt;&lt;/add-to-calendar-button&gt;")</f>
        <v>&lt;add-to-calendar-button  name="Oxford All-Day Singing"   location="Botley Womens Institute, N Hinksey Ln, Oxford OX2 0LT, United Kingdom"   description="10:30am-4:00pm; shapenotesingings.com"   options="'Apple','Google','iCal','Outlook.com'"   styleLight="--btn-background: #550000; --btn-text: #fff; --btn-shadow:#fff;"startDate="2025-06-21"{endDate="2025-06-21" startTime="10:30" endTime="16:00" timeZone="Europe/London" &gt;&lt;/add-to-calendar-button&gt;</v>
      </c>
      <c r="AE170" s="24">
        <v>0.4375</v>
      </c>
      <c r="AF170" s="24">
        <v>0.66666666666666663</v>
      </c>
      <c r="AG170" s="25" t="s">
        <v>1535</v>
      </c>
    </row>
    <row r="171" spans="1:33" x14ac:dyDescent="0.3">
      <c r="A171" t="s">
        <v>8</v>
      </c>
      <c r="B171" t="s">
        <v>250</v>
      </c>
      <c r="C171" t="s">
        <v>1152</v>
      </c>
      <c r="D171" t="s">
        <v>30</v>
      </c>
      <c r="E171" t="s">
        <v>1435</v>
      </c>
      <c r="F171" t="s">
        <v>497</v>
      </c>
      <c r="G171" s="7">
        <f ca="1">X171</f>
        <v>45829</v>
      </c>
      <c r="H171" s="5" t="s">
        <v>882</v>
      </c>
      <c r="I171" t="s">
        <v>1048</v>
      </c>
      <c r="J171" s="36" t="s">
        <v>2600</v>
      </c>
      <c r="L171" t="s">
        <v>1901</v>
      </c>
      <c r="M171" s="16" t="s">
        <v>1013</v>
      </c>
      <c r="N171" s="16" t="s">
        <v>883</v>
      </c>
      <c r="O171" s="7">
        <v>44927</v>
      </c>
      <c r="P171" s="7" t="s">
        <v>934</v>
      </c>
      <c r="Q171" s="18">
        <v>6</v>
      </c>
      <c r="R171" s="18">
        <v>4</v>
      </c>
      <c r="S171" s="18">
        <v>1</v>
      </c>
      <c r="T171" s="4">
        <f>DATE(AI$2,$Q171,1+(($R171-($S171&gt;=WEEKDAY(DATE(AI$2,$Q171,1))))*7)+($S171-WEEKDAY(DATE(AI$2,$Q171,1))))</f>
        <v>45830</v>
      </c>
      <c r="U171" s="4">
        <f>DATE(AJ$2,$Q171,1+(($R171-($S171&gt;=WEEKDAY(DATE(AJ$2,$Q171,1))))*7)+($S171-WEEKDAY(DATE(AJ$2,$Q171,1))))</f>
        <v>46201</v>
      </c>
      <c r="V171" s="20">
        <v>-1</v>
      </c>
      <c r="W171" s="20">
        <v>1</v>
      </c>
      <c r="X171" s="4">
        <f ca="1">Y171-(W171-1)</f>
        <v>45829</v>
      </c>
      <c r="Y171" s="5">
        <f ca="1">IF(OR(T171+V171&lt;(NOW()-0.5),ISNUMBER(SEARCH("&lt;h4&gt;",K171))),U171+V171,T171+V171)</f>
        <v>45829</v>
      </c>
      <c r="Z171" t="str">
        <f ca="1">CONCATENATE(IF(OR(Y171=X171,ISBLANK(Y171)),TEXT(X171,"mmmm d"),CONCATENATE(TEXT(X171,"mmmm d"),"-",IF(TEXT(X171,"mmmm")=TEXT(Y171,"mmmm"),TEXT(Y171,"d"),TEXT(Y171,"mmmm d")))),", ",YEAR(Y171))</f>
        <v>June 21, 2025</v>
      </c>
      <c r="AA171" s="7">
        <f>O171</f>
        <v>44927</v>
      </c>
      <c r="AB171" s="14">
        <f>T171+V171-(W171-1)</f>
        <v>45829</v>
      </c>
      <c r="AC171" t="s">
        <v>1305</v>
      </c>
      <c r="AD171" s="23" t="str">
        <f ca="1">CONCATENATE("&lt;add-to-calendar-button  name=",CHAR(34),H171,CHAR(34),
IF(ISBLANK(M171),"",CONCATENATE("   location=",CHAR(34),RIGHT(M171,LEN(M171)-SEARCH("|",M171)-1),CHAR(34))),
"   description=",CHAR(34),IF(ISBLANK(I171),"",CONCATENATE(I171,"; ")),"shapenotesingings.com",CHAR(34),
"   options=",CHAR(34),"'Apple','Google','iCal','Outlook.com'",CHAR(34),"   styleLight=",CHAR(34),"--btn-background: #550000; --btn-text: #fff; --btn-shadow:#fff;",CHAR(34),
IF(W171=1,CONCATENATE(
"startDate=",CHAR(34),TEXT(G171,"yyyy-mm-dd"),CHAR(34),
"{endDate=",CHAR(34),TEXT(G171,"yyyy-mm-dd"),CHAR(34),
IF(OR(ISBLANK(AE171),ISBLANK(AF171)),"",(CONCATENATE(" startTime=",CHAR(34),TEXT(AE171,"hh:mm"),CHAR(34)," endTime=",CHAR(34),TEXT(AF171,"h:mm"),CHAR(34),
" timeZone=",CHAR(34),AG171,CHAR(34))))),
IF(W171=2,CONCATENATE(" dates='[{",
CHAR(34),"startDate",CHAR(34),":",CHAR(34),TEXT(G171,"yyyy-mm-dd"),CHAR(34),", ",
,CHAR(34),"endDate",CHAR(34),":",CHAR(34),TEXT(G171,"yyyy-mm-dd"),CHAR(34),
IF(OR(ISBLANK(AE171),ISBLANK(AF171)),"",(CONCATENATE(", ",CHAR(34),"startTime",CHAR(34),":",CHAR(34),TEXT(AE171,"hh:mm"),CHAR(34),", ",CHAR(34),"endTime",CHAR(34),":",CHAR(34),TEXT(AF171,"hh:mm"),CHAR(34),", ",CHAR(34),"timeZone",CHAR(34),":",CHAR(34),AG171,CHAR(34)))),"}, {",
,CHAR(34),"startDate",CHAR(34),":",CHAR(34),TEXT(G171+1,"yyyy-mm-dd"),CHAR(34),", ",
,CHAR(34),"endDate",CHAR(34),":",CHAR(34),TEXT(G171+W171-1,"yyyy-mm-dd"),CHAR(34),
IF(OR(ISBLANK(AE171),ISBLANK(AF171)),"",(CONCATENATE(", ",CHAR(34),"startTime",CHAR(34),":",CHAR(34),TEXT(AE171,"hh:mm"),CHAR(34),", ",CHAR(34),"endTime",CHAR(34),":",CHAR(34),TEXT(AF171,"hh:mm"),CHAR(34),", ",CHAR(34),"timeZone",CHAR(34),":",CHAR(34),AG171,CHAR(34)))),"}]'"),
CONCATENATE(
"{  startDate=",CHAR(34),TEXT(G171,"yyyy-mm-dd"),CHAR(34),
"  endDate=",CHAR(34),TEXT(G171+W171-1,"yyyy-mm-dd"),CHAR(34),"}"))),
" &gt;&lt;/add-to-calendar-button&gt;")</f>
        <v>&lt;add-to-calendar-button  name="Newton County Christian Harmony Convention"   location="Macedonia Primitive Baptist Church, 1347 Macedonia Rd, Decatur, MS 39327"   description="9:30am-3pm; shapenotesingings.com"   options="'Apple','Google','iCal','Outlook.com'"   styleLight="--btn-background: #550000; --btn-text: #fff; --btn-shadow:#fff;"startDate="2025-06-21"{endDate="2025-06-21" startTime="09:30" endTime="15:00" timeZone="America/Chicago" &gt;&lt;/add-to-calendar-button&gt;</v>
      </c>
      <c r="AE171" s="24">
        <v>0.39583333333333331</v>
      </c>
      <c r="AF171" s="24">
        <v>0.625</v>
      </c>
      <c r="AG171" s="25" t="s">
        <v>1533</v>
      </c>
    </row>
    <row r="172" spans="1:33" x14ac:dyDescent="0.3">
      <c r="A172" t="s">
        <v>8</v>
      </c>
      <c r="B172" t="s">
        <v>11</v>
      </c>
      <c r="C172" t="s">
        <v>1134</v>
      </c>
      <c r="D172" t="s">
        <v>255</v>
      </c>
      <c r="E172" t="s">
        <v>2178</v>
      </c>
      <c r="F172" t="s">
        <v>497</v>
      </c>
      <c r="G172" s="7">
        <f ca="1">X172</f>
        <v>45829</v>
      </c>
      <c r="H172" s="5" t="s">
        <v>496</v>
      </c>
      <c r="J172" s="36" t="s">
        <v>2741</v>
      </c>
      <c r="M172" s="16" t="s">
        <v>656</v>
      </c>
      <c r="N172" s="16" t="s">
        <v>657</v>
      </c>
      <c r="O172" s="7">
        <v>44936</v>
      </c>
      <c r="P172" s="7" t="s">
        <v>926</v>
      </c>
      <c r="Q172" s="18">
        <v>6</v>
      </c>
      <c r="R172" s="18">
        <v>4</v>
      </c>
      <c r="S172" s="18">
        <v>1</v>
      </c>
      <c r="T172" s="4">
        <f>DATE(AI$2,$Q172,1+(($R172-($S172&gt;=WEEKDAY(DATE(AI$2,$Q172,1))))*7)+($S172-WEEKDAY(DATE(AI$2,$Q172,1))))</f>
        <v>45830</v>
      </c>
      <c r="U172" s="4">
        <f>DATE(AJ$2,$Q172,1+(($R172-($S172&gt;=WEEKDAY(DATE(AJ$2,$Q172,1))))*7)+($S172-WEEKDAY(DATE(AJ$2,$Q172,1))))</f>
        <v>46201</v>
      </c>
      <c r="V172" s="20">
        <v>-1</v>
      </c>
      <c r="W172" s="20">
        <v>1</v>
      </c>
      <c r="X172" s="4">
        <f ca="1">Y172-(W172-1)</f>
        <v>45829</v>
      </c>
      <c r="Y172" s="5">
        <f ca="1">IF(OR(T172+V172&lt;(NOW()-0.5),ISNUMBER(SEARCH("&lt;h4&gt;",K172))),U172+V172,T172+V172)</f>
        <v>45829</v>
      </c>
      <c r="Z172" t="str">
        <f ca="1">CONCATENATE(IF(OR(Y172=X172,ISBLANK(Y172)),TEXT(X172,"mmmm d"),CONCATENATE(TEXT(X172,"mmmm d"),"-",IF(TEXT(X172,"mmmm")=TEXT(Y172,"mmmm"),TEXT(Y172,"d"),TEXT(Y172,"mmmm d")))),", ",YEAR(Y172))</f>
        <v>June 21, 2025</v>
      </c>
      <c r="AA172" s="7">
        <f>O172</f>
        <v>44936</v>
      </c>
      <c r="AB172" s="14">
        <f>T172+V172-(W172-1)</f>
        <v>45829</v>
      </c>
      <c r="AC172" t="s">
        <v>1304</v>
      </c>
      <c r="AD172" s="23" t="str">
        <f ca="1">CONCATENATE("&lt;add-to-calendar-button  name=",CHAR(34),H172,CHAR(34),
IF(ISBLANK(M172),"",CONCATENATE("   location=",CHAR(34),RIGHT(M172,LEN(M172)-SEARCH("|",M172)-1),CHAR(34))),
"   description=",CHAR(34),IF(ISBLANK(I172),"",CONCATENATE(I172,"; ")),"shapenotesingings.com",CHAR(34),
"   options=",CHAR(34),"'Apple','Google','iCal','Outlook.com'",CHAR(34),"   styleLight=",CHAR(34),"--btn-background: #550000; --btn-text: #fff; --btn-shadow:#fff;",CHAR(34),
IF(W172=1,CONCATENATE(
"startDate=",CHAR(34),TEXT(G172,"yyyy-mm-dd"),CHAR(34),
"{endDate=",CHAR(34),TEXT(G172,"yyyy-mm-dd"),CHAR(34),
IF(OR(ISBLANK(AE172),ISBLANK(AF172)),"",(CONCATENATE(" startTime=",CHAR(34),TEXT(AE172,"hh:mm"),CHAR(34)," endTime=",CHAR(34),TEXT(AF172,"h:mm"),CHAR(34),
" timeZone=",CHAR(34),AG172,CHAR(34))))),
IF(W172=2,CONCATENATE(" dates='[{",
CHAR(34),"startDate",CHAR(34),":",CHAR(34),TEXT(G172,"yyyy-mm-dd"),CHAR(34),", ",
,CHAR(34),"endDate",CHAR(34),":",CHAR(34),TEXT(G172,"yyyy-mm-dd"),CHAR(34),
IF(OR(ISBLANK(AE172),ISBLANK(AF172)),"",(CONCATENATE(", ",CHAR(34),"startTime",CHAR(34),":",CHAR(34),TEXT(AE172,"hh:mm"),CHAR(34),", ",CHAR(34),"endTime",CHAR(34),":",CHAR(34),TEXT(AF172,"hh:mm"),CHAR(34),", ",CHAR(34),"timeZone",CHAR(34),":",CHAR(34),AG172,CHAR(34)))),"}, {",
,CHAR(34),"startDate",CHAR(34),":",CHAR(34),TEXT(G172+1,"yyyy-mm-dd"),CHAR(34),", ",
,CHAR(34),"endDate",CHAR(34),":",CHAR(34),TEXT(G172+W172-1,"yyyy-mm-dd"),CHAR(34),
IF(OR(ISBLANK(AE172),ISBLANK(AF172)),"",(CONCATENATE(", ",CHAR(34),"startTime",CHAR(34),":",CHAR(34),TEXT(AE172,"hh:mm"),CHAR(34),", ",CHAR(34),"endTime",CHAR(34),":",CHAR(34),TEXT(AF172,"hh:mm"),CHAR(34),", ",CHAR(34),"timeZone",CHAR(34),":",CHAR(34),AG172,CHAR(34)))),"}]'"),
CONCATENATE(
"{  startDate=",CHAR(34),TEXT(G172,"yyyy-mm-dd"),CHAR(34),
"  endDate=",CHAR(34),TEXT(G172+W172-1,"yyyy-mm-dd"),CHAR(34),"}"))),
" &gt;&lt;/add-to-calendar-button&gt;")</f>
        <v>&lt;add-to-calendar-button  name="Kermit and Steve Adams Memorial"   location="Shady Grove Primitive Baptist Church, Double Springs AL - 34.18892986800541, -87.42600710374485"   description="shapenotesingings.com"   options="'Apple','Google','iCal','Outlook.com'"   styleLight="--btn-background: #550000; --btn-text: #fff; --btn-shadow:#fff;"startDate="2025-06-21"{endDate="2025-06-21" &gt;&lt;/add-to-calendar-button&gt;</v>
      </c>
      <c r="AG172" s="25" t="s">
        <v>1533</v>
      </c>
    </row>
    <row r="173" spans="1:33" x14ac:dyDescent="0.3">
      <c r="A173" t="s">
        <v>8</v>
      </c>
      <c r="B173" t="s">
        <v>273</v>
      </c>
      <c r="C173" t="s">
        <v>1160</v>
      </c>
      <c r="D173" t="s">
        <v>1468</v>
      </c>
      <c r="E173" t="s">
        <v>777</v>
      </c>
      <c r="F173" t="s">
        <v>499</v>
      </c>
      <c r="G173" s="7">
        <f ca="1">X173</f>
        <v>45830</v>
      </c>
      <c r="H173" s="5" t="s">
        <v>1476</v>
      </c>
      <c r="I173" t="s">
        <v>1459</v>
      </c>
      <c r="J173" s="36" t="s">
        <v>2601</v>
      </c>
      <c r="L173" t="s">
        <v>1448</v>
      </c>
      <c r="M173" s="16" t="s">
        <v>1477</v>
      </c>
      <c r="N173" s="16" t="s">
        <v>1478</v>
      </c>
      <c r="O173" s="7">
        <v>45012</v>
      </c>
      <c r="P173" s="7" t="s">
        <v>1509</v>
      </c>
      <c r="Q173" s="18">
        <v>6</v>
      </c>
      <c r="R173" s="18">
        <v>4</v>
      </c>
      <c r="S173" s="18">
        <v>1</v>
      </c>
      <c r="T173" s="4">
        <f>DATE(AI$2,$Q173,1+(($R173-($S173&gt;=WEEKDAY(DATE(AI$2,$Q173,1))))*7)+($S173-WEEKDAY(DATE(AI$2,$Q173,1))))</f>
        <v>45830</v>
      </c>
      <c r="U173" s="4">
        <f>DATE(AJ$2,$Q173,1+(($R173-($S173&gt;=WEEKDAY(DATE(AJ$2,$Q173,1))))*7)+($S173-WEEKDAY(DATE(AJ$2,$Q173,1))))</f>
        <v>46201</v>
      </c>
      <c r="V173" s="20">
        <v>0</v>
      </c>
      <c r="W173" s="20">
        <v>1</v>
      </c>
      <c r="X173" s="4">
        <f ca="1">Y173-(W173-1)</f>
        <v>45830</v>
      </c>
      <c r="Y173" s="5">
        <f ca="1">IF(OR(T173+V173&lt;(NOW()-0.5),ISNUMBER(SEARCH("&lt;h4&gt;",K173))),U173+V173,T173+V173)</f>
        <v>45830</v>
      </c>
      <c r="Z173" t="str">
        <f ca="1">CONCATENATE(IF(OR(Y173=X173,ISBLANK(Y173)),TEXT(X173,"mmmm d"),CONCATENATE(TEXT(X173,"mmmm d"),"-",IF(TEXT(X173,"mmmm")=TEXT(Y173,"mmmm"),TEXT(Y173,"d"),TEXT(Y173,"mmmm d")))),", ",YEAR(Y173))</f>
        <v>June 22, 2025</v>
      </c>
      <c r="AA173" s="7">
        <f>O173</f>
        <v>45012</v>
      </c>
      <c r="AB173" s="14">
        <f>T173+V173-(W173-1)</f>
        <v>45830</v>
      </c>
      <c r="AC173" t="s">
        <v>1479</v>
      </c>
      <c r="AD173" s="23" t="str">
        <f ca="1">CONCATENATE("&lt;add-to-calendar-button  name=",CHAR(34),H173,CHAR(34),
IF(ISBLANK(M173),"",CONCATENATE("   location=",CHAR(34),RIGHT(M173,LEN(M173)-SEARCH("|",M173)-1),CHAR(34))),
"   description=",CHAR(34),IF(ISBLANK(I173),"",CONCATENATE(I173,"; ")),"shapenotesingings.com",CHAR(34),
"   options=",CHAR(34),"'Apple','Google','iCal','Outlook.com'",CHAR(34),"   styleLight=",CHAR(34),"--btn-background: #550000; --btn-text: #fff; --btn-shadow:#fff;",CHAR(34),
IF(W173=1,CONCATENATE(
"startDate=",CHAR(34),TEXT(G173,"yyyy-mm-dd"),CHAR(34),
"{endDate=",CHAR(34),TEXT(G173,"yyyy-mm-dd"),CHAR(34),
IF(OR(ISBLANK(AE173),ISBLANK(AF173)),"",(CONCATENATE(" startTime=",CHAR(34),TEXT(AE173,"hh:mm"),CHAR(34)," endTime=",CHAR(34),TEXT(AF173,"h:mm"),CHAR(34),
" timeZone=",CHAR(34),AG173,CHAR(34))))),
IF(W173=2,CONCATENATE(" dates='[{",
CHAR(34),"startDate",CHAR(34),":",CHAR(34),TEXT(G173,"yyyy-mm-dd"),CHAR(34),", ",
,CHAR(34),"endDate",CHAR(34),":",CHAR(34),TEXT(G173,"yyyy-mm-dd"),CHAR(34),
IF(OR(ISBLANK(AE173),ISBLANK(AF173)),"",(CONCATENATE(", ",CHAR(34),"startTime",CHAR(34),":",CHAR(34),TEXT(AE173,"hh:mm"),CHAR(34),", ",CHAR(34),"endTime",CHAR(34),":",CHAR(34),TEXT(AF173,"hh:mm"),CHAR(34),", ",CHAR(34),"timeZone",CHAR(34),":",CHAR(34),AG173,CHAR(34)))),"}, {",
,CHAR(34),"startDate",CHAR(34),":",CHAR(34),TEXT(G173+1,"yyyy-mm-dd"),CHAR(34),", ",
,CHAR(34),"endDate",CHAR(34),":",CHAR(34),TEXT(G173+W173-1,"yyyy-mm-dd"),CHAR(34),
IF(OR(ISBLANK(AE173),ISBLANK(AF173)),"",(CONCATENATE(", ",CHAR(34),"startTime",CHAR(34),":",CHAR(34),TEXT(AE173,"hh:mm"),CHAR(34),", ",CHAR(34),"endTime",CHAR(34),":",CHAR(34),TEXT(AF173,"hh:mm"),CHAR(34),", ",CHAR(34),"timeZone",CHAR(34),":",CHAR(34),AG173,CHAR(34)))),"}]'"),
CONCATENATE(
"{  startDate=",CHAR(34),TEXT(G173,"yyyy-mm-dd"),CHAR(34),
"  endDate=",CHAR(34),TEXT(G173+W173-1,"yyyy-mm-dd"),CHAR(34),"}"))),
" &gt;&lt;/add-to-calendar-button&gt;")</f>
        <v>&lt;add-to-calendar-button  name="Caney Creek Singing"   location="Beech Grove PBC, 611-625 Caney Creek Rd, Pigeon Forge, TN 37863"   description="2pm; shapenotesingings.com"   options="'Apple','Google','iCal','Outlook.com'"   styleLight="--btn-background: #550000; --btn-text: #fff; --btn-shadow:#fff;"startDate="2025-06-22"{endDate="2025-06-22" &gt;&lt;/add-to-calendar-button&gt;</v>
      </c>
      <c r="AG173" s="25" t="s">
        <v>1532</v>
      </c>
    </row>
    <row r="174" spans="1:33" x14ac:dyDescent="0.3">
      <c r="A174" t="s">
        <v>8</v>
      </c>
      <c r="B174" t="s">
        <v>11</v>
      </c>
      <c r="C174" t="s">
        <v>1134</v>
      </c>
      <c r="D174" t="s">
        <v>467</v>
      </c>
      <c r="E174" t="s">
        <v>2178</v>
      </c>
      <c r="F174" t="s">
        <v>499</v>
      </c>
      <c r="G174" s="7">
        <f ca="1">X174</f>
        <v>45830</v>
      </c>
      <c r="H174" s="5" t="s">
        <v>504</v>
      </c>
      <c r="I174" t="s">
        <v>1048</v>
      </c>
      <c r="J174" s="36" t="s">
        <v>2742</v>
      </c>
      <c r="K174" t="s">
        <v>1110</v>
      </c>
      <c r="L174" t="s">
        <v>1996</v>
      </c>
      <c r="M174" s="16" t="s">
        <v>1014</v>
      </c>
      <c r="N174" s="16" t="s">
        <v>505</v>
      </c>
      <c r="O174" s="7">
        <v>44936</v>
      </c>
      <c r="P174" s="7" t="s">
        <v>926</v>
      </c>
      <c r="Q174" s="18">
        <v>6</v>
      </c>
      <c r="R174" s="18">
        <v>4</v>
      </c>
      <c r="S174" s="18">
        <v>1</v>
      </c>
      <c r="T174" s="4">
        <f>DATE(AI$2,$Q174,1+(($R174-($S174&gt;=WEEKDAY(DATE(AI$2,$Q174,1))))*7)+($S174-WEEKDAY(DATE(AI$2,$Q174,1))))</f>
        <v>45830</v>
      </c>
      <c r="U174" s="4">
        <f>DATE(AJ$2,$Q174,1+(($R174-($S174&gt;=WEEKDAY(DATE(AJ$2,$Q174,1))))*7)+($S174-WEEKDAY(DATE(AJ$2,$Q174,1))))</f>
        <v>46201</v>
      </c>
      <c r="V174" s="20">
        <v>0</v>
      </c>
      <c r="W174" s="20">
        <v>1</v>
      </c>
      <c r="X174" s="4">
        <f ca="1">Y174-(W174-1)</f>
        <v>45830</v>
      </c>
      <c r="Y174" s="5">
        <f ca="1">IF(OR(T174+V174&lt;(NOW()-0.5),ISNUMBER(SEARCH("&lt;h4&gt;",K174))),U174+V174,T174+V174)</f>
        <v>45830</v>
      </c>
      <c r="Z174" t="str">
        <f ca="1">CONCATENATE(IF(OR(Y174=X174,ISBLANK(Y174)),TEXT(X174,"mmmm d"),CONCATENATE(TEXT(X174,"mmmm d"),"-",IF(TEXT(X174,"mmmm")=TEXT(Y174,"mmmm"),TEXT(Y174,"d"),TEXT(Y174,"mmmm d")))),", ",YEAR(Y174))</f>
        <v>June 22, 2025</v>
      </c>
      <c r="AA174" s="7">
        <f>O174</f>
        <v>44936</v>
      </c>
      <c r="AB174" s="14">
        <f>T174+V174-(W174-1)</f>
        <v>45830</v>
      </c>
      <c r="AC174" t="s">
        <v>1307</v>
      </c>
      <c r="AD174" s="23" t="str">
        <f ca="1">CONCATENATE("&lt;add-to-calendar-button  name=",CHAR(34),H174,CHAR(34),
IF(ISBLANK(M174),"",CONCATENATE("   location=",CHAR(34),RIGHT(M174,LEN(M174)-SEARCH("|",M174)-1),CHAR(34))),
"   description=",CHAR(34),IF(ISBLANK(I174),"",CONCATENATE(I174,"; ")),"shapenotesingings.com",CHAR(34),
"   options=",CHAR(34),"'Apple','Google','iCal','Outlook.com'",CHAR(34),"   styleLight=",CHAR(34),"--btn-background: #550000; --btn-text: #fff; --btn-shadow:#fff;",CHAR(34),
IF(W174=1,CONCATENATE(
"startDate=",CHAR(34),TEXT(G174,"yyyy-mm-dd"),CHAR(34),
"{endDate=",CHAR(34),TEXT(G174,"yyyy-mm-dd"),CHAR(34),
IF(OR(ISBLANK(AE174),ISBLANK(AF174)),"",(CONCATENATE(" startTime=",CHAR(34),TEXT(AE174,"hh:mm"),CHAR(34)," endTime=",CHAR(34),TEXT(AF174,"h:mm"),CHAR(34),
" timeZone=",CHAR(34),AG174,CHAR(34))))),
IF(W174=2,CONCATENATE(" dates='[{",
CHAR(34),"startDate",CHAR(34),":",CHAR(34),TEXT(G174,"yyyy-mm-dd"),CHAR(34),", ",
,CHAR(34),"endDate",CHAR(34),":",CHAR(34),TEXT(G174,"yyyy-mm-dd"),CHAR(34),
IF(OR(ISBLANK(AE174),ISBLANK(AF174)),"",(CONCATENATE(", ",CHAR(34),"startTime",CHAR(34),":",CHAR(34),TEXT(AE174,"hh:mm"),CHAR(34),", ",CHAR(34),"endTime",CHAR(34),":",CHAR(34),TEXT(AF174,"hh:mm"),CHAR(34),", ",CHAR(34),"timeZone",CHAR(34),":",CHAR(34),AG174,CHAR(34)))),"}, {",
,CHAR(34),"startDate",CHAR(34),":",CHAR(34),TEXT(G174+1,"yyyy-mm-dd"),CHAR(34),", ",
,CHAR(34),"endDate",CHAR(34),":",CHAR(34),TEXT(G174+W174-1,"yyyy-mm-dd"),CHAR(34),
IF(OR(ISBLANK(AE174),ISBLANK(AF174)),"",(CONCATENATE(", ",CHAR(34),"startTime",CHAR(34),":",CHAR(34),TEXT(AE174,"hh:mm"),CHAR(34),", ",CHAR(34),"endTime",CHAR(34),":",CHAR(34),TEXT(AF174,"hh:mm"),CHAR(34),", ",CHAR(34),"timeZone",CHAR(34),":",CHAR(34),AG174,CHAR(34)))),"}]'"),
CONCATENATE(
"{  startDate=",CHAR(34),TEXT(G174,"yyyy-mm-dd"),CHAR(34),
"  endDate=",CHAR(34),TEXT(G174+W174-1,"yyyy-mm-dd"),CHAR(34),"}"))),
" &gt;&lt;/add-to-calendar-button&gt;")</f>
        <v>&lt;add-to-calendar-button  name="Mt. Lebanon Baptist Church Singing"   location="Mt. Lebanon Baptist Church, Mt. Lebanon Rd, Fayette, AL 35555"   description="9:30am-3pm; shapenotesingings.com"   options="'Apple','Google','iCal','Outlook.com'"   styleLight="--btn-background: #550000; --btn-text: #fff; --btn-shadow:#fff;"startDate="2025-06-22"{endDate="2025-06-22" startTime="09:30" endTime="15:00" timeZone="America/Chicago" &gt;&lt;/add-to-calendar-button&gt;</v>
      </c>
      <c r="AE174" s="24">
        <v>0.39583333333333331</v>
      </c>
      <c r="AF174" s="24">
        <v>0.625</v>
      </c>
      <c r="AG174" s="25" t="s">
        <v>1533</v>
      </c>
    </row>
    <row r="175" spans="1:33" x14ac:dyDescent="0.3">
      <c r="A175" t="s">
        <v>8</v>
      </c>
      <c r="B175" t="s">
        <v>11</v>
      </c>
      <c r="C175" t="s">
        <v>1134</v>
      </c>
      <c r="D175" t="s">
        <v>503</v>
      </c>
      <c r="E175" t="s">
        <v>2178</v>
      </c>
      <c r="F175" t="s">
        <v>499</v>
      </c>
      <c r="G175" s="7">
        <f ca="1">X175</f>
        <v>45830</v>
      </c>
      <c r="H175" s="5" t="s">
        <v>500</v>
      </c>
      <c r="J175" s="36" t="s">
        <v>2743</v>
      </c>
      <c r="K175" t="s">
        <v>1111</v>
      </c>
      <c r="M175" s="16" t="s">
        <v>501</v>
      </c>
      <c r="N175" s="16" t="s">
        <v>502</v>
      </c>
      <c r="O175" s="7">
        <v>44936</v>
      </c>
      <c r="P175" s="7" t="s">
        <v>926</v>
      </c>
      <c r="Q175" s="18">
        <v>6</v>
      </c>
      <c r="R175" s="18">
        <v>4</v>
      </c>
      <c r="S175" s="18">
        <v>1</v>
      </c>
      <c r="T175" s="4">
        <f>DATE(AI$2,$Q175,1+(($R175-($S175&gt;=WEEKDAY(DATE(AI$2,$Q175,1))))*7)+($S175-WEEKDAY(DATE(AI$2,$Q175,1))))</f>
        <v>45830</v>
      </c>
      <c r="U175" s="4">
        <f>DATE(AJ$2,$Q175,1+(($R175-($S175&gt;=WEEKDAY(DATE(AJ$2,$Q175,1))))*7)+($S175-WEEKDAY(DATE(AJ$2,$Q175,1))))</f>
        <v>46201</v>
      </c>
      <c r="V175" s="20">
        <v>0</v>
      </c>
      <c r="W175" s="20">
        <v>1</v>
      </c>
      <c r="X175" s="4">
        <f ca="1">Y175-(W175-1)</f>
        <v>45830</v>
      </c>
      <c r="Y175" s="5">
        <f ca="1">IF(OR(T175+V175&lt;(NOW()-0.5),ISNUMBER(SEARCH("&lt;h4&gt;",K175))),U175+V175,T175+V175)</f>
        <v>45830</v>
      </c>
      <c r="Z175" t="str">
        <f ca="1">CONCATENATE(IF(OR(Y175=X175,ISBLANK(Y175)),TEXT(X175,"mmmm d"),CONCATENATE(TEXT(X175,"mmmm d"),"-",IF(TEXT(X175,"mmmm")=TEXT(Y175,"mmmm"),TEXT(Y175,"d"),TEXT(Y175,"mmmm d")))),", ",YEAR(Y175))</f>
        <v>June 22, 2025</v>
      </c>
      <c r="AA175" s="7">
        <f>O175</f>
        <v>44936</v>
      </c>
      <c r="AB175" s="14">
        <f>T175+V175-(W175-1)</f>
        <v>45830</v>
      </c>
      <c r="AC175" t="s">
        <v>1308</v>
      </c>
      <c r="AD175" s="23" t="str">
        <f ca="1">CONCATENATE("&lt;add-to-calendar-button  name=",CHAR(34),H175,CHAR(34),
IF(ISBLANK(M175),"",CONCATENATE("   location=",CHAR(34),RIGHT(M175,LEN(M175)-SEARCH("|",M175)-1),CHAR(34))),
"   description=",CHAR(34),IF(ISBLANK(I175),"",CONCATENATE(I175,"; ")),"shapenotesingings.com",CHAR(34),
"   options=",CHAR(34),"'Apple','Google','iCal','Outlook.com'",CHAR(34),"   styleLight=",CHAR(34),"--btn-background: #550000; --btn-text: #fff; --btn-shadow:#fff;",CHAR(34),
IF(W175=1,CONCATENATE(
"startDate=",CHAR(34),TEXT(G175,"yyyy-mm-dd"),CHAR(34),
"{endDate=",CHAR(34),TEXT(G175,"yyyy-mm-dd"),CHAR(34),
IF(OR(ISBLANK(AE175),ISBLANK(AF175)),"",(CONCATENATE(" startTime=",CHAR(34),TEXT(AE175,"hh:mm"),CHAR(34)," endTime=",CHAR(34),TEXT(AF175,"h:mm"),CHAR(34),
" timeZone=",CHAR(34),AG175,CHAR(34))))),
IF(W175=2,CONCATENATE(" dates='[{",
CHAR(34),"startDate",CHAR(34),":",CHAR(34),TEXT(G175,"yyyy-mm-dd"),CHAR(34),", ",
,CHAR(34),"endDate",CHAR(34),":",CHAR(34),TEXT(G175,"yyyy-mm-dd"),CHAR(34),
IF(OR(ISBLANK(AE175),ISBLANK(AF175)),"",(CONCATENATE(", ",CHAR(34),"startTime",CHAR(34),":",CHAR(34),TEXT(AE175,"hh:mm"),CHAR(34),", ",CHAR(34),"endTime",CHAR(34),":",CHAR(34),TEXT(AF175,"hh:mm"),CHAR(34),", ",CHAR(34),"timeZone",CHAR(34),":",CHAR(34),AG175,CHAR(34)))),"}, {",
,CHAR(34),"startDate",CHAR(34),":",CHAR(34),TEXT(G175+1,"yyyy-mm-dd"),CHAR(34),", ",
,CHAR(34),"endDate",CHAR(34),":",CHAR(34),TEXT(G175+W175-1,"yyyy-mm-dd"),CHAR(34),
IF(OR(ISBLANK(AE175),ISBLANK(AF175)),"",(CONCATENATE(", ",CHAR(34),"startTime",CHAR(34),":",CHAR(34),TEXT(AE175,"hh:mm"),CHAR(34),", ",CHAR(34),"endTime",CHAR(34),":",CHAR(34),TEXT(AF175,"hh:mm"),CHAR(34),", ",CHAR(34),"timeZone",CHAR(34),":",CHAR(34),AG175,CHAR(34)))),"}]'"),
CONCATENATE(
"{  startDate=",CHAR(34),TEXT(G175,"yyyy-mm-dd"),CHAR(34),
"  endDate=",CHAR(34),TEXT(G175+W175-1,"yyyy-mm-dd"),CHAR(34),"}"))),
" &gt;&lt;/add-to-calendar-button&gt;")</f>
        <v>&lt;add-to-calendar-button  name="New Hope Church Singing"   location="New Hope Church, Co Rd 940, Cullman County, AL"   description="shapenotesingings.com"   options="'Apple','Google','iCal','Outlook.com'"   styleLight="--btn-background: #550000; --btn-text: #fff; --btn-shadow:#fff;"startDate="2025-06-22"{endDate="2025-06-22" &gt;&lt;/add-to-calendar-button&gt;</v>
      </c>
      <c r="AG175" s="25" t="s">
        <v>1533</v>
      </c>
    </row>
    <row r="176" spans="1:33" x14ac:dyDescent="0.3">
      <c r="A176" t="s">
        <v>8</v>
      </c>
      <c r="B176" t="s">
        <v>200</v>
      </c>
      <c r="C176" t="s">
        <v>395</v>
      </c>
      <c r="D176" t="s">
        <v>1429</v>
      </c>
      <c r="E176" t="s">
        <v>2178</v>
      </c>
      <c r="F176" t="s">
        <v>2081</v>
      </c>
      <c r="G176" s="7">
        <f ca="1">X176</f>
        <v>45836</v>
      </c>
      <c r="H176" s="5" t="s">
        <v>1430</v>
      </c>
      <c r="I176" t="s">
        <v>1039</v>
      </c>
      <c r="J176" s="36" t="s">
        <v>2744</v>
      </c>
      <c r="L176" t="s">
        <v>2083</v>
      </c>
      <c r="M176" s="16" t="s">
        <v>1431</v>
      </c>
      <c r="N176" s="16" t="s">
        <v>1432</v>
      </c>
      <c r="O176" s="7">
        <v>45432</v>
      </c>
      <c r="P176" s="7" t="s">
        <v>2082</v>
      </c>
      <c r="Q176" s="18">
        <v>7</v>
      </c>
      <c r="R176" s="18">
        <v>1</v>
      </c>
      <c r="S176" s="18">
        <v>7</v>
      </c>
      <c r="T176" s="4">
        <f>DATE(AI$2,$Q176,1+(($R176-($S176&gt;=WEEKDAY(DATE(AI$2,$Q176,1))))*7)+($S176-WEEKDAY(DATE(AI$2,$Q176,1))))</f>
        <v>45843</v>
      </c>
      <c r="U176" s="4">
        <f>DATE(AJ$2,$Q176,1+(($R176-($S176&gt;=WEEKDAY(DATE(AJ$2,$Q176,1))))*7)+($S176-WEEKDAY(DATE(AJ$2,$Q176,1))))</f>
        <v>46207</v>
      </c>
      <c r="V176" s="20">
        <v>-7</v>
      </c>
      <c r="W176" s="20">
        <v>1</v>
      </c>
      <c r="X176" s="4">
        <f ca="1">Y176-(W176-1)</f>
        <v>45836</v>
      </c>
      <c r="Y176" s="5">
        <f ca="1">IF(OR(T176+V176&lt;(NOW()-0.5),ISNUMBER(SEARCH("&lt;h4&gt;",K176))),U176+V176,T176+V176)</f>
        <v>45836</v>
      </c>
      <c r="Z176" t="str">
        <f ca="1">CONCATENATE(IF(OR(Y176=X176,ISBLANK(Y176)),TEXT(X176,"mmmm d"),CONCATENATE(TEXT(X176,"mmmm d"),"-",IF(TEXT(X176,"mmmm")=TEXT(Y176,"mmmm"),TEXT(Y176,"d"),TEXT(Y176,"mmmm d")))),", ",YEAR(Y176))</f>
        <v>June 28, 2025</v>
      </c>
      <c r="AA176" s="7">
        <f>O176</f>
        <v>45432</v>
      </c>
      <c r="AB176" s="14">
        <f>T176+V176-(W176-1)</f>
        <v>45836</v>
      </c>
      <c r="AC176" t="s">
        <v>1309</v>
      </c>
      <c r="AD176" s="23" t="str">
        <f ca="1">CONCATENATE("&lt;add-to-calendar-button  name=",CHAR(34),H176,CHAR(34),
IF(ISBLANK(M176),"",CONCATENATE("   location=",CHAR(34),RIGHT(M176,LEN(M176)-SEARCH("|",M176)-1),CHAR(34))),
"   description=",CHAR(34),IF(ISBLANK(I176),"",CONCATENATE(I176,"; ")),"shapenotesingings.com",CHAR(34),
"   options=",CHAR(34),"'Apple','Google','iCal','Outlook.com'",CHAR(34),"   styleLight=",CHAR(34),"--btn-background: #550000; --btn-text: #fff; --btn-shadow:#fff;",CHAR(34),
IF(W176=1,CONCATENATE(
"startDate=",CHAR(34),TEXT(G176,"yyyy-mm-dd"),CHAR(34),
"{endDate=",CHAR(34),TEXT(G176,"yyyy-mm-dd"),CHAR(34),
IF(OR(ISBLANK(AE176),ISBLANK(AF176)),"",(CONCATENATE(" startTime=",CHAR(34),TEXT(AE176,"hh:mm"),CHAR(34)," endTime=",CHAR(34),TEXT(AF176,"h:mm"),CHAR(34),
" timeZone=",CHAR(34),AG176,CHAR(34))))),
IF(W176=2,CONCATENATE(" dates='[{",
CHAR(34),"startDate",CHAR(34),":",CHAR(34),TEXT(G176,"yyyy-mm-dd"),CHAR(34),", ",
,CHAR(34),"endDate",CHAR(34),":",CHAR(34),TEXT(G176,"yyyy-mm-dd"),CHAR(34),
IF(OR(ISBLANK(AE176),ISBLANK(AF176)),"",(CONCATENATE(", ",CHAR(34),"startTime",CHAR(34),":",CHAR(34),TEXT(AE176,"hh:mm"),CHAR(34),", ",CHAR(34),"endTime",CHAR(34),":",CHAR(34),TEXT(AF176,"hh:mm"),CHAR(34),", ",CHAR(34),"timeZone",CHAR(34),":",CHAR(34),AG176,CHAR(34)))),"}, {",
,CHAR(34),"startDate",CHAR(34),":",CHAR(34),TEXT(G176+1,"yyyy-mm-dd"),CHAR(34),", ",
,CHAR(34),"endDate",CHAR(34),":",CHAR(34),TEXT(G176+W176-1,"yyyy-mm-dd"),CHAR(34),
IF(OR(ISBLANK(AE176),ISBLANK(AF176)),"",(CONCATENATE(", ",CHAR(34),"startTime",CHAR(34),":",CHAR(34),TEXT(AE176,"hh:mm"),CHAR(34),", ",CHAR(34),"endTime",CHAR(34),":",CHAR(34),TEXT(AF176,"hh:mm"),CHAR(34),", ",CHAR(34),"timeZone",CHAR(34),":",CHAR(34),AG176,CHAR(34)))),"}]'"),
CONCATENATE(
"{  startDate=",CHAR(34),TEXT(G176,"yyyy-mm-dd"),CHAR(34),
"  endDate=",CHAR(34),TEXT(G176+W176-1,"yyyy-mm-dd"),CHAR(34),"}"))),
" &gt;&lt;/add-to-calendar-button&gt;")</f>
        <v>&lt;add-to-calendar-button  name="Quilcene All Day Singing"   location="Old Quilcene Theater, 11 Old Church Rd, Quilcene, WA 98376"   description="10am-3:30pm; shapenotesingings.com"   options="'Apple','Google','iCal','Outlook.com'"   styleLight="--btn-background: #550000; --btn-text: #fff; --btn-shadow:#fff;"startDate="2025-06-28"{endDate="2025-06-28" startTime="10:00" endTime="15:30" timeZone="America/Los_Angeles" &gt;&lt;/add-to-calendar-button&gt;</v>
      </c>
      <c r="AE176" s="24">
        <v>0.41666666666666669</v>
      </c>
      <c r="AF176" s="24">
        <v>0.64583333333333337</v>
      </c>
      <c r="AG176" s="25" t="s">
        <v>1534</v>
      </c>
    </row>
    <row r="177" spans="1:33" x14ac:dyDescent="0.3">
      <c r="A177" t="s">
        <v>8</v>
      </c>
      <c r="B177" t="s">
        <v>17</v>
      </c>
      <c r="C177" t="s">
        <v>1140</v>
      </c>
      <c r="D177" t="s">
        <v>108</v>
      </c>
      <c r="E177" t="s">
        <v>2178</v>
      </c>
      <c r="F177" t="str">
        <f ca="1">CONCATENATE(TEXT(G177,"mmm"),", 5th Sun &amp; Sat before")</f>
        <v>Jun, 5th Sun &amp; Sat before</v>
      </c>
      <c r="G177" s="7">
        <f ca="1">X177</f>
        <v>45836</v>
      </c>
      <c r="H177" s="5" t="s">
        <v>107</v>
      </c>
      <c r="I177" t="s">
        <v>1028</v>
      </c>
      <c r="J177" s="36" t="s">
        <v>2745</v>
      </c>
      <c r="K177" s="34" t="s">
        <v>2314</v>
      </c>
      <c r="L177" t="s">
        <v>2930</v>
      </c>
      <c r="M177" s="16" t="s">
        <v>814</v>
      </c>
      <c r="N177" s="16" t="s">
        <v>815</v>
      </c>
      <c r="O177" s="7">
        <v>45567</v>
      </c>
      <c r="P177" s="7" t="s">
        <v>2348</v>
      </c>
      <c r="Q177" s="18">
        <f>MONTH(T177)</f>
        <v>6</v>
      </c>
      <c r="T177" s="31">
        <f>$AI$15</f>
        <v>45837</v>
      </c>
      <c r="U177" s="31">
        <f>_xlfn.MINIFS(AJ$10:AJ$22,AJ$10:AJ$22,"&gt;"&amp;DATE(AJ$2,9,1))</f>
        <v>46355</v>
      </c>
      <c r="V177" s="20">
        <v>0</v>
      </c>
      <c r="W177" s="20">
        <v>2</v>
      </c>
      <c r="X177" s="4">
        <f ca="1">Y177-(W177-1)</f>
        <v>45836</v>
      </c>
      <c r="Y177" s="5">
        <f ca="1">IF(OR(T177+V177&lt;(NOW()-0.5),ISNUMBER(SEARCH("&lt;h4&gt;",K177))),U177+V177,T177+V177)</f>
        <v>45837</v>
      </c>
      <c r="Z177" t="str">
        <f ca="1">CONCATENATE(IF(OR(Y177=X177,ISBLANK(Y177)),TEXT(X177,"mmmm d"),CONCATENATE(TEXT(X177,"mmmm d"),"-",IF(TEXT(X177,"mmmm")=TEXT(Y177,"mmmm"),TEXT(Y177,"d"),TEXT(Y177,"mmmm d")))),", ",YEAR(Y177))</f>
        <v>June 28-29, 2025</v>
      </c>
      <c r="AA177" s="7">
        <f>O177</f>
        <v>45567</v>
      </c>
      <c r="AB177" s="14">
        <f>T177+V177-(W177-1)</f>
        <v>45836</v>
      </c>
      <c r="AC177" t="s">
        <v>1194</v>
      </c>
      <c r="AD177" s="23" t="str">
        <f ca="1">CONCATENATE("&lt;add-to-calendar-button  name=",CHAR(34),H177,CHAR(34),
IF(ISBLANK(M177),"",CONCATENATE("   location=",CHAR(34),RIGHT(M177,LEN(M177)-SEARCH("|",M177)-1),CHAR(34))),
"   description=",CHAR(34),IF(ISBLANK(I177),"",CONCATENATE(I177,"; ")),"shapenotesingings.com",CHAR(34),
"   options=",CHAR(34),"'Apple','Google','iCal','Outlook.com'",CHAR(34),"   styleLight=",CHAR(34),"--btn-background: #550000; --btn-text: #fff; --btn-shadow:#fff;",CHAR(34),
IF(W177=1,CONCATENATE(
"startDate=",CHAR(34),TEXT(G177,"yyyy-mm-dd"),CHAR(34),
"{endDate=",CHAR(34),TEXT(G177,"yyyy-mm-dd"),CHAR(34),
IF(OR(ISBLANK(AE177),ISBLANK(AF177)),"",(CONCATENATE(" startTime=",CHAR(34),TEXT(AE177,"hh:mm"),CHAR(34)," endTime=",CHAR(34),TEXT(AF177,"h:mm"),CHAR(34),
" timeZone=",CHAR(34),AG177,CHAR(34))))),
IF(W177=2,CONCATENATE(" dates='[{",
CHAR(34),"startDate",CHAR(34),":",CHAR(34),TEXT(G177,"yyyy-mm-dd"),CHAR(34),", ",
,CHAR(34),"endDate",CHAR(34),":",CHAR(34),TEXT(G177,"yyyy-mm-dd"),CHAR(34),
IF(OR(ISBLANK(AE177),ISBLANK(AF177)),"",(CONCATENATE(", ",CHAR(34),"startTime",CHAR(34),":",CHAR(34),TEXT(AE177,"hh:mm"),CHAR(34),", ",CHAR(34),"endTime",CHAR(34),":",CHAR(34),TEXT(AF177,"hh:mm"),CHAR(34),", ",CHAR(34),"timeZone",CHAR(34),":",CHAR(34),AG177,CHAR(34)))),"}, {",
,CHAR(34),"startDate",CHAR(34),":",CHAR(34),TEXT(G177+1,"yyyy-mm-dd"),CHAR(34),", ",
,CHAR(34),"endDate",CHAR(34),":",CHAR(34),TEXT(G177+W177-1,"yyyy-mm-dd"),CHAR(34),
IF(OR(ISBLANK(AE177),ISBLANK(AF177)),"",(CONCATENATE(", ",CHAR(34),"startTime",CHAR(34),":",CHAR(34),TEXT(AE177,"hh:mm"),CHAR(34),", ",CHAR(34),"endTime",CHAR(34),":",CHAR(34),TEXT(AF177,"hh:mm"),CHAR(34),", ",CHAR(34),"timeZone",CHAR(34),":",CHAR(34),AG177,CHAR(34)))),"}]'"),
CONCATENATE(
"{  startDate=",CHAR(34),TEXT(G177,"yyyy-mm-dd"),CHAR(34),
"  endDate=",CHAR(34),TEXT(G177+W177-1,"yyyy-mm-dd"),CHAR(34),"}"))),
" &gt;&lt;/add-to-calendar-button&gt;")</f>
        <v>&lt;add-to-calendar-button  name="Union Musical Sacred Harp Convention"   location="Sweetwater Memorial Chapel, 1000 Pleasant Hill Rd, Lawrenceville, GA 30044"   description="10am; shapenotesingings.com"   options="'Apple','Google','iCal','Outlook.com'"   styleLight="--btn-background: #550000; --btn-text: #fff; --btn-shadow:#fff;" dates='[{"startDate":"2025-06-28", "endDate":"2025-06-28", "startTime":"10:00", "endTime":"15:00", "timeZone":"America/New_York"}, {"startDate":"2025-06-29", "endDate":"2025-06-29", "startTime":"10:00", "endTime":"15:00", "timeZone":"America/New_York"}]' &gt;&lt;/add-to-calendar-button&gt;</v>
      </c>
      <c r="AE177" s="24">
        <v>0.41666666666666669</v>
      </c>
      <c r="AF177" s="24">
        <v>0.625</v>
      </c>
      <c r="AG177" s="25" t="s">
        <v>1532</v>
      </c>
    </row>
    <row r="178" spans="1:33" x14ac:dyDescent="0.3">
      <c r="A178" t="s">
        <v>8</v>
      </c>
      <c r="B178" t="s">
        <v>176</v>
      </c>
      <c r="C178" t="s">
        <v>1157</v>
      </c>
      <c r="D178" t="s">
        <v>2134</v>
      </c>
      <c r="E178" t="s">
        <v>1845</v>
      </c>
      <c r="F178" t="str">
        <f ca="1">CONCATENATE(TEXT(G178,"mmm"),", Sat before 5th Sun")</f>
        <v>Jun, Sat before 5th Sun</v>
      </c>
      <c r="G178" s="7">
        <f ca="1">X178</f>
        <v>45836</v>
      </c>
      <c r="H178" s="5" t="s">
        <v>2135</v>
      </c>
      <c r="I178" t="s">
        <v>1039</v>
      </c>
      <c r="J178" s="36" t="s">
        <v>2604</v>
      </c>
      <c r="K178" t="s">
        <v>2939</v>
      </c>
      <c r="L178" t="s">
        <v>2136</v>
      </c>
      <c r="M178" s="16" t="s">
        <v>2494</v>
      </c>
      <c r="N178" s="16" t="s">
        <v>2495</v>
      </c>
      <c r="O178" s="7">
        <v>45764</v>
      </c>
      <c r="P178" s="7" t="s">
        <v>2938</v>
      </c>
      <c r="Q178" s="18">
        <v>7</v>
      </c>
      <c r="R178" s="18">
        <v>2</v>
      </c>
      <c r="S178" s="18">
        <v>1</v>
      </c>
      <c r="T178" s="4">
        <f>AI24</f>
        <v>45837</v>
      </c>
      <c r="U178" s="4">
        <f>AJ24</f>
        <v>46173</v>
      </c>
      <c r="V178" s="20">
        <v>-1</v>
      </c>
      <c r="W178" s="20">
        <v>1</v>
      </c>
      <c r="X178" s="4">
        <f ca="1">Y178-(W178-1)</f>
        <v>45836</v>
      </c>
      <c r="Y178" s="5">
        <f ca="1">IF(OR(T178+V178&lt;(NOW()-0.5),ISNUMBER(SEARCH("&lt;h4&gt;",K178))),U178+V178,T178+V178)</f>
        <v>45836</v>
      </c>
      <c r="Z178" t="str">
        <f ca="1">CONCATENATE(IF(OR(Y178=X178,ISBLANK(Y178)),TEXT(X178,"mmmm d"),CONCATENATE(TEXT(X178,"mmmm d"),"-",IF(TEXT(X178,"mmmm")=TEXT(Y178,"mmmm"),TEXT(Y178,"d"),TEXT(Y178,"mmmm d")))),", ",YEAR(Y178))</f>
        <v>June 28, 2025</v>
      </c>
      <c r="AA178" s="7">
        <f>O178</f>
        <v>45764</v>
      </c>
      <c r="AB178" s="14">
        <f>T178+V178-(W178-1)</f>
        <v>45836</v>
      </c>
      <c r="AC178" t="s">
        <v>2496</v>
      </c>
      <c r="AD178" s="23" t="str">
        <f ca="1">CONCATENATE("&lt;add-to-calendar-button  name=",CHAR(34),H178,CHAR(34),
IF(ISBLANK(M178),"",CONCATENATE("   location=",CHAR(34),RIGHT(M178,LEN(M178)-SEARCH("|",M178)-1),CHAR(34))),
"   description=",CHAR(34),IF(ISBLANK(I178),"",CONCATENATE(I178,"; ")),"shapenotesingings.com",CHAR(34),
"   options=",CHAR(34),"'Apple','Google','iCal','Outlook.com'",CHAR(34),"   styleLight=",CHAR(34),"--btn-background: #550000; --btn-text: #fff; --btn-shadow:#fff;",CHAR(34),
IF(W178=1,CONCATENATE(
"startDate=",CHAR(34),TEXT(G178,"yyyy-mm-dd"),CHAR(34),
"{endDate=",CHAR(34),TEXT(G178,"yyyy-mm-dd"),CHAR(34),
IF(OR(ISBLANK(AE178),ISBLANK(AF178)),"",(CONCATENATE(" startTime=",CHAR(34),TEXT(AE178,"hh:mm"),CHAR(34)," endTime=",CHAR(34),TEXT(AF178,"h:mm"),CHAR(34),
" timeZone=",CHAR(34),AG178,CHAR(34))))),
IF(W178=2,CONCATENATE(" dates='[{",
CHAR(34),"startDate",CHAR(34),":",CHAR(34),TEXT(G178,"yyyy-mm-dd"),CHAR(34),", ",
,CHAR(34),"endDate",CHAR(34),":",CHAR(34),TEXT(G178,"yyyy-mm-dd"),CHAR(34),
IF(OR(ISBLANK(AE178),ISBLANK(AF178)),"",(CONCATENATE(", ",CHAR(34),"startTime",CHAR(34),":",CHAR(34),TEXT(AE178,"hh:mm"),CHAR(34),", ",CHAR(34),"endTime",CHAR(34),":",CHAR(34),TEXT(AF178,"hh:mm"),CHAR(34),", ",CHAR(34),"timeZone",CHAR(34),":",CHAR(34),AG178,CHAR(34)))),"}, {",
,CHAR(34),"startDate",CHAR(34),":",CHAR(34),TEXT(G178+1,"yyyy-mm-dd"),CHAR(34),", ",
,CHAR(34),"endDate",CHAR(34),":",CHAR(34),TEXT(G178+W178-1,"yyyy-mm-dd"),CHAR(34),
IF(OR(ISBLANK(AE178),ISBLANK(AF178)),"",(CONCATENATE(", ",CHAR(34),"startTime",CHAR(34),":",CHAR(34),TEXT(AE178,"hh:mm"),CHAR(34),", ",CHAR(34),"endTime",CHAR(34),":",CHAR(34),TEXT(AF178,"hh:mm"),CHAR(34),", ",CHAR(34),"timeZone",CHAR(34),":",CHAR(34),AG178,CHAR(34)))),"}]'"),
CONCATENATE(
"{  startDate=",CHAR(34),TEXT(G178,"yyyy-mm-dd"),CHAR(34),
"  endDate=",CHAR(34),TEXT(G178+W178-1,"yyyy-mm-dd"),CHAR(34),"}"))),
" &gt;&lt;/add-to-calendar-button&gt;")</f>
        <v>&lt;add-to-calendar-button  name="Singing in the Poconos"   location="Paradise Falls Lutheran Church, 146 Primrose Dr, Cresco PA 18326"   description="10am-3:30pm; shapenotesingings.com"   options="'Apple','Google','iCal','Outlook.com'"   styleLight="--btn-background: #550000; --btn-text: #fff; --btn-shadow:#fff;"startDate="2025-06-28"{endDate="2025-06-28" startTime="10:00" endTime="15:30" timeZone="America/New_York" &gt;&lt;/add-to-calendar-button&gt;</v>
      </c>
      <c r="AE178" s="24">
        <v>0.41666666666666669</v>
      </c>
      <c r="AF178" s="24">
        <v>0.64583333333333337</v>
      </c>
      <c r="AG178" s="25" t="s">
        <v>1532</v>
      </c>
    </row>
    <row r="179" spans="1:33" x14ac:dyDescent="0.3">
      <c r="A179" t="s">
        <v>8</v>
      </c>
      <c r="B179" t="s">
        <v>102</v>
      </c>
      <c r="C179" t="s">
        <v>1064</v>
      </c>
      <c r="D179" t="s">
        <v>2521</v>
      </c>
      <c r="E179" t="s">
        <v>34</v>
      </c>
      <c r="F179" t="str">
        <f ca="1">CONCATENATE(TEXT(G179,"mmm"),", Every 5th Sunday")</f>
        <v>Jun, Every 5th Sunday</v>
      </c>
      <c r="G179" s="7">
        <f ca="1">X179</f>
        <v>45837</v>
      </c>
      <c r="H179" s="5" t="s">
        <v>103</v>
      </c>
      <c r="I179" t="s">
        <v>1030</v>
      </c>
      <c r="K179" t="s">
        <v>1031</v>
      </c>
      <c r="L179" t="s">
        <v>2234</v>
      </c>
      <c r="M179" s="16" t="s">
        <v>2519</v>
      </c>
      <c r="N179" s="16" t="s">
        <v>2520</v>
      </c>
      <c r="O179" s="7">
        <v>44936</v>
      </c>
      <c r="P179" s="7" t="s">
        <v>926</v>
      </c>
      <c r="Q179" s="18">
        <f>MONTH(T179)</f>
        <v>6</v>
      </c>
      <c r="T179" s="4">
        <f>AI$24</f>
        <v>45837</v>
      </c>
      <c r="U179" s="4">
        <f>AJ$24</f>
        <v>46173</v>
      </c>
      <c r="V179" s="20">
        <v>0</v>
      </c>
      <c r="W179" s="20">
        <v>1</v>
      </c>
      <c r="X179" s="4">
        <f ca="1">Y179-(W179-1)</f>
        <v>45837</v>
      </c>
      <c r="Y179" s="5">
        <f ca="1">IF(OR(T179+V179&lt;(NOW()-0.5),ISNUMBER(SEARCH("&lt;h4&gt;",K179))),U179+V179,T179+V179)</f>
        <v>45837</v>
      </c>
      <c r="Z179" t="str">
        <f ca="1">CONCATENATE(IF(OR(Y179=X179,ISBLANK(Y179)),TEXT(X179,"mmmm d"),CONCATENATE(TEXT(X179,"mmmm d"),"-",IF(TEXT(X179,"mmmm")=TEXT(Y179,"mmmm"),TEXT(Y179,"d"),TEXT(Y179,"mmmm d")))),", ",YEAR(Y179))</f>
        <v>June 29, 2025</v>
      </c>
      <c r="AA179" s="7">
        <f>O179</f>
        <v>44936</v>
      </c>
      <c r="AB179" s="14">
        <f>T179+V179-(W179-1)</f>
        <v>45837</v>
      </c>
      <c r="AC179" t="s">
        <v>1259</v>
      </c>
      <c r="AD179" s="23" t="str">
        <f ca="1">CONCATENATE("&lt;add-to-calendar-button  name=",CHAR(34),H179,CHAR(34),
IF(ISBLANK(M179),"",CONCATENATE("   location=",CHAR(34),RIGHT(M179,LEN(M179)-SEARCH("|",M179)-1),CHAR(34))),
"   description=",CHAR(34),IF(ISBLANK(I179),"",CONCATENATE(I179,"; ")),"shapenotesingings.com",CHAR(34),
"   options=",CHAR(34),"'Apple','Google','iCal','Outlook.com'",CHAR(34),"   styleLight=",CHAR(34),"--btn-background: #550000; --btn-text: #fff; --btn-shadow:#fff;",CHAR(34),
IF(W179=1,CONCATENATE(
"startDate=",CHAR(34),TEXT(G179,"yyyy-mm-dd"),CHAR(34),
"{endDate=",CHAR(34),TEXT(G179,"yyyy-mm-dd"),CHAR(34),
IF(OR(ISBLANK(AE179),ISBLANK(AF179)),"",(CONCATENATE(" startTime=",CHAR(34),TEXT(AE179,"hh:mm"),CHAR(34)," endTime=",CHAR(34),TEXT(AF179,"h:mm"),CHAR(34),
" timeZone=",CHAR(34),AG179,CHAR(34))))),
IF(W179=2,CONCATENATE(" dates='[{",
CHAR(34),"startDate",CHAR(34),":",CHAR(34),TEXT(G179,"yyyy-mm-dd"),CHAR(34),", ",
,CHAR(34),"endDate",CHAR(34),":",CHAR(34),TEXT(G179,"yyyy-mm-dd"),CHAR(34),
IF(OR(ISBLANK(AE179),ISBLANK(AF179)),"",(CONCATENATE(", ",CHAR(34),"startTime",CHAR(34),":",CHAR(34),TEXT(AE179,"hh:mm"),CHAR(34),", ",CHAR(34),"endTime",CHAR(34),":",CHAR(34),TEXT(AF179,"hh:mm"),CHAR(34),", ",CHAR(34),"timeZone",CHAR(34),":",CHAR(34),AG179,CHAR(34)))),"}, {",
,CHAR(34),"startDate",CHAR(34),":",CHAR(34),TEXT(G179+1,"yyyy-mm-dd"),CHAR(34),", ",
,CHAR(34),"endDate",CHAR(34),":",CHAR(34),TEXT(G179+W179-1,"yyyy-mm-dd"),CHAR(34),
IF(OR(ISBLANK(AE179),ISBLANK(AF179)),"",(CONCATENATE(", ",CHAR(34),"startTime",CHAR(34),":",CHAR(34),TEXT(AE179,"hh:mm"),CHAR(34),", ",CHAR(34),"endTime",CHAR(34),":",CHAR(34),TEXT(AF179,"hh:mm"),CHAR(34),", ",CHAR(34),"timeZone",CHAR(34),":",CHAR(34),AG179,CHAR(34)))),"}]'"),
CONCATENATE(
"{  startDate=",CHAR(34),TEXT(G179,"yyyy-mm-dd"),CHAR(34),
"  endDate=",CHAR(34),TEXT(G179+W179-1,"yyyy-mm-dd"),CHAR(34),"}"))),
" &gt;&lt;/add-to-calendar-button&gt;")</f>
        <v>&lt;add-to-calendar-button  name="Bethlehem PBC 5th Sunday Singing"   location="Bethlehem Primitive Baptist Church, 17385 Bethlehem Rd, Mulberry, FL 33547"   description="10:00am; shapenotesingings.com"   options="'Apple','Google','iCal','Outlook.com'"   styleLight="--btn-background: #550000; --btn-text: #fff; --btn-shadow:#fff;"startDate="2025-06-29"{endDate="2025-06-29" &gt;&lt;/add-to-calendar-button&gt;</v>
      </c>
      <c r="AG179" s="25" t="s">
        <v>1532</v>
      </c>
    </row>
    <row r="180" spans="1:33" x14ac:dyDescent="0.3">
      <c r="A180" t="s">
        <v>8</v>
      </c>
      <c r="B180" t="s">
        <v>11</v>
      </c>
      <c r="C180" t="s">
        <v>1134</v>
      </c>
      <c r="D180" t="s">
        <v>1628</v>
      </c>
      <c r="E180" t="s">
        <v>2178</v>
      </c>
      <c r="F180" t="s">
        <v>2447</v>
      </c>
      <c r="G180" s="7">
        <f ca="1">X180</f>
        <v>45838</v>
      </c>
      <c r="H180" s="5" t="s">
        <v>1627</v>
      </c>
      <c r="I180" t="s">
        <v>1028</v>
      </c>
      <c r="J180" s="36" t="s">
        <v>2746</v>
      </c>
      <c r="K180" t="s">
        <v>1632</v>
      </c>
      <c r="L180" t="s">
        <v>2115</v>
      </c>
      <c r="M180" s="16" t="s">
        <v>1629</v>
      </c>
      <c r="N180" s="16" t="s">
        <v>1630</v>
      </c>
      <c r="O180" s="7">
        <v>45084</v>
      </c>
      <c r="P180" s="7" t="s">
        <v>1997</v>
      </c>
      <c r="Q180" s="18">
        <v>7</v>
      </c>
      <c r="R180" s="18">
        <v>1</v>
      </c>
      <c r="S180" s="18">
        <v>2</v>
      </c>
      <c r="T180" s="33">
        <f>T181-6</f>
        <v>45838</v>
      </c>
      <c r="U180" s="33">
        <f>U181-6</f>
        <v>46202</v>
      </c>
      <c r="V180" s="20">
        <v>0</v>
      </c>
      <c r="W180" s="20">
        <v>1</v>
      </c>
      <c r="X180" s="4">
        <f ca="1">Y180-(W180-1)</f>
        <v>45838</v>
      </c>
      <c r="Y180" s="5">
        <f ca="1">IF(OR(T180+V180&lt;(NOW()-0.5),ISNUMBER(SEARCH("&lt;h4&gt;",K180))),U180+V180,T180+V180)</f>
        <v>45838</v>
      </c>
      <c r="Z180" t="str">
        <f ca="1">CONCATENATE(IF(OR(Y180=X180,ISBLANK(Y180)),TEXT(X180,"mmmm d"),CONCATENATE(TEXT(X180,"mmmm d"),"-",IF(TEXT(X180,"mmmm")=TEXT(Y180,"mmmm"),TEXT(Y180,"d"),TEXT(Y180,"mmmm d")))),", ",YEAR(Y180))</f>
        <v>June 30, 2025</v>
      </c>
      <c r="AA180" s="7">
        <f>O180</f>
        <v>45084</v>
      </c>
      <c r="AB180" s="14">
        <f>T180+V180-(W180-1)</f>
        <v>45838</v>
      </c>
      <c r="AC180" t="s">
        <v>1631</v>
      </c>
      <c r="AD180" s="23" t="str">
        <f ca="1">CONCATENATE("&lt;add-to-calendar-button  name=",CHAR(34),H180,CHAR(34),
IF(ISBLANK(M180),"",CONCATENATE("   location=",CHAR(34),RIGHT(M180,LEN(M180)-SEARCH("|",M180)-1),CHAR(34))),
"   description=",CHAR(34),IF(ISBLANK(I180),"",CONCATENATE(I180,"; ")),"shapenotesingings.com",CHAR(34),
"   options=",CHAR(34),"'Apple','Google','iCal','Outlook.com'",CHAR(34),"   styleLight=",CHAR(34),"--btn-background: #550000; --btn-text: #fff; --btn-shadow:#fff;",CHAR(34),
IF(W180=1,CONCATENATE(
"startDate=",CHAR(34),TEXT(G180,"yyyy-mm-dd"),CHAR(34),
"{endDate=",CHAR(34),TEXT(G180,"yyyy-mm-dd"),CHAR(34),
IF(OR(ISBLANK(AE180),ISBLANK(AF180)),"",(CONCATENATE(" startTime=",CHAR(34),TEXT(AE180,"hh:mm"),CHAR(34)," endTime=",CHAR(34),TEXT(AF180,"h:mm"),CHAR(34),
" timeZone=",CHAR(34),AG180,CHAR(34))))),
IF(W180=2,CONCATENATE(" dates='[{",
CHAR(34),"startDate",CHAR(34),":",CHAR(34),TEXT(G180,"yyyy-mm-dd"),CHAR(34),", ",
,CHAR(34),"endDate",CHAR(34),":",CHAR(34),TEXT(G180,"yyyy-mm-dd"),CHAR(34),
IF(OR(ISBLANK(AE180),ISBLANK(AF180)),"",(CONCATENATE(", ",CHAR(34),"startTime",CHAR(34),":",CHAR(34),TEXT(AE180,"hh:mm"),CHAR(34),", ",CHAR(34),"endTime",CHAR(34),":",CHAR(34),TEXT(AF180,"hh:mm"),CHAR(34),", ",CHAR(34),"timeZone",CHAR(34),":",CHAR(34),AG180,CHAR(34)))),"}, {",
,CHAR(34),"startDate",CHAR(34),":",CHAR(34),TEXT(G180+1,"yyyy-mm-dd"),CHAR(34),", ",
,CHAR(34),"endDate",CHAR(34),":",CHAR(34),TEXT(G180+W180-1,"yyyy-mm-dd"),CHAR(34),
IF(OR(ISBLANK(AE180),ISBLANK(AF180)),"",(CONCATENATE(", ",CHAR(34),"startTime",CHAR(34),":",CHAR(34),TEXT(AE180,"hh:mm"),CHAR(34),", ",CHAR(34),"endTime",CHAR(34),":",CHAR(34),TEXT(AF180,"hh:mm"),CHAR(34),", ",CHAR(34),"timeZone",CHAR(34),":",CHAR(34),AG180,CHAR(34)))),"}]'"),
CONCATENATE(
"{  startDate=",CHAR(34),TEXT(G180,"yyyy-mm-dd"),CHAR(34),
"  endDate=",CHAR(34),TEXT(G180+W180-1,"yyyy-mm-dd"),CHAR(34),"}"))),
" &gt;&lt;/add-to-calendar-button&gt;")</f>
        <v>&lt;add-to-calendar-button  name="Independence Day Singing"   location="Union Methodist Church, 5485 Alexandria-Wellington Rd, Wellington, AL 36279"   description="10am; shapenotesingings.com"   options="'Apple','Google','iCal','Outlook.com'"   styleLight="--btn-background: #550000; --btn-text: #fff; --btn-shadow:#fff;"startDate="2025-06-30"{endDate="2025-06-30" startTime="10:00" endTime="15:00" timeZone="America/Chicago" &gt;&lt;/add-to-calendar-button&gt;</v>
      </c>
      <c r="AE180" s="24">
        <v>0.41666666666666669</v>
      </c>
      <c r="AF180" s="24">
        <v>0.625</v>
      </c>
      <c r="AG180" s="25" t="s">
        <v>1533</v>
      </c>
    </row>
    <row r="181" spans="1:33" x14ac:dyDescent="0.3">
      <c r="A181" t="s">
        <v>8</v>
      </c>
      <c r="B181" t="s">
        <v>11</v>
      </c>
      <c r="C181" t="s">
        <v>1134</v>
      </c>
      <c r="D181" t="s">
        <v>1570</v>
      </c>
      <c r="E181" t="s">
        <v>2178</v>
      </c>
      <c r="F181" t="s">
        <v>867</v>
      </c>
      <c r="G181" s="7">
        <f ca="1">X181</f>
        <v>45838</v>
      </c>
      <c r="H181" s="5" t="s">
        <v>866</v>
      </c>
      <c r="L181" t="s">
        <v>1737</v>
      </c>
      <c r="M181" s="16" t="s">
        <v>1568</v>
      </c>
      <c r="N181" s="16" t="s">
        <v>1569</v>
      </c>
      <c r="O181" s="7">
        <v>45572</v>
      </c>
      <c r="P181" s="7" t="s">
        <v>2316</v>
      </c>
      <c r="Q181" s="18">
        <v>7</v>
      </c>
      <c r="R181" s="18">
        <v>1</v>
      </c>
      <c r="S181" s="18">
        <v>1</v>
      </c>
      <c r="T181" s="4">
        <f>DATE(AI$2,$Q181,1+(($R181-($S181&gt;=WEEKDAY(DATE(AI$2,$Q181,1))))*7)+($S181-WEEKDAY(DATE(AI$2,$Q181,1))))</f>
        <v>45844</v>
      </c>
      <c r="U181" s="4">
        <f>DATE(AJ$2,$Q181,1+(($R181-($S181&gt;=WEEKDAY(DATE(AJ$2,$Q181,1))))*7)+($S181-WEEKDAY(DATE(AJ$2,$Q181,1))))</f>
        <v>46208</v>
      </c>
      <c r="V181" s="20">
        <v>-2</v>
      </c>
      <c r="W181" s="20">
        <v>5</v>
      </c>
      <c r="X181" s="4">
        <f ca="1">Y181-(W181-1)</f>
        <v>45838</v>
      </c>
      <c r="Y181" s="5">
        <f ca="1">IF(OR(T181+V181&lt;(NOW()-0.5),ISNUMBER(SEARCH("&lt;h4&gt;",K181))),U181+V181,T181+V181)</f>
        <v>45842</v>
      </c>
      <c r="Z181" t="str">
        <f ca="1">CONCATENATE(IF(OR(Y181=X181,ISBLANK(Y181)),TEXT(X181,"mmmm d"),CONCATENATE(TEXT(X181,"mmmm d"),"-",IF(TEXT(X181,"mmmm")=TEXT(Y181,"mmmm"),TEXT(Y181,"d"),TEXT(Y181,"mmmm d")))),", ",YEAR(Y181))</f>
        <v>June 30-July 4, 2025</v>
      </c>
      <c r="AA181" s="7">
        <f>O181</f>
        <v>45572</v>
      </c>
      <c r="AB181" s="14">
        <f>T181+V181-(W181-1)</f>
        <v>45838</v>
      </c>
      <c r="AC181" t="s">
        <v>1571</v>
      </c>
      <c r="AD181" s="23" t="str">
        <f ca="1">CONCATENATE("&lt;add-to-calendar-button  name=",CHAR(34),H181,CHAR(34),
IF(ISBLANK(M181),"",CONCATENATE("   location=",CHAR(34),RIGHT(M181,LEN(M181)-SEARCH("|",M181)-1),CHAR(34))),
"   description=",CHAR(34),IF(ISBLANK(I181),"",CONCATENATE(I181,"; ")),"shapenotesingings.com",CHAR(34),
"   options=",CHAR(34),"'Apple','Google','iCal','Outlook.com'",CHAR(34),"   styleLight=",CHAR(34),"--btn-background: #550000; --btn-text: #fff; --btn-shadow:#fff;",CHAR(34),
IF(W181=1,CONCATENATE(
"startDate=",CHAR(34),TEXT(G181,"yyyy-mm-dd"),CHAR(34),
"{endDate=",CHAR(34),TEXT(G181,"yyyy-mm-dd"),CHAR(34),
IF(OR(ISBLANK(AE181),ISBLANK(AF181)),"",(CONCATENATE(" startTime=",CHAR(34),TEXT(AE181,"hh:mm"),CHAR(34)," endTime=",CHAR(34),TEXT(AF181,"h:mm"),CHAR(34),
" timeZone=",CHAR(34),AG181,CHAR(34))))),
IF(W181=2,CONCATENATE(" dates='[{",
CHAR(34),"startDate",CHAR(34),":",CHAR(34),TEXT(G181,"yyyy-mm-dd"),CHAR(34),", ",
,CHAR(34),"endDate",CHAR(34),":",CHAR(34),TEXT(G181,"yyyy-mm-dd"),CHAR(34),
IF(OR(ISBLANK(AE181),ISBLANK(AF181)),"",(CONCATENATE(", ",CHAR(34),"startTime",CHAR(34),":",CHAR(34),TEXT(AE181,"hh:mm"),CHAR(34),", ",CHAR(34),"endTime",CHAR(34),":",CHAR(34),TEXT(AF181,"hh:mm"),CHAR(34),", ",CHAR(34),"timeZone",CHAR(34),":",CHAR(34),AG181,CHAR(34)))),"}, {",
,CHAR(34),"startDate",CHAR(34),":",CHAR(34),TEXT(G181+1,"yyyy-mm-dd"),CHAR(34),", ",
,CHAR(34),"endDate",CHAR(34),":",CHAR(34),TEXT(G181+W181-1,"yyyy-mm-dd"),CHAR(34),
IF(OR(ISBLANK(AE181),ISBLANK(AF181)),"",(CONCATENATE(", ",CHAR(34),"startTime",CHAR(34),":",CHAR(34),TEXT(AE181,"hh:mm"),CHAR(34),", ",CHAR(34),"endTime",CHAR(34),":",CHAR(34),TEXT(AF181,"hh:mm"),CHAR(34),", ",CHAR(34),"timeZone",CHAR(34),":",CHAR(34),AG181,CHAR(34)))),"}]'"),
CONCATENATE(
"{  startDate=",CHAR(34),TEXT(G181,"yyyy-mm-dd"),CHAR(34),
"  endDate=",CHAR(34),TEXT(G181+W181-1,"yyyy-mm-dd"),CHAR(34),"}"))),
" &gt;&lt;/add-to-calendar-button&gt;")</f>
        <v>&lt;add-to-calendar-button  name="Camp FaSoLa"   location="Camp Lee, 70 Hidden Valley Rd, Anniston, AL 36207"   description="shapenotesingings.com"   options="'Apple','Google','iCal','Outlook.com'"   styleLight="--btn-background: #550000; --btn-text: #fff; --btn-shadow:#fff;"{  startDate="2025-06-30"  endDate="2025-07-04"} &gt;&lt;/add-to-calendar-button&gt;</v>
      </c>
      <c r="AG181" s="25" t="s">
        <v>1533</v>
      </c>
    </row>
    <row r="182" spans="1:33" x14ac:dyDescent="0.3">
      <c r="A182" t="s">
        <v>144</v>
      </c>
      <c r="B182" t="s">
        <v>144</v>
      </c>
      <c r="C182" t="s">
        <v>1162</v>
      </c>
      <c r="D182" t="s">
        <v>508</v>
      </c>
      <c r="E182" t="s">
        <v>2178</v>
      </c>
      <c r="F182" t="s">
        <v>507</v>
      </c>
      <c r="G182" s="7">
        <f ca="1">X182</f>
        <v>45843</v>
      </c>
      <c r="H182" s="5" t="s">
        <v>509</v>
      </c>
      <c r="I182" t="s">
        <v>1028</v>
      </c>
      <c r="J182" s="36" t="s">
        <v>2747</v>
      </c>
      <c r="L182" t="s">
        <v>952</v>
      </c>
      <c r="M182" s="16" t="s">
        <v>510</v>
      </c>
      <c r="N182" s="16" t="s">
        <v>511</v>
      </c>
      <c r="O182" s="7">
        <v>44927</v>
      </c>
      <c r="P182" s="7" t="s">
        <v>938</v>
      </c>
      <c r="Q182" s="18">
        <v>7</v>
      </c>
      <c r="R182" s="18">
        <v>1</v>
      </c>
      <c r="S182" s="18">
        <v>1</v>
      </c>
      <c r="T182" s="4">
        <f>DATE(AI$2,$Q182,1+(($R182-($S182&gt;=WEEKDAY(DATE(AI$2,$Q182,1))))*7)+($S182-WEEKDAY(DATE(AI$2,$Q182,1))))</f>
        <v>45844</v>
      </c>
      <c r="U182" s="4">
        <f>DATE(AJ$2,$Q182,1+(($R182-($S182&gt;=WEEKDAY(DATE(AJ$2,$Q182,1))))*7)+($S182-WEEKDAY(DATE(AJ$2,$Q182,1))))</f>
        <v>46208</v>
      </c>
      <c r="V182" s="20">
        <v>-1</v>
      </c>
      <c r="W182" s="20">
        <v>1</v>
      </c>
      <c r="X182" s="4">
        <f ca="1">Y182-(W182-1)</f>
        <v>45843</v>
      </c>
      <c r="Y182" s="5">
        <f ca="1">IF(OR(T182+V182&lt;(NOW()-0.5),ISNUMBER(SEARCH("&lt;h4&gt;",K182))),U182+V182,T182+V182)</f>
        <v>45843</v>
      </c>
      <c r="Z182" t="str">
        <f ca="1">CONCATENATE(IF(OR(Y182=X182,ISBLANK(Y182)),TEXT(X182,"mmmm d"),CONCATENATE(TEXT(X182,"mmmm d"),"-",IF(TEXT(X182,"mmmm")=TEXT(Y182,"mmmm"),TEXT(Y182,"d"),TEXT(Y182,"mmmm d")))),", ",YEAR(Y182))</f>
        <v>July 5, 2025</v>
      </c>
      <c r="AA182" s="7">
        <f>O182</f>
        <v>44927</v>
      </c>
      <c r="AB182" s="14">
        <f>T182+V182-(W182-1)</f>
        <v>45843</v>
      </c>
      <c r="AC182" t="s">
        <v>1311</v>
      </c>
      <c r="AD182" s="23" t="str">
        <f ca="1">CONCATENATE("&lt;add-to-calendar-button  name=",CHAR(34),H182,CHAR(34),
IF(ISBLANK(M182),"",CONCATENATE("   location=",CHAR(34),RIGHT(M182,LEN(M182)-SEARCH("|",M182)-1),CHAR(34))),
"   description=",CHAR(34),IF(ISBLANK(I182),"",CONCATENATE(I182,"; ")),"shapenotesingings.com",CHAR(34),
"   options=",CHAR(34),"'Apple','Google','iCal','Outlook.com'",CHAR(34),"   styleLight=",CHAR(34),"--btn-background: #550000; --btn-text: #fff; --btn-shadow:#fff;",CHAR(34),
IF(W182=1,CONCATENATE(
"startDate=",CHAR(34),TEXT(G182,"yyyy-mm-dd"),CHAR(34),
"{endDate=",CHAR(34),TEXT(G182,"yyyy-mm-dd"),CHAR(34),
IF(OR(ISBLANK(AE182),ISBLANK(AF182)),"",(CONCATENATE(" startTime=",CHAR(34),TEXT(AE182,"hh:mm"),CHAR(34)," endTime=",CHAR(34),TEXT(AF182,"h:mm"),CHAR(34),
" timeZone=",CHAR(34),AG182,CHAR(34))))),
IF(W182=2,CONCATENATE(" dates='[{",
CHAR(34),"startDate",CHAR(34),":",CHAR(34),TEXT(G182,"yyyy-mm-dd"),CHAR(34),", ",
,CHAR(34),"endDate",CHAR(34),":",CHAR(34),TEXT(G182,"yyyy-mm-dd"),CHAR(34),
IF(OR(ISBLANK(AE182),ISBLANK(AF182)),"",(CONCATENATE(", ",CHAR(34),"startTime",CHAR(34),":",CHAR(34),TEXT(AE182,"hh:mm"),CHAR(34),", ",CHAR(34),"endTime",CHAR(34),":",CHAR(34),TEXT(AF182,"hh:mm"),CHAR(34),", ",CHAR(34),"timeZone",CHAR(34),":",CHAR(34),AG182,CHAR(34)))),"}, {",
,CHAR(34),"startDate",CHAR(34),":",CHAR(34),TEXT(G182+1,"yyyy-mm-dd"),CHAR(34),", ",
,CHAR(34),"endDate",CHAR(34),":",CHAR(34),TEXT(G182+W182-1,"yyyy-mm-dd"),CHAR(34),
IF(OR(ISBLANK(AE182),ISBLANK(AF182)),"",(CONCATENATE(", ",CHAR(34),"startTime",CHAR(34),":",CHAR(34),TEXT(AE182,"hh:mm"),CHAR(34),", ",CHAR(34),"endTime",CHAR(34),":",CHAR(34),TEXT(AF182,"hh:mm"),CHAR(34),", ",CHAR(34),"timeZone",CHAR(34),":",CHAR(34),AG182,CHAR(34)))),"}]'"),
CONCATENATE(
"{  startDate=",CHAR(34),TEXT(G182,"yyyy-mm-dd"),CHAR(34),
"  endDate=",CHAR(34),TEXT(G182+W182-1,"yyyy-mm-dd"),CHAR(34),"}"))),
" &gt;&lt;/add-to-calendar-button&gt;")</f>
        <v>&lt;add-to-calendar-button  name="Lewes Sacred Harp Singing Day"   location="South Malling Parish Church, Church Lane Lewes, East Sussex, BN7 2JA, United Kingdom "   description="10am; shapenotesingings.com"   options="'Apple','Google','iCal','Outlook.com'"   styleLight="--btn-background: #550000; --btn-text: #fff; --btn-shadow:#fff;"startDate="2025-07-05"{endDate="2025-07-05" startTime="10:00" endTime="15:00" timeZone="Europe/London" &gt;&lt;/add-to-calendar-button&gt;</v>
      </c>
      <c r="AE182" s="24">
        <v>0.41666666666666669</v>
      </c>
      <c r="AF182" s="24">
        <v>0.625</v>
      </c>
      <c r="AG182" s="25" t="s">
        <v>1535</v>
      </c>
    </row>
    <row r="183" spans="1:33" x14ac:dyDescent="0.3">
      <c r="A183" t="s">
        <v>824</v>
      </c>
      <c r="B183" t="s">
        <v>825</v>
      </c>
      <c r="D183" t="s">
        <v>826</v>
      </c>
      <c r="E183" t="s">
        <v>2178</v>
      </c>
      <c r="F183" t="s">
        <v>507</v>
      </c>
      <c r="G183" s="7">
        <f ca="1">X183</f>
        <v>45843</v>
      </c>
      <c r="H183" s="5" t="s">
        <v>2050</v>
      </c>
      <c r="I183" t="s">
        <v>1101</v>
      </c>
      <c r="J183" s="36" t="s">
        <v>2749</v>
      </c>
      <c r="L183" t="s">
        <v>2051</v>
      </c>
      <c r="M183" s="16" t="s">
        <v>2052</v>
      </c>
      <c r="N183" s="16" t="s">
        <v>2053</v>
      </c>
      <c r="O183" s="7">
        <v>45421</v>
      </c>
      <c r="P183" s="7" t="s">
        <v>2054</v>
      </c>
      <c r="Q183" s="18">
        <v>7</v>
      </c>
      <c r="R183" s="18">
        <v>1</v>
      </c>
      <c r="S183" s="18">
        <v>1</v>
      </c>
      <c r="T183" s="4">
        <f>DATE(AI$2,$Q183,1+(($R183-($S183&gt;=WEEKDAY(DATE(AI$2,$Q183,1))))*7)+($S183-WEEKDAY(DATE(AI$2,$Q183,1))))</f>
        <v>45844</v>
      </c>
      <c r="U183" s="4">
        <f>DATE(AJ$2,$Q183,1+(($R183-($S183&gt;=WEEKDAY(DATE(AJ$2,$Q183,1))))*7)+($S183-WEEKDAY(DATE(AJ$2,$Q183,1))))</f>
        <v>46208</v>
      </c>
      <c r="V183" s="20">
        <v>-1</v>
      </c>
      <c r="W183" s="20">
        <v>1</v>
      </c>
      <c r="X183" s="4">
        <f ca="1">Y183-(W183-1)</f>
        <v>45843</v>
      </c>
      <c r="Y183" s="5">
        <f ca="1">IF(OR(T183+V183&lt;(NOW()-0.5),ISNUMBER(SEARCH("&lt;h4&gt;",K183))),U183+V183,T183+V183)</f>
        <v>45843</v>
      </c>
      <c r="Z183" t="str">
        <f ca="1">CONCATENATE(IF(OR(Y183=X183,ISBLANK(Y183)),TEXT(X183,"mmmm d"),CONCATENATE(TEXT(X183,"mmmm d"),"-",IF(TEXT(X183,"mmmm")=TEXT(Y183,"mmmm"),TEXT(Y183,"d"),TEXT(Y183,"mmmm d")))),", ",YEAR(Y183))</f>
        <v>July 5, 2025</v>
      </c>
      <c r="AA183" s="7">
        <f>O183</f>
        <v>45421</v>
      </c>
      <c r="AB183" s="14">
        <f>T183+V183-(W183-1)</f>
        <v>45843</v>
      </c>
      <c r="AC183" t="s">
        <v>2055</v>
      </c>
      <c r="AD183" s="23" t="str">
        <f ca="1">CONCATENATE("&lt;add-to-calendar-button  name=",CHAR(34),H183,CHAR(34),
IF(ISBLANK(M183),"",CONCATENATE("   location=",CHAR(34),RIGHT(M183,LEN(M183)-SEARCH("|",M183)-1),CHAR(34))),
"   description=",CHAR(34),IF(ISBLANK(I183),"",CONCATENATE(I183,"; ")),"shapenotesingings.com",CHAR(34),
"   options=",CHAR(34),"'Apple','Google','iCal','Outlook.com'",CHAR(34),"   styleLight=",CHAR(34),"--btn-background: #550000; --btn-text: #fff; --btn-shadow:#fff;",CHAR(34),
IF(W183=1,CONCATENATE(
"startDate=",CHAR(34),TEXT(G183,"yyyy-mm-dd"),CHAR(34),
"{endDate=",CHAR(34),TEXT(G183,"yyyy-mm-dd"),CHAR(34),
IF(OR(ISBLANK(AE183),ISBLANK(AF183)),"",(CONCATENATE(" startTime=",CHAR(34),TEXT(AE183,"hh:mm"),CHAR(34)," endTime=",CHAR(34),TEXT(AF183,"h:mm"),CHAR(34),
" timeZone=",CHAR(34),AG183,CHAR(34))))),
IF(W183=2,CONCATENATE(" dates='[{",
CHAR(34),"startDate",CHAR(34),":",CHAR(34),TEXT(G183,"yyyy-mm-dd"),CHAR(34),", ",
,CHAR(34),"endDate",CHAR(34),":",CHAR(34),TEXT(G183,"yyyy-mm-dd"),CHAR(34),
IF(OR(ISBLANK(AE183),ISBLANK(AF183)),"",(CONCATENATE(", ",CHAR(34),"startTime",CHAR(34),":",CHAR(34),TEXT(AE183,"hh:mm"),CHAR(34),", ",CHAR(34),"endTime",CHAR(34),":",CHAR(34),TEXT(AF183,"hh:mm"),CHAR(34),", ",CHAR(34),"timeZone",CHAR(34),":",CHAR(34),AG183,CHAR(34)))),"}, {",
,CHAR(34),"startDate",CHAR(34),":",CHAR(34),TEXT(G183+1,"yyyy-mm-dd"),CHAR(34),", ",
,CHAR(34),"endDate",CHAR(34),":",CHAR(34),TEXT(G183+W183-1,"yyyy-mm-dd"),CHAR(34),
IF(OR(ISBLANK(AE183),ISBLANK(AF183)),"",(CONCATENATE(", ",CHAR(34),"startTime",CHAR(34),":",CHAR(34),TEXT(AE183,"hh:mm"),CHAR(34),", ",CHAR(34),"endTime",CHAR(34),":",CHAR(34),TEXT(AF183,"hh:mm"),CHAR(34),", ",CHAR(34),"timeZone",CHAR(34),":",CHAR(34),AG183,CHAR(34)))),"}]'"),
CONCATENATE(
"{  startDate=",CHAR(34),TEXT(G183,"yyyy-mm-dd"),CHAR(34),
"  endDate=",CHAR(34),TEXT(G183+W183-1,"yyyy-mm-dd"),CHAR(34),"}"))),
" &gt;&lt;/add-to-calendar-button&gt;")</f>
        <v>&lt;add-to-calendar-button  name="Dublin All-Day Sacred Harp Singing"   location="The Friary Centre, Cook Street, Dublin 8, Ireland"   description="10am-4pm; shapenotesingings.com"   options="'Apple','Google','iCal','Outlook.com'"   styleLight="--btn-background: #550000; --btn-text: #fff; --btn-shadow:#fff;"startDate="2025-07-05"{endDate="2025-07-05" startTime="10:00" endTime="16:00" timeZone="Europe/London" &gt;&lt;/add-to-calendar-button&gt;</v>
      </c>
      <c r="AE183" s="24">
        <v>0.41666666666666669</v>
      </c>
      <c r="AF183" s="24">
        <v>0.66666666666666663</v>
      </c>
      <c r="AG183" s="25" t="s">
        <v>1535</v>
      </c>
    </row>
    <row r="184" spans="1:33" x14ac:dyDescent="0.3">
      <c r="A184" t="s">
        <v>8</v>
      </c>
      <c r="B184" t="s">
        <v>41</v>
      </c>
      <c r="C184" t="s">
        <v>1148</v>
      </c>
      <c r="D184" t="s">
        <v>506</v>
      </c>
      <c r="E184" t="s">
        <v>2178</v>
      </c>
      <c r="F184" t="s">
        <v>507</v>
      </c>
      <c r="G184" s="7">
        <f ca="1">X184</f>
        <v>45843</v>
      </c>
      <c r="H184" s="5" t="s">
        <v>1416</v>
      </c>
      <c r="I184" t="s">
        <v>1101</v>
      </c>
      <c r="J184" s="36" t="s">
        <v>2750</v>
      </c>
      <c r="L184" t="s">
        <v>2164</v>
      </c>
      <c r="M184" s="16" t="s">
        <v>1417</v>
      </c>
      <c r="N184" s="16" t="s">
        <v>1414</v>
      </c>
      <c r="O184" s="7">
        <v>44998</v>
      </c>
      <c r="P184" s="7" t="s">
        <v>1415</v>
      </c>
      <c r="Q184" s="18">
        <v>7</v>
      </c>
      <c r="R184" s="18">
        <v>1</v>
      </c>
      <c r="S184" s="18">
        <v>1</v>
      </c>
      <c r="T184" s="4">
        <f>DATE(AI$2,$Q184,1+(($R184-($S184&gt;=WEEKDAY(DATE(AI$2,$Q184,1))))*7)+($S184-WEEKDAY(DATE(AI$2,$Q184,1))))</f>
        <v>45844</v>
      </c>
      <c r="U184" s="4">
        <f>DATE(AJ$2,$Q184,1+(($R184-($S184&gt;=WEEKDAY(DATE(AJ$2,$Q184,1))))*7)+($S184-WEEKDAY(DATE(AJ$2,$Q184,1))))</f>
        <v>46208</v>
      </c>
      <c r="V184" s="20">
        <v>-1</v>
      </c>
      <c r="W184" s="20">
        <v>1</v>
      </c>
      <c r="X184" s="4">
        <f ca="1">Y184-(W184-1)</f>
        <v>45843</v>
      </c>
      <c r="Y184" s="5">
        <f ca="1">IF(OR(T184+V184&lt;(NOW()-0.5),ISNUMBER(SEARCH("&lt;h4&gt;",K184))),U184+V184,T184+V184)</f>
        <v>45843</v>
      </c>
      <c r="Z184" t="str">
        <f ca="1">CONCATENATE(IF(OR(Y184=X184,ISBLANK(Y184)),TEXT(X184,"mmmm d"),CONCATENATE(TEXT(X184,"mmmm d"),"-",IF(TEXT(X184,"mmmm")=TEXT(Y184,"mmmm"),TEXT(Y184,"d"),TEXT(Y184,"mmmm d")))),", ",YEAR(Y184))</f>
        <v>July 5, 2025</v>
      </c>
      <c r="AA184" s="7">
        <f>O184</f>
        <v>44998</v>
      </c>
      <c r="AB184" s="14">
        <f>T184+V184-(W184-1)</f>
        <v>45843</v>
      </c>
      <c r="AC184" t="s">
        <v>1413</v>
      </c>
      <c r="AD184" s="23" t="str">
        <f ca="1">CONCATENATE("&lt;add-to-calendar-button  name=",CHAR(34),H184,CHAR(34),
IF(ISBLANK(M184),"",CONCATENATE("   location=",CHAR(34),RIGHT(M184,LEN(M184)-SEARCH("|",M184)-1),CHAR(34))),
"   description=",CHAR(34),IF(ISBLANK(I184),"",CONCATENATE(I184,"; ")),"shapenotesingings.com",CHAR(34),
"   options=",CHAR(34),"'Apple','Google','iCal','Outlook.com'",CHAR(34),"   styleLight=",CHAR(34),"--btn-background: #550000; --btn-text: #fff; --btn-shadow:#fff;",CHAR(34),
IF(W184=1,CONCATENATE(
"startDate=",CHAR(34),TEXT(G184,"yyyy-mm-dd"),CHAR(34),
"{endDate=",CHAR(34),TEXT(G184,"yyyy-mm-dd"),CHAR(34),
IF(OR(ISBLANK(AE184),ISBLANK(AF184)),"",(CONCATENATE(" startTime=",CHAR(34),TEXT(AE184,"hh:mm"),CHAR(34)," endTime=",CHAR(34),TEXT(AF184,"h:mm"),CHAR(34),
" timeZone=",CHAR(34),AG184,CHAR(34))))),
IF(W184=2,CONCATENATE(" dates='[{",
CHAR(34),"startDate",CHAR(34),":",CHAR(34),TEXT(G184,"yyyy-mm-dd"),CHAR(34),", ",
,CHAR(34),"endDate",CHAR(34),":",CHAR(34),TEXT(G184,"yyyy-mm-dd"),CHAR(34),
IF(OR(ISBLANK(AE184),ISBLANK(AF184)),"",(CONCATENATE(", ",CHAR(34),"startTime",CHAR(34),":",CHAR(34),TEXT(AE184,"hh:mm"),CHAR(34),", ",CHAR(34),"endTime",CHAR(34),":",CHAR(34),TEXT(AF184,"hh:mm"),CHAR(34),", ",CHAR(34),"timeZone",CHAR(34),":",CHAR(34),AG184,CHAR(34)))),"}, {",
,CHAR(34),"startDate",CHAR(34),":",CHAR(34),TEXT(G184+1,"yyyy-mm-dd"),CHAR(34),", ",
,CHAR(34),"endDate",CHAR(34),":",CHAR(34),TEXT(G184+W184-1,"yyyy-mm-dd"),CHAR(34),
IF(OR(ISBLANK(AE184),ISBLANK(AF184)),"",(CONCATENATE(", ",CHAR(34),"startTime",CHAR(34),":",CHAR(34),TEXT(AE184,"hh:mm"),CHAR(34),", ",CHAR(34),"endTime",CHAR(34),":",CHAR(34),TEXT(AF184,"hh:mm"),CHAR(34),", ",CHAR(34),"timeZone",CHAR(34),":",CHAR(34),AG184,CHAR(34)))),"}]'"),
CONCATENATE(
"{  startDate=",CHAR(34),TEXT(G184,"yyyy-mm-dd"),CHAR(34),
"  endDate=",CHAR(34),TEXT(G184+W184-1,"yyyy-mm-dd"),CHAR(34),"}"))),
" &gt;&lt;/add-to-calendar-button&gt;")</f>
        <v>&lt;add-to-calendar-button  name="Pioneer Valley All-Day Singing"   location="Sunderland Town Park and Pavilion, Park Road, Sunderland, MA 01375"   description="10am-4pm; shapenotesingings.com"   options="'Apple','Google','iCal','Outlook.com'"   styleLight="--btn-background: #550000; --btn-text: #fff; --btn-shadow:#fff;"startDate="2025-07-05"{endDate="2025-07-05" startTime="10:00" endTime="16:00" timeZone="America/New_York" &gt;&lt;/add-to-calendar-button&gt;</v>
      </c>
      <c r="AE184" s="24">
        <v>0.41666666666666669</v>
      </c>
      <c r="AF184" s="24">
        <v>0.66666666666666663</v>
      </c>
      <c r="AG184" s="25" t="s">
        <v>1532</v>
      </c>
    </row>
    <row r="185" spans="1:33" x14ac:dyDescent="0.3">
      <c r="A185" t="s">
        <v>8</v>
      </c>
      <c r="B185" t="s">
        <v>11</v>
      </c>
      <c r="C185" t="s">
        <v>1134</v>
      </c>
      <c r="D185" t="s">
        <v>46</v>
      </c>
      <c r="E185" t="s">
        <v>2178</v>
      </c>
      <c r="F185" t="s">
        <v>544</v>
      </c>
      <c r="G185" s="7">
        <f ca="1">X185</f>
        <v>45843</v>
      </c>
      <c r="H185" s="5" t="s">
        <v>512</v>
      </c>
      <c r="I185" t="s">
        <v>1040</v>
      </c>
      <c r="J185" s="36" t="s">
        <v>2751</v>
      </c>
      <c r="L185" t="s">
        <v>1729</v>
      </c>
      <c r="M185" s="16" t="s">
        <v>989</v>
      </c>
      <c r="N185" s="16" t="s">
        <v>136</v>
      </c>
      <c r="O185" s="7">
        <v>45462</v>
      </c>
      <c r="P185" s="7" t="s">
        <v>2145</v>
      </c>
      <c r="Q185" s="18">
        <v>7</v>
      </c>
      <c r="R185" s="18">
        <v>1</v>
      </c>
      <c r="S185" s="18">
        <v>1</v>
      </c>
      <c r="T185" s="4">
        <f>DATE(AI$2,$Q185,1+(($R185-($S185&gt;=WEEKDAY(DATE(AI$2,$Q185,1))))*7)+($S185-WEEKDAY(DATE(AI$2,$Q185,1))))</f>
        <v>45844</v>
      </c>
      <c r="U185" s="4">
        <f>DATE(AJ$2,$Q185,1+(($R185-($S185&gt;=WEEKDAY(DATE(AJ$2,$Q185,1))))*7)+($S185-WEEKDAY(DATE(AJ$2,$Q185,1))))</f>
        <v>46208</v>
      </c>
      <c r="V185" s="20">
        <v>0</v>
      </c>
      <c r="W185" s="20">
        <v>2</v>
      </c>
      <c r="X185" s="4">
        <f ca="1">Y185-(W185-1)</f>
        <v>45843</v>
      </c>
      <c r="Y185" s="5">
        <f ca="1">IF(OR(T185+V185&lt;(NOW()-0.5),ISNUMBER(SEARCH("&lt;h4&gt;",K185))),U185+V185,T185+V185)</f>
        <v>45844</v>
      </c>
      <c r="Z185" t="str">
        <f ca="1">CONCATENATE(IF(OR(Y185=X185,ISBLANK(Y185)),TEXT(X185,"mmmm d"),CONCATENATE(TEXT(X185,"mmmm d"),"-",IF(TEXT(X185,"mmmm")=TEXT(Y185,"mmmm"),TEXT(Y185,"d"),TEXT(Y185,"mmmm d")))),", ",YEAR(Y185))</f>
        <v>July 5-6, 2025</v>
      </c>
      <c r="AA185" s="7">
        <f>O185</f>
        <v>45462</v>
      </c>
      <c r="AB185" s="14">
        <f>T185+V185-(W185-1)</f>
        <v>45843</v>
      </c>
      <c r="AC185" t="s">
        <v>1310</v>
      </c>
      <c r="AD185" s="23" t="str">
        <f ca="1">CONCATENATE("&lt;add-to-calendar-button  name=",CHAR(34),H185,CHAR(34),
IF(ISBLANK(M185),"",CONCATENATE("   location=",CHAR(34),RIGHT(M185,LEN(M185)-SEARCH("|",M185)-1),CHAR(34))),
"   description=",CHAR(34),IF(ISBLANK(I185),"",CONCATENATE(I185,"; ")),"shapenotesingings.com",CHAR(34),
"   options=",CHAR(34),"'Apple','Google','iCal','Outlook.com'",CHAR(34),"   styleLight=",CHAR(34),"--btn-background: #550000; --btn-text: #fff; --btn-shadow:#fff;",CHAR(34),
IF(W185=1,CONCATENATE(
"startDate=",CHAR(34),TEXT(G185,"yyyy-mm-dd"),CHAR(34),
"{endDate=",CHAR(34),TEXT(G185,"yyyy-mm-dd"),CHAR(34),
IF(OR(ISBLANK(AE185),ISBLANK(AF185)),"",(CONCATENATE(" startTime=",CHAR(34),TEXT(AE185,"hh:mm"),CHAR(34)," endTime=",CHAR(34),TEXT(AF185,"h:mm"),CHAR(34),
" timeZone=",CHAR(34),AG185,CHAR(34))))),
IF(W185=2,CONCATENATE(" dates='[{",
CHAR(34),"startDate",CHAR(34),":",CHAR(34),TEXT(G185,"yyyy-mm-dd"),CHAR(34),", ",
,CHAR(34),"endDate",CHAR(34),":",CHAR(34),TEXT(G185,"yyyy-mm-dd"),CHAR(34),
IF(OR(ISBLANK(AE185),ISBLANK(AF185)),"",(CONCATENATE(", ",CHAR(34),"startTime",CHAR(34),":",CHAR(34),TEXT(AE185,"hh:mm"),CHAR(34),", ",CHAR(34),"endTime",CHAR(34),":",CHAR(34),TEXT(AF185,"hh:mm"),CHAR(34),", ",CHAR(34),"timeZone",CHAR(34),":",CHAR(34),AG185,CHAR(34)))),"}, {",
,CHAR(34),"startDate",CHAR(34),":",CHAR(34),TEXT(G185+1,"yyyy-mm-dd"),CHAR(34),", ",
,CHAR(34),"endDate",CHAR(34),":",CHAR(34),TEXT(G185+W185-1,"yyyy-mm-dd"),CHAR(34),
IF(OR(ISBLANK(AE185),ISBLANK(AF185)),"",(CONCATENATE(", ",CHAR(34),"startTime",CHAR(34),":",CHAR(34),TEXT(AE185,"hh:mm"),CHAR(34),", ",CHAR(34),"endTime",CHAR(34),":",CHAR(34),TEXT(AF185,"hh:mm"),CHAR(34),", ",CHAR(34),"timeZone",CHAR(34),":",CHAR(34),AG185,CHAR(34)))),"}]'"),
CONCATENATE(
"{  startDate=",CHAR(34),TEXT(G185,"yyyy-mm-dd"),CHAR(34),
"  endDate=",CHAR(34),TEXT(G185+W185-1,"yyyy-mm-dd"),CHAR(34),"}"))),
" &gt;&lt;/add-to-calendar-button&gt;")</f>
        <v>&lt;add-to-calendar-button  name="Henagar-Union Convention"   location="Liberty Baptist Church, 1500 Liberty Rd, Henagar, AL 35978"   description="9:30am; shapenotesingings.com"   options="'Apple','Google','iCal','Outlook.com'"   styleLight="--btn-background: #550000; --btn-text: #fff; --btn-shadow:#fff;" dates='[{"startDate":"2025-07-05", "endDate":"2025-07-05", "startTime":"09:30", "endTime":"14:30", "timeZone":"America/Chicago"}, {"startDate":"2025-07-06", "endDate":"2025-07-06", "startTime":"09:30", "endTime":"14:30", "timeZone":"America/Chicago"}]' &gt;&lt;/add-to-calendar-button&gt;</v>
      </c>
      <c r="AE185" s="24">
        <v>0.39583333333333331</v>
      </c>
      <c r="AF185" s="24">
        <v>0.60416666666666663</v>
      </c>
      <c r="AG185" s="25" t="s">
        <v>1533</v>
      </c>
    </row>
    <row r="186" spans="1:33" x14ac:dyDescent="0.3">
      <c r="A186" t="s">
        <v>29</v>
      </c>
      <c r="B186" t="s">
        <v>1558</v>
      </c>
      <c r="C186" t="s">
        <v>1557</v>
      </c>
      <c r="D186" t="s">
        <v>1559</v>
      </c>
      <c r="E186" t="s">
        <v>2178</v>
      </c>
      <c r="F186" t="s">
        <v>497</v>
      </c>
      <c r="G186" s="7">
        <f ca="1">X186</f>
        <v>45829</v>
      </c>
      <c r="H186" s="5" t="s">
        <v>1563</v>
      </c>
      <c r="I186" t="s">
        <v>2109</v>
      </c>
      <c r="J186" s="36" t="s">
        <v>2752</v>
      </c>
      <c r="L186" t="s">
        <v>2208</v>
      </c>
      <c r="M186" s="16" t="s">
        <v>1560</v>
      </c>
      <c r="N186" s="16" t="s">
        <v>1561</v>
      </c>
      <c r="O186" s="7">
        <v>45773</v>
      </c>
      <c r="P186" s="7" t="s">
        <v>2946</v>
      </c>
      <c r="Q186" s="18">
        <v>6</v>
      </c>
      <c r="R186" s="18">
        <v>4</v>
      </c>
      <c r="S186" s="18">
        <v>1</v>
      </c>
      <c r="T186" s="4">
        <f>DATE(AI$2,$Q186,1+(($R186-($S186&gt;=WEEKDAY(DATE(AI$2,$Q186,1))))*7)+($S186-WEEKDAY(DATE(AI$2,$Q186,1))))</f>
        <v>45830</v>
      </c>
      <c r="U186" s="4">
        <f>DATE(AJ$2,$Q186,1+(($R186-($S186&gt;=WEEKDAY(DATE(AJ$2,$Q186,1))))*7)+($S186-WEEKDAY(DATE(AJ$2,$Q186,1))))</f>
        <v>46201</v>
      </c>
      <c r="V186" s="20">
        <v>-1</v>
      </c>
      <c r="W186" s="20">
        <v>1</v>
      </c>
      <c r="X186" s="4">
        <f ca="1">Y186-(W186-1)</f>
        <v>45829</v>
      </c>
      <c r="Y186" s="5">
        <f ca="1">IF(OR(T186+V186&lt;(NOW()-0.5),ISNUMBER(SEARCH("&lt;h4&gt;",K186))),U186+V186,T186+V186)</f>
        <v>45829</v>
      </c>
      <c r="Z186" t="str">
        <f ca="1">CONCATENATE(IF(OR(Y186=X186,ISBLANK(Y186)),TEXT(X186,"mmmm d"),CONCATENATE(TEXT(X186,"mmmm d"),"-",IF(TEXT(X186,"mmmm")=TEXT(Y186,"mmmm"),TEXT(Y186,"d"),TEXT(Y186,"mmmm d")))),", ",YEAR(Y186))</f>
        <v>June 21, 2025</v>
      </c>
      <c r="AA186" s="7">
        <f>O186</f>
        <v>45773</v>
      </c>
      <c r="AB186" s="14">
        <f>T186+V186-(W186-1)</f>
        <v>45829</v>
      </c>
      <c r="AC186" t="s">
        <v>1562</v>
      </c>
      <c r="AD186" s="23" t="str">
        <f ca="1">CONCATENATE("&lt;add-to-calendar-button  name=",CHAR(34),H186,CHAR(34),
IF(ISBLANK(M186),"",CONCATENATE("   location=",CHAR(34),RIGHT(M186,LEN(M186)-SEARCH("|",M186)-1),CHAR(34))),
"   description=",CHAR(34),IF(ISBLANK(I186),"",CONCATENATE(I186,"; ")),"shapenotesingings.com",CHAR(34),
"   options=",CHAR(34),"'Apple','Google','iCal','Outlook.com'",CHAR(34),"   styleLight=",CHAR(34),"--btn-background: #550000; --btn-text: #fff; --btn-shadow:#fff;",CHAR(34),
IF(W186=1,CONCATENATE(
"startDate=",CHAR(34),TEXT(G186,"yyyy-mm-dd"),CHAR(34),
"{endDate=",CHAR(34),TEXT(G186,"yyyy-mm-dd"),CHAR(34),
IF(OR(ISBLANK(AE186),ISBLANK(AF186)),"",(CONCATENATE(" startTime=",CHAR(34),TEXT(AE186,"hh:mm"),CHAR(34)," endTime=",CHAR(34),TEXT(AF186,"h:mm"),CHAR(34),
" timeZone=",CHAR(34),AG186,CHAR(34))))),
IF(W186=2,CONCATENATE(" dates='[{",
CHAR(34),"startDate",CHAR(34),":",CHAR(34),TEXT(G186,"yyyy-mm-dd"),CHAR(34),", ",
,CHAR(34),"endDate",CHAR(34),":",CHAR(34),TEXT(G186,"yyyy-mm-dd"),CHAR(34),
IF(OR(ISBLANK(AE186),ISBLANK(AF186)),"",(CONCATENATE(", ",CHAR(34),"startTime",CHAR(34),":",CHAR(34),TEXT(AE186,"hh:mm"),CHAR(34),", ",CHAR(34),"endTime",CHAR(34),":",CHAR(34),TEXT(AF186,"hh:mm"),CHAR(34),", ",CHAR(34),"timeZone",CHAR(34),":",CHAR(34),AG186,CHAR(34)))),"}, {",
,CHAR(34),"startDate",CHAR(34),":",CHAR(34),TEXT(G186+1,"yyyy-mm-dd"),CHAR(34),", ",
,CHAR(34),"endDate",CHAR(34),":",CHAR(34),TEXT(G186+W186-1,"yyyy-mm-dd"),CHAR(34),
IF(OR(ISBLANK(AE186),ISBLANK(AF186)),"",(CONCATENATE(", ",CHAR(34),"startTime",CHAR(34),":",CHAR(34),TEXT(AE186,"hh:mm"),CHAR(34),", ",CHAR(34),"endTime",CHAR(34),":",CHAR(34),TEXT(AF186,"hh:mm"),CHAR(34),", ",CHAR(34),"timeZone",CHAR(34),":",CHAR(34),AG186,CHAR(34)))),"}]'"),
CONCATENATE(
"{  startDate=",CHAR(34),TEXT(G186,"yyyy-mm-dd"),CHAR(34),
"  endDate=",CHAR(34),TEXT(G186+W186-1,"yyyy-mm-dd"),CHAR(34),"}"))),
" &gt;&lt;/add-to-calendar-button&gt;")</f>
        <v>&lt;add-to-calendar-button  name="Victorian All-Day Singing"   location="Brunswick Uniting Church, 214 Sydney Rd, Brunswick VIC 3056, Australia"   description="9:30am-4pm; shapenotesingings.com"   options="'Apple','Google','iCal','Outlook.com'"   styleLight="--btn-background: #550000; --btn-text: #fff; --btn-shadow:#fff;"startDate="2025-06-21"{endDate="2025-06-21" startTime="09:30" endTime="16:00" timeZone="Australia/Melbourne" &gt;&lt;/add-to-calendar-button&gt;</v>
      </c>
      <c r="AE186" s="24">
        <v>0.39583333333333331</v>
      </c>
      <c r="AF186" s="24">
        <v>0.66666666666666663</v>
      </c>
      <c r="AG186" s="25" t="s">
        <v>1567</v>
      </c>
    </row>
    <row r="187" spans="1:33" x14ac:dyDescent="0.3">
      <c r="A187" t="s">
        <v>8</v>
      </c>
      <c r="B187" t="s">
        <v>114</v>
      </c>
      <c r="C187" t="s">
        <v>1153</v>
      </c>
      <c r="D187" t="s">
        <v>785</v>
      </c>
      <c r="E187" t="s">
        <v>2183</v>
      </c>
      <c r="F187" t="s">
        <v>82</v>
      </c>
      <c r="G187" s="7">
        <f ca="1">X187</f>
        <v>45850</v>
      </c>
      <c r="H187" s="5" t="s">
        <v>786</v>
      </c>
      <c r="I187" t="s">
        <v>1037</v>
      </c>
      <c r="J187" s="36" t="s">
        <v>2603</v>
      </c>
      <c r="L187" t="s">
        <v>1829</v>
      </c>
      <c r="M187" s="16" t="s">
        <v>787</v>
      </c>
      <c r="N187" s="16" t="s">
        <v>788</v>
      </c>
      <c r="O187" s="7">
        <v>44927</v>
      </c>
      <c r="P187" s="7" t="s">
        <v>934</v>
      </c>
      <c r="Q187" s="18">
        <v>7</v>
      </c>
      <c r="R187" s="18">
        <v>2</v>
      </c>
      <c r="S187" s="18">
        <v>1</v>
      </c>
      <c r="T187" s="4">
        <f>DATE(AI$2,$Q187,1+(($R187-($S187&gt;=WEEKDAY(DATE(AI$2,$Q187,1))))*7)+($S187-WEEKDAY(DATE(AI$2,$Q187,1))))</f>
        <v>45851</v>
      </c>
      <c r="U187" s="4">
        <f>DATE(AJ$2,$Q187,1+(($R187-($S187&gt;=WEEKDAY(DATE(AJ$2,$Q187,1))))*7)+($S187-WEEKDAY(DATE(AJ$2,$Q187,1))))</f>
        <v>46215</v>
      </c>
      <c r="V187" s="20">
        <v>-1</v>
      </c>
      <c r="W187" s="20">
        <v>1</v>
      </c>
      <c r="X187" s="4">
        <f ca="1">Y187-(W187-1)</f>
        <v>45850</v>
      </c>
      <c r="Y187" s="5">
        <f ca="1">IF(OR(T187+V187&lt;(NOW()-0.5),ISNUMBER(SEARCH("&lt;h4&gt;",K187))),U187+V187,T187+V187)</f>
        <v>45850</v>
      </c>
      <c r="Z187" t="str">
        <f ca="1">CONCATENATE(IF(OR(Y187=X187,ISBLANK(Y187)),TEXT(X187,"mmmm d"),CONCATENATE(TEXT(X187,"mmmm d"),"-",IF(TEXT(X187,"mmmm")=TEXT(Y187,"mmmm"),TEXT(Y187,"d"),TEXT(Y187,"mmmm d")))),", ",YEAR(Y187))</f>
        <v>July 12, 2025</v>
      </c>
      <c r="AA187" s="7">
        <f>O187</f>
        <v>44927</v>
      </c>
      <c r="AB187" s="14">
        <f>T187+V187-(W187-1)</f>
        <v>45850</v>
      </c>
      <c r="AC187" t="s">
        <v>1314</v>
      </c>
      <c r="AD187" s="23" t="str">
        <f ca="1">CONCATENATE("&lt;add-to-calendar-button  name=",CHAR(34),H187,CHAR(34),
IF(ISBLANK(M187),"",CONCATENATE("   location=",CHAR(34),RIGHT(M187,LEN(M187)-SEARCH("|",M187)-1),CHAR(34))),
"   description=",CHAR(34),IF(ISBLANK(I187),"",CONCATENATE(I187,"; ")),"shapenotesingings.com",CHAR(34),
"   options=",CHAR(34),"'Apple','Google','iCal','Outlook.com'",CHAR(34),"   styleLight=",CHAR(34),"--btn-background: #550000; --btn-text: #fff; --btn-shadow:#fff;",CHAR(34),
IF(W187=1,CONCATENATE(
"startDate=",CHAR(34),TEXT(G187,"yyyy-mm-dd"),CHAR(34),
"{endDate=",CHAR(34),TEXT(G187,"yyyy-mm-dd"),CHAR(34),
IF(OR(ISBLANK(AE187),ISBLANK(AF187)),"",(CONCATENATE(" startTime=",CHAR(34),TEXT(AE187,"hh:mm"),CHAR(34)," endTime=",CHAR(34),TEXT(AF187,"h:mm"),CHAR(34),
" timeZone=",CHAR(34),AG187,CHAR(34))))),
IF(W187=2,CONCATENATE(" dates='[{",
CHAR(34),"startDate",CHAR(34),":",CHAR(34),TEXT(G187,"yyyy-mm-dd"),CHAR(34),", ",
,CHAR(34),"endDate",CHAR(34),":",CHAR(34),TEXT(G187,"yyyy-mm-dd"),CHAR(34),
IF(OR(ISBLANK(AE187),ISBLANK(AF187)),"",(CONCATENATE(", ",CHAR(34),"startTime",CHAR(34),":",CHAR(34),TEXT(AE187,"hh:mm"),CHAR(34),", ",CHAR(34),"endTime",CHAR(34),":",CHAR(34),TEXT(AF187,"hh:mm"),CHAR(34),", ",CHAR(34),"timeZone",CHAR(34),":",CHAR(34),AG187,CHAR(34)))),"}, {",
,CHAR(34),"startDate",CHAR(34),":",CHAR(34),TEXT(G187+1,"yyyy-mm-dd"),CHAR(34),", ",
,CHAR(34),"endDate",CHAR(34),":",CHAR(34),TEXT(G187+W187-1,"yyyy-mm-dd"),CHAR(34),
IF(OR(ISBLANK(AE187),ISBLANK(AF187)),"",(CONCATENATE(", ",CHAR(34),"startTime",CHAR(34),":",CHAR(34),TEXT(AE187,"hh:mm"),CHAR(34),", ",CHAR(34),"endTime",CHAR(34),":",CHAR(34),TEXT(AF187,"hh:mm"),CHAR(34),", ",CHAR(34),"timeZone",CHAR(34),":",CHAR(34),AG187,CHAR(34)))),"}]'"),
CONCATENATE(
"{  startDate=",CHAR(34),TEXT(G187,"yyyy-mm-dd"),CHAR(34),
"  endDate=",CHAR(34),TEXT(G187+W187-1,"yyyy-mm-dd"),CHAR(34),"}"))),
" &gt;&lt;/add-to-calendar-button&gt;")</f>
        <v>&lt;add-to-calendar-button  name="John Campbell Folk School Singing"   location="John C. Campbell Folk School, One Folk School Rd, Brasstown, NC 28902"   description="10am-3pm; shapenotesingings.com"   options="'Apple','Google','iCal','Outlook.com'"   styleLight="--btn-background: #550000; --btn-text: #fff; --btn-shadow:#fff;"startDate="2025-07-12"{endDate="2025-07-12" startTime="10:00" endTime="15:00" timeZone="America/New_York" &gt;&lt;/add-to-calendar-button&gt;</v>
      </c>
      <c r="AE187" s="24">
        <v>0.41666666666666669</v>
      </c>
      <c r="AF187" s="24">
        <v>0.625</v>
      </c>
      <c r="AG187" s="25" t="s">
        <v>1532</v>
      </c>
    </row>
    <row r="188" spans="1:33" x14ac:dyDescent="0.3">
      <c r="A188" t="s">
        <v>8</v>
      </c>
      <c r="B188" t="s">
        <v>11</v>
      </c>
      <c r="C188" t="s">
        <v>1134</v>
      </c>
      <c r="D188" t="s">
        <v>516</v>
      </c>
      <c r="E188" t="s">
        <v>2178</v>
      </c>
      <c r="F188" t="s">
        <v>545</v>
      </c>
      <c r="G188" s="7">
        <f ca="1">X188</f>
        <v>45850</v>
      </c>
      <c r="H188" s="5" t="s">
        <v>515</v>
      </c>
      <c r="I188" t="s">
        <v>1040</v>
      </c>
      <c r="J188" s="36" t="s">
        <v>2753</v>
      </c>
      <c r="L188" t="s">
        <v>1418</v>
      </c>
      <c r="M188" s="16" t="s">
        <v>517</v>
      </c>
      <c r="N188" s="16" t="s">
        <v>518</v>
      </c>
      <c r="O188" s="7">
        <v>44936</v>
      </c>
      <c r="P188" s="7" t="s">
        <v>926</v>
      </c>
      <c r="Q188" s="18">
        <v>7</v>
      </c>
      <c r="R188" s="18">
        <v>2</v>
      </c>
      <c r="S188" s="18">
        <v>1</v>
      </c>
      <c r="T188" s="4">
        <f>DATE(AI$2,$Q188,1+(($R188-($S188&gt;=WEEKDAY(DATE(AI$2,$Q188,1))))*7)+($S188-WEEKDAY(DATE(AI$2,$Q188,1))))</f>
        <v>45851</v>
      </c>
      <c r="U188" s="4">
        <f>DATE(AJ$2,$Q188,1+(($R188-($S188&gt;=WEEKDAY(DATE(AJ$2,$Q188,1))))*7)+($S188-WEEKDAY(DATE(AJ$2,$Q188,1))))</f>
        <v>46215</v>
      </c>
      <c r="V188" s="20">
        <v>0</v>
      </c>
      <c r="W188" s="20">
        <v>2</v>
      </c>
      <c r="X188" s="4">
        <f ca="1">Y188-(W188-1)</f>
        <v>45850</v>
      </c>
      <c r="Y188" s="5">
        <f ca="1">IF(OR(T188+V188&lt;(NOW()-0.5),ISNUMBER(SEARCH("&lt;h4&gt;",K188))),U188+V188,T188+V188)</f>
        <v>45851</v>
      </c>
      <c r="Z188" t="str">
        <f ca="1">CONCATENATE(IF(OR(Y188=X188,ISBLANK(Y188)),TEXT(X188,"mmmm d"),CONCATENATE(TEXT(X188,"mmmm d"),"-",IF(TEXT(X188,"mmmm")=TEXT(Y188,"mmmm"),TEXT(Y188,"d"),TEXT(Y188,"mmmm d")))),", ",YEAR(Y188))</f>
        <v>July 12-13, 2025</v>
      </c>
      <c r="AA188" s="7">
        <f>O188</f>
        <v>44936</v>
      </c>
      <c r="AB188" s="14">
        <f>T188+V188-(W188-1)</f>
        <v>45850</v>
      </c>
      <c r="AC188" t="s">
        <v>1312</v>
      </c>
      <c r="AD188" s="23" t="str">
        <f ca="1">CONCATENATE("&lt;add-to-calendar-button  name=",CHAR(34),H188,CHAR(34),
IF(ISBLANK(M188),"",CONCATENATE("   location=",CHAR(34),RIGHT(M188,LEN(M188)-SEARCH("|",M188)-1),CHAR(34))),
"   description=",CHAR(34),IF(ISBLANK(I188),"",CONCATENATE(I188,"; ")),"shapenotesingings.com",CHAR(34),
"   options=",CHAR(34),"'Apple','Google','iCal','Outlook.com'",CHAR(34),"   styleLight=",CHAR(34),"--btn-background: #550000; --btn-text: #fff; --btn-shadow:#fff;",CHAR(34),
IF(W188=1,CONCATENATE(
"startDate=",CHAR(34),TEXT(G188,"yyyy-mm-dd"),CHAR(34),
"{endDate=",CHAR(34),TEXT(G188,"yyyy-mm-dd"),CHAR(34),
IF(OR(ISBLANK(AE188),ISBLANK(AF188)),"",(CONCATENATE(" startTime=",CHAR(34),TEXT(AE188,"hh:mm"),CHAR(34)," endTime=",CHAR(34),TEXT(AF188,"h:mm"),CHAR(34),
" timeZone=",CHAR(34),AG188,CHAR(34))))),
IF(W188=2,CONCATENATE(" dates='[{",
CHAR(34),"startDate",CHAR(34),":",CHAR(34),TEXT(G188,"yyyy-mm-dd"),CHAR(34),", ",
,CHAR(34),"endDate",CHAR(34),":",CHAR(34),TEXT(G188,"yyyy-mm-dd"),CHAR(34),
IF(OR(ISBLANK(AE188),ISBLANK(AF188)),"",(CONCATENATE(", ",CHAR(34),"startTime",CHAR(34),":",CHAR(34),TEXT(AE188,"hh:mm"),CHAR(34),", ",CHAR(34),"endTime",CHAR(34),":",CHAR(34),TEXT(AF188,"hh:mm"),CHAR(34),", ",CHAR(34),"timeZone",CHAR(34),":",CHAR(34),AG188,CHAR(34)))),"}, {",
,CHAR(34),"startDate",CHAR(34),":",CHAR(34),TEXT(G188+1,"yyyy-mm-dd"),CHAR(34),", ",
,CHAR(34),"endDate",CHAR(34),":",CHAR(34),TEXT(G188+W188-1,"yyyy-mm-dd"),CHAR(34),
IF(OR(ISBLANK(AE188),ISBLANK(AF188)),"",(CONCATENATE(", ",CHAR(34),"startTime",CHAR(34),":",CHAR(34),TEXT(AE188,"hh:mm"),CHAR(34),", ",CHAR(34),"endTime",CHAR(34),":",CHAR(34),TEXT(AF188,"hh:mm"),CHAR(34),", ",CHAR(34),"timeZone",CHAR(34),":",CHAR(34),AG188,CHAR(34)))),"}]'"),
CONCATENATE(
"{  startDate=",CHAR(34),TEXT(G188,"yyyy-mm-dd"),CHAR(34),
"  endDate=",CHAR(34),TEXT(G188+W188-1,"yyyy-mm-dd"),CHAR(34),"}"))),
" &gt;&lt;/add-to-calendar-button&gt;")</f>
        <v>&lt;add-to-calendar-button  name="Cullman County Singing Convention"   location="Cullman County Courthouse, 500 2nd Ave SW, Cullman, AL 35055"   description="9:30am; shapenotesingings.com"   options="'Apple','Google','iCal','Outlook.com'"   styleLight="--btn-background: #550000; --btn-text: #fff; --btn-shadow:#fff;" dates='[{"startDate":"2025-07-12", "endDate":"2025-07-12", "startTime":"09:30", "endTime":"15:00", "timeZone":"America/Chicago"}, {"startDate":"2025-07-13", "endDate":"2025-07-13", "startTime":"09:30", "endTime":"15:00", "timeZone":"America/Chicago"}]' &gt;&lt;/add-to-calendar-button&gt;</v>
      </c>
      <c r="AE188" s="24">
        <v>0.39583333333333331</v>
      </c>
      <c r="AF188" s="24">
        <v>0.625</v>
      </c>
      <c r="AG188" s="25" t="s">
        <v>1533</v>
      </c>
    </row>
    <row r="189" spans="1:33" x14ac:dyDescent="0.3">
      <c r="A189" t="s">
        <v>8</v>
      </c>
      <c r="B189" t="s">
        <v>17</v>
      </c>
      <c r="C189" t="s">
        <v>1140</v>
      </c>
      <c r="D189" t="s">
        <v>2107</v>
      </c>
      <c r="E189" t="s">
        <v>2178</v>
      </c>
      <c r="F189" t="s">
        <v>82</v>
      </c>
      <c r="G189" s="7">
        <f ca="1">X189</f>
        <v>45850</v>
      </c>
      <c r="H189" t="s">
        <v>2754</v>
      </c>
      <c r="J189" s="36" t="s">
        <v>2755</v>
      </c>
      <c r="L189" t="s">
        <v>2106</v>
      </c>
      <c r="M189" s="16" t="s">
        <v>2102</v>
      </c>
      <c r="N189" s="16" t="s">
        <v>2103</v>
      </c>
      <c r="O189" s="7">
        <v>45440</v>
      </c>
      <c r="P189" s="7" t="s">
        <v>2104</v>
      </c>
      <c r="Q189" s="18">
        <v>7</v>
      </c>
      <c r="R189" s="18">
        <v>2</v>
      </c>
      <c r="S189" s="18">
        <v>1</v>
      </c>
      <c r="T189" s="4">
        <f>DATE(AI$2,$Q189,1+(($R189-($S189&gt;=WEEKDAY(DATE(AI$2,$Q189,1))))*7)+($S189-WEEKDAY(DATE(AI$2,$Q189,1))))</f>
        <v>45851</v>
      </c>
      <c r="U189" s="4">
        <f>DATE(AJ$2,$Q189,1+(($R189-($S189&gt;=WEEKDAY(DATE(AJ$2,$Q189,1))))*7)+($S189-WEEKDAY(DATE(AJ$2,$Q189,1))))</f>
        <v>46215</v>
      </c>
      <c r="V189" s="20">
        <v>-1</v>
      </c>
      <c r="W189" s="20">
        <v>1</v>
      </c>
      <c r="X189" s="4">
        <f ca="1">Y189-(W189-1)</f>
        <v>45850</v>
      </c>
      <c r="Y189" s="5">
        <f ca="1">IF(OR(T189+V189&lt;(NOW()-0.5),ISNUMBER(SEARCH("&lt;h4&gt;",K189))),U189+V189,T189+V189)</f>
        <v>45850</v>
      </c>
      <c r="Z189" t="str">
        <f ca="1">CONCATENATE(IF(OR(Y189=X189,ISBLANK(Y189)),TEXT(X189,"mmmm d"),CONCATENATE(TEXT(X189,"mmmm d"),"-",IF(TEXT(X189,"mmmm")=TEXT(Y189,"mmmm"),TEXT(Y189,"d"),TEXT(Y189,"mmmm d")))),", ",YEAR(Y189))</f>
        <v>July 12, 2025</v>
      </c>
      <c r="AA189" s="7">
        <f>O189</f>
        <v>45440</v>
      </c>
      <c r="AB189" s="14">
        <f>T189+V189-(W189-1)</f>
        <v>45850</v>
      </c>
      <c r="AC189" t="s">
        <v>2105</v>
      </c>
      <c r="AD189" s="23" t="str">
        <f ca="1">CONCATENATE("&lt;add-to-calendar-button  name=",CHAR(34),H189,CHAR(34),
IF(ISBLANK(M189),"",CONCATENATE("   location=",CHAR(34),RIGHT(M189,LEN(M189)-SEARCH("|",M189)-1),CHAR(34))),
"   description=",CHAR(34),IF(ISBLANK(I189),"",CONCATENATE(I189,"; ")),"shapenotesingings.com",CHAR(34),
"   options=",CHAR(34),"'Apple','Google','iCal','Outlook.com'",CHAR(34),"   styleLight=",CHAR(34),"--btn-background: #550000; --btn-text: #fff; --btn-shadow:#fff;",CHAR(34),
IF(W189=1,CONCATENATE(
"startDate=",CHAR(34),TEXT(G189,"yyyy-mm-dd"),CHAR(34),
"{endDate=",CHAR(34),TEXT(G189,"yyyy-mm-dd"),CHAR(34),
IF(OR(ISBLANK(AE189),ISBLANK(AF189)),"",(CONCATENATE(" startTime=",CHAR(34),TEXT(AE189,"hh:mm"),CHAR(34)," endTime=",CHAR(34),TEXT(AF189,"h:mm"),CHAR(34),
" timeZone=",CHAR(34),AG189,CHAR(34))))),
IF(W189=2,CONCATENATE(" dates='[{",
CHAR(34),"startDate",CHAR(34),":",CHAR(34),TEXT(G189,"yyyy-mm-dd"),CHAR(34),", ",
,CHAR(34),"endDate",CHAR(34),":",CHAR(34),TEXT(G189,"yyyy-mm-dd"),CHAR(34),
IF(OR(ISBLANK(AE189),ISBLANK(AF189)),"",(CONCATENATE(", ",CHAR(34),"startTime",CHAR(34),":",CHAR(34),TEXT(AE189,"hh:mm"),CHAR(34),", ",CHAR(34),"endTime",CHAR(34),":",CHAR(34),TEXT(AF189,"hh:mm"),CHAR(34),", ",CHAR(34),"timeZone",CHAR(34),":",CHAR(34),AG189,CHAR(34)))),"}, {",
,CHAR(34),"startDate",CHAR(34),":",CHAR(34),TEXT(G189+1,"yyyy-mm-dd"),CHAR(34),", ",
,CHAR(34),"endDate",CHAR(34),":",CHAR(34),TEXT(G189+W189-1,"yyyy-mm-dd"),CHAR(34),
IF(OR(ISBLANK(AE189),ISBLANK(AF189)),"",(CONCATENATE(", ",CHAR(34),"startTime",CHAR(34),":",CHAR(34),TEXT(AE189,"hh:mm"),CHAR(34),", ",CHAR(34),"endTime",CHAR(34),":",CHAR(34),TEXT(AF189,"hh:mm"),CHAR(34),", ",CHAR(34),"timeZone",CHAR(34),":",CHAR(34),AG189,CHAR(34)))),"}]'"),
CONCATENATE(
"{  startDate=",CHAR(34),TEXT(G189,"yyyy-mm-dd"),CHAR(34),
"  endDate=",CHAR(34),TEXT(G189+W189-1,"yyyy-mm-dd"),CHAR(34),"}"))),
" &gt;&lt;/add-to-calendar-button&gt;")</f>
        <v>&lt;add-to-calendar-button  name="Ozias Sacred Harp Singing"   location="Ozias Primitive Baptist Church, 3389 GA-155 N, McDonough, GA 30253"   description="shapenotesingings.com"   options="'Apple','Google','iCal','Outlook.com'"   styleLight="--btn-background: #550000; --btn-text: #fff; --btn-shadow:#fff;"startDate="2025-07-12"{endDate="2025-07-12" startTime="09:30" endTime="15:00" timeZone="America/New_York" &gt;&lt;/add-to-calendar-button&gt;</v>
      </c>
      <c r="AE189" s="24">
        <v>0.39583333333333331</v>
      </c>
      <c r="AF189" s="24">
        <v>0.625</v>
      </c>
      <c r="AG189" s="25" t="s">
        <v>1532</v>
      </c>
    </row>
    <row r="190" spans="1:33" ht="13.8" customHeight="1" x14ac:dyDescent="0.3">
      <c r="A190" t="s">
        <v>8</v>
      </c>
      <c r="B190" t="s">
        <v>102</v>
      </c>
      <c r="C190" t="s">
        <v>1064</v>
      </c>
      <c r="D190" t="s">
        <v>269</v>
      </c>
      <c r="E190" t="s">
        <v>34</v>
      </c>
      <c r="F190" t="s">
        <v>82</v>
      </c>
      <c r="G190" s="7">
        <f ca="1">X190</f>
        <v>45850</v>
      </c>
      <c r="H190" s="5" t="s">
        <v>839</v>
      </c>
      <c r="L190" t="s">
        <v>953</v>
      </c>
      <c r="M190" s="16" t="s">
        <v>765</v>
      </c>
      <c r="N190" s="16" t="s">
        <v>764</v>
      </c>
      <c r="O190" s="7">
        <v>44927</v>
      </c>
      <c r="P190" s="7" t="s">
        <v>936</v>
      </c>
      <c r="Q190" s="18">
        <v>7</v>
      </c>
      <c r="R190" s="18">
        <v>2</v>
      </c>
      <c r="S190" s="18">
        <v>1</v>
      </c>
      <c r="T190" s="4">
        <f>DATE(AI$2,$Q190,1+(($R190-($S190&gt;=WEEKDAY(DATE(AI$2,$Q190,1))))*7)+($S190-WEEKDAY(DATE(AI$2,$Q190,1))))</f>
        <v>45851</v>
      </c>
      <c r="U190" s="4">
        <f>DATE(AJ$2,$Q190,1+(($R190-($S190&gt;=WEEKDAY(DATE(AJ$2,$Q190,1))))*7)+($S190-WEEKDAY(DATE(AJ$2,$Q190,1))))</f>
        <v>46215</v>
      </c>
      <c r="V190" s="20">
        <v>-1</v>
      </c>
      <c r="W190" s="20">
        <v>1</v>
      </c>
      <c r="X190" s="4">
        <f ca="1">Y190-(W190-1)</f>
        <v>45850</v>
      </c>
      <c r="Y190" s="5">
        <f ca="1">IF(OR(T190+V190&lt;(NOW()-0.5),ISNUMBER(SEARCH("&lt;h4&gt;",K190))),U190+V190,T190+V190)</f>
        <v>45850</v>
      </c>
      <c r="Z190" t="str">
        <f ca="1">CONCATENATE(IF(OR(Y190=X190,ISBLANK(Y190)),TEXT(X190,"mmmm d"),CONCATENATE(TEXT(X190,"mmmm d"),"-",IF(TEXT(X190,"mmmm")=TEXT(Y190,"mmmm"),TEXT(Y190,"d"),TEXT(Y190,"mmmm d")))),", ",YEAR(Y190))</f>
        <v>July 12, 2025</v>
      </c>
      <c r="AA190" s="7">
        <f>O190</f>
        <v>44927</v>
      </c>
      <c r="AB190" s="14">
        <f>T190+V190-(W190-1)</f>
        <v>45850</v>
      </c>
      <c r="AC190" t="s">
        <v>1313</v>
      </c>
      <c r="AD190" s="23" t="str">
        <f ca="1">CONCATENATE("&lt;add-to-calendar-button  name=",CHAR(34),H190,CHAR(34),
IF(ISBLANK(M190),"",CONCATENATE("   location=",CHAR(34),RIGHT(M190,LEN(M190)-SEARCH("|",M190)-1),CHAR(34))),
"   description=",CHAR(34),IF(ISBLANK(I190),"",CONCATENATE(I190,"; ")),"shapenotesingings.com",CHAR(34),
"   options=",CHAR(34),"'Apple','Google','iCal','Outlook.com'",CHAR(34),"   styleLight=",CHAR(34),"--btn-background: #550000; --btn-text: #fff; --btn-shadow:#fff;",CHAR(34),
IF(W190=1,CONCATENATE(
"startDate=",CHAR(34),TEXT(G190,"yyyy-mm-dd"),CHAR(34),
"{endDate=",CHAR(34),TEXT(G190,"yyyy-mm-dd"),CHAR(34),
IF(OR(ISBLANK(AE190),ISBLANK(AF190)),"",(CONCATENATE(" startTime=",CHAR(34),TEXT(AE190,"hh:mm"),CHAR(34)," endTime=",CHAR(34),TEXT(AF190,"h:mm"),CHAR(34),
" timeZone=",CHAR(34),AG190,CHAR(34))))),
IF(W190=2,CONCATENATE(" dates='[{",
CHAR(34),"startDate",CHAR(34),":",CHAR(34),TEXT(G190,"yyyy-mm-dd"),CHAR(34),", ",
,CHAR(34),"endDate",CHAR(34),":",CHAR(34),TEXT(G190,"yyyy-mm-dd"),CHAR(34),
IF(OR(ISBLANK(AE190),ISBLANK(AF190)),"",(CONCATENATE(", ",CHAR(34),"startTime",CHAR(34),":",CHAR(34),TEXT(AE190,"hh:mm"),CHAR(34),", ",CHAR(34),"endTime",CHAR(34),":",CHAR(34),TEXT(AF190,"hh:mm"),CHAR(34),", ",CHAR(34),"timeZone",CHAR(34),":",CHAR(34),AG190,CHAR(34)))),"}, {",
,CHAR(34),"startDate",CHAR(34),":",CHAR(34),TEXT(G190+1,"yyyy-mm-dd"),CHAR(34),", ",
,CHAR(34),"endDate",CHAR(34),":",CHAR(34),TEXT(G190+W190-1,"yyyy-mm-dd"),CHAR(34),
IF(OR(ISBLANK(AE190),ISBLANK(AF190)),"",(CONCATENATE(", ",CHAR(34),"startTime",CHAR(34),":",CHAR(34),TEXT(AE190,"hh:mm"),CHAR(34),", ",CHAR(34),"endTime",CHAR(34),":",CHAR(34),TEXT(AF190,"hh:mm"),CHAR(34),", ",CHAR(34),"timeZone",CHAR(34),":",CHAR(34),AG190,CHAR(34)))),"}]'"),
CONCATENATE(
"{  startDate=",CHAR(34),TEXT(G190,"yyyy-mm-dd"),CHAR(34),
"  endDate=",CHAR(34),TEXT(G190+W190-1,"yyyy-mm-dd"),CHAR(34),"}"))),
" &gt;&lt;/add-to-calendar-button&gt;")</f>
        <v>&lt;add-to-calendar-button  name="Retherford Memorial"   location="Union Hill Church, 2759 Union Hill Church Rd, Bonifay, FL 32425"   description="shapenotesingings.com"   options="'Apple','Google','iCal','Outlook.com'"   styleLight="--btn-background: #550000; --btn-text: #fff; --btn-shadow:#fff;"startDate="2025-07-12"{endDate="2025-07-12" &gt;&lt;/add-to-calendar-button&gt;</v>
      </c>
      <c r="AG190" s="25" t="s">
        <v>1533</v>
      </c>
    </row>
    <row r="191" spans="1:33" ht="13.8" customHeight="1" x14ac:dyDescent="0.3">
      <c r="A191" t="s">
        <v>144</v>
      </c>
      <c r="B191" t="s">
        <v>144</v>
      </c>
      <c r="C191" t="s">
        <v>1162</v>
      </c>
      <c r="D191" t="s">
        <v>514</v>
      </c>
      <c r="E191" t="s">
        <v>2178</v>
      </c>
      <c r="F191" t="s">
        <v>82</v>
      </c>
      <c r="G191" s="7">
        <f ca="1">X191</f>
        <v>45850</v>
      </c>
      <c r="H191" s="5" t="s">
        <v>513</v>
      </c>
      <c r="I191" t="s">
        <v>1043</v>
      </c>
      <c r="J191" s="36" t="s">
        <v>2756</v>
      </c>
      <c r="K191" t="s">
        <v>1112</v>
      </c>
      <c r="L191" t="s">
        <v>2066</v>
      </c>
      <c r="M191" s="16" t="s">
        <v>1953</v>
      </c>
      <c r="N191" s="16" t="s">
        <v>1954</v>
      </c>
      <c r="O191" s="7">
        <v>45372</v>
      </c>
      <c r="P191" s="7" t="s">
        <v>946</v>
      </c>
      <c r="Q191" s="18">
        <v>7</v>
      </c>
      <c r="R191" s="18">
        <v>2</v>
      </c>
      <c r="S191" s="18">
        <v>1</v>
      </c>
      <c r="T191" s="4">
        <f>DATE(AI$2,$Q191,1+(($R191-($S191&gt;=WEEKDAY(DATE(AI$2,$Q191,1))))*7)+($S191-WEEKDAY(DATE(AI$2,$Q191,1))))</f>
        <v>45851</v>
      </c>
      <c r="U191" s="4">
        <f>DATE(AJ$2,$Q191,1+(($R191-($S191&gt;=WEEKDAY(DATE(AJ$2,$Q191,1))))*7)+($S191-WEEKDAY(DATE(AJ$2,$Q191,1))))</f>
        <v>46215</v>
      </c>
      <c r="V191" s="20">
        <v>-1</v>
      </c>
      <c r="W191" s="20">
        <v>1</v>
      </c>
      <c r="X191" s="4">
        <f ca="1">Y191-(W191-1)</f>
        <v>45850</v>
      </c>
      <c r="Y191" s="5">
        <f ca="1">IF(OR(T191+V191&lt;(NOW()-0.5),ISNUMBER(SEARCH("&lt;h4&gt;",K191))),U191+V191,T191+V191)</f>
        <v>45850</v>
      </c>
      <c r="Z191" t="str">
        <f ca="1">CONCATENATE(IF(OR(Y191=X191,ISBLANK(Y191)),TEXT(X191,"mmmm d"),CONCATENATE(TEXT(X191,"mmmm d"),"-",IF(TEXT(X191,"mmmm")=TEXT(Y191,"mmmm"),TEXT(Y191,"d"),TEXT(Y191,"mmmm d")))),", ",YEAR(Y191))</f>
        <v>July 12, 2025</v>
      </c>
      <c r="AA191" s="7">
        <f>O191</f>
        <v>45372</v>
      </c>
      <c r="AB191" s="14">
        <f>T191+V191-(W191-1)</f>
        <v>45850</v>
      </c>
      <c r="AC191" t="s">
        <v>1955</v>
      </c>
      <c r="AD191" s="23" t="str">
        <f ca="1">CONCATENATE("&lt;add-to-calendar-button  name=",CHAR(34),H191,CHAR(34),
IF(ISBLANK(M191),"",CONCATENATE("   location=",CHAR(34),RIGHT(M191,LEN(M191)-SEARCH("|",M191)-1),CHAR(34))),
"   description=",CHAR(34),IF(ISBLANK(I191),"",CONCATENATE(I191,"; ")),"shapenotesingings.com",CHAR(34),
"   options=",CHAR(34),"'Apple','Google','iCal','Outlook.com'",CHAR(34),"   styleLight=",CHAR(34),"--btn-background: #550000; --btn-text: #fff; --btn-shadow:#fff;",CHAR(34),
IF(W191=1,CONCATENATE(
"startDate=",CHAR(34),TEXT(G191,"yyyy-mm-dd"),CHAR(34),
"{endDate=",CHAR(34),TEXT(G191,"yyyy-mm-dd"),CHAR(34),
IF(OR(ISBLANK(AE191),ISBLANK(AF191)),"",(CONCATENATE(" startTime=",CHAR(34),TEXT(AE191,"hh:mm"),CHAR(34)," endTime=",CHAR(34),TEXT(AF191,"h:mm"),CHAR(34),
" timeZone=",CHAR(34),AG191,CHAR(34))))),
IF(W191=2,CONCATENATE(" dates='[{",
CHAR(34),"startDate",CHAR(34),":",CHAR(34),TEXT(G191,"yyyy-mm-dd"),CHAR(34),", ",
,CHAR(34),"endDate",CHAR(34),":",CHAR(34),TEXT(G191,"yyyy-mm-dd"),CHAR(34),
IF(OR(ISBLANK(AE191),ISBLANK(AF191)),"",(CONCATENATE(", ",CHAR(34),"startTime",CHAR(34),":",CHAR(34),TEXT(AE191,"hh:mm"),CHAR(34),", ",CHAR(34),"endTime",CHAR(34),":",CHAR(34),TEXT(AF191,"hh:mm"),CHAR(34),", ",CHAR(34),"timeZone",CHAR(34),":",CHAR(34),AG191,CHAR(34)))),"}, {",
,CHAR(34),"startDate",CHAR(34),":",CHAR(34),TEXT(G191+1,"yyyy-mm-dd"),CHAR(34),", ",
,CHAR(34),"endDate",CHAR(34),":",CHAR(34),TEXT(G191+W191-1,"yyyy-mm-dd"),CHAR(34),
IF(OR(ISBLANK(AE191),ISBLANK(AF191)),"",(CONCATENATE(", ",CHAR(34),"startTime",CHAR(34),":",CHAR(34),TEXT(AE191,"hh:mm"),CHAR(34),", ",CHAR(34),"endTime",CHAR(34),":",CHAR(34),TEXT(AF191,"hh:mm"),CHAR(34),", ",CHAR(34),"timeZone",CHAR(34),":",CHAR(34),AG191,CHAR(34)))),"}]'"),
CONCATENATE(
"{  startDate=",CHAR(34),TEXT(G191,"yyyy-mm-dd"),CHAR(34),
"  endDate=",CHAR(34),TEXT(G191+W191-1,"yyyy-mm-dd"),CHAR(34),"}"))),
" &gt;&lt;/add-to-calendar-button&gt;")</f>
        <v>&lt;add-to-calendar-button  name="Scotland Singing"   location="Polwarth Parish Church, 36-38 Polwarth Terrace, Edinburgh EH11 1LU, United Kingdom"   description="10:30am-4pm; shapenotesingings.com"   options="'Apple','Google','iCal','Outlook.com'"   styleLight="--btn-background: #550000; --btn-text: #fff; --btn-shadow:#fff;"startDate="2025-07-12"{endDate="2025-07-12" startTime="10:30" endTime="16:00" timeZone="Europe/London" &gt;&lt;/add-to-calendar-button&gt;</v>
      </c>
      <c r="AE191" s="24">
        <v>0.4375</v>
      </c>
      <c r="AF191" s="24">
        <v>0.66666666666666663</v>
      </c>
      <c r="AG191" s="25" t="s">
        <v>1535</v>
      </c>
    </row>
    <row r="192" spans="1:33" ht="13.8" customHeight="1" x14ac:dyDescent="0.3">
      <c r="A192" t="s">
        <v>8</v>
      </c>
      <c r="B192" t="s">
        <v>48</v>
      </c>
      <c r="C192" t="s">
        <v>1150</v>
      </c>
      <c r="D192" t="s">
        <v>49</v>
      </c>
      <c r="E192" t="s">
        <v>2379</v>
      </c>
      <c r="F192" t="s">
        <v>545</v>
      </c>
      <c r="G192" s="7">
        <f ca="1">X192</f>
        <v>45850</v>
      </c>
      <c r="H192" s="5" t="s">
        <v>2964</v>
      </c>
      <c r="I192" t="s">
        <v>2965</v>
      </c>
      <c r="L192" t="s">
        <v>2970</v>
      </c>
      <c r="M192" s="16" t="s">
        <v>2966</v>
      </c>
      <c r="N192" s="16" t="s">
        <v>2967</v>
      </c>
      <c r="O192" s="7">
        <v>45781</v>
      </c>
      <c r="P192" s="7" t="s">
        <v>2968</v>
      </c>
      <c r="Q192" s="18">
        <v>7</v>
      </c>
      <c r="R192" s="18">
        <v>2</v>
      </c>
      <c r="S192" s="18">
        <v>1</v>
      </c>
      <c r="T192" s="4">
        <f>DATE(AI$2,$Q192,1+(($R192-($S192&gt;=WEEKDAY(DATE(AI$2,$Q192,1))))*7)+($S192-WEEKDAY(DATE(AI$2,$Q192,1))))</f>
        <v>45851</v>
      </c>
      <c r="U192" s="4">
        <f>DATE(AJ$2,$Q192,1+(($R192-($S192&gt;=WEEKDAY(DATE(AJ$2,$Q192,1))))*7)+($S192-WEEKDAY(DATE(AJ$2,$Q192,1))))</f>
        <v>46215</v>
      </c>
      <c r="V192" s="20">
        <v>0</v>
      </c>
      <c r="W192" s="20">
        <v>2</v>
      </c>
      <c r="X192" s="4">
        <f ca="1">Y192-(W192-1)</f>
        <v>45850</v>
      </c>
      <c r="Y192" s="5">
        <f ca="1">IF(OR(T192+V192&lt;(NOW()-0.5),ISNUMBER(SEARCH("&lt;h4&gt;",K192))),U192+V192,T192+V192)</f>
        <v>45851</v>
      </c>
      <c r="Z192" t="str">
        <f ca="1">CONCATENATE(IF(OR(Y192=X192,ISBLANK(Y192)),TEXT(X192,"mmmm d"),CONCATENATE(TEXT(X192,"mmmm d"),"-",IF(TEXT(X192,"mmmm")=TEXT(Y192,"mmmm"),TEXT(Y192,"d"),TEXT(Y192,"mmmm d")))),", ",YEAR(Y192))</f>
        <v>July 12-13, 2025</v>
      </c>
      <c r="AA192" s="7">
        <f>O192</f>
        <v>45781</v>
      </c>
      <c r="AB192" s="14">
        <f>T192+V192-(W192-1)</f>
        <v>45850</v>
      </c>
      <c r="AC192" t="s">
        <v>2969</v>
      </c>
      <c r="AD192" s="23" t="str">
        <f ca="1">CONCATENATE("&lt;add-to-calendar-button  name=",CHAR(34),H192,CHAR(34),
IF(ISBLANK(M192),"",CONCATENATE("   location=",CHAR(34),RIGHT(M192,LEN(M192)-SEARCH("|",M192)-1),CHAR(34))),
"   description=",CHAR(34),IF(ISBLANK(I192),"",CONCATENATE(I192,"; ")),"shapenotesingings.com",CHAR(34),
"   options=",CHAR(34),"'Apple','Google','iCal','Outlook.com'",CHAR(34),"   styleLight=",CHAR(34),"--btn-background: #550000; --btn-text: #fff; --btn-shadow:#fff;",CHAR(34),
IF(W192=1,CONCATENATE(
"startDate=",CHAR(34),TEXT(G192,"yyyy-mm-dd"),CHAR(34),
"{endDate=",CHAR(34),TEXT(G192,"yyyy-mm-dd"),CHAR(34),
IF(OR(ISBLANK(AE192),ISBLANK(AF192)),"",(CONCATENATE(" startTime=",CHAR(34),TEXT(AE192,"hh:mm"),CHAR(34)," endTime=",CHAR(34),TEXT(AF192,"h:mm"),CHAR(34),
" timeZone=",CHAR(34),AG192,CHAR(34))))),
IF(W192=2,CONCATENATE(" dates='[{",
CHAR(34),"startDate",CHAR(34),":",CHAR(34),TEXT(G192,"yyyy-mm-dd"),CHAR(34),", ",
,CHAR(34),"endDate",CHAR(34),":",CHAR(34),TEXT(G192,"yyyy-mm-dd"),CHAR(34),
IF(OR(ISBLANK(AE192),ISBLANK(AF192)),"",(CONCATENATE(", ",CHAR(34),"startTime",CHAR(34),":",CHAR(34),TEXT(AE192,"hh:mm"),CHAR(34),", ",CHAR(34),"endTime",CHAR(34),":",CHAR(34),TEXT(AF192,"hh:mm"),CHAR(34),", ",CHAR(34),"timeZone",CHAR(34),":",CHAR(34),AG192,CHAR(34)))),"}, {",
,CHAR(34),"startDate",CHAR(34),":",CHAR(34),TEXT(G192+1,"yyyy-mm-dd"),CHAR(34),", ",
,CHAR(34),"endDate",CHAR(34),":",CHAR(34),TEXT(G192+W192-1,"yyyy-mm-dd"),CHAR(34),
IF(OR(ISBLANK(AE192),ISBLANK(AF192)),"",(CONCATENATE(", ",CHAR(34),"startTime",CHAR(34),":",CHAR(34),TEXT(AE192,"hh:mm"),CHAR(34),", ",CHAR(34),"endTime",CHAR(34),":",CHAR(34),TEXT(AF192,"hh:mm"),CHAR(34),", ",CHAR(34),"timeZone",CHAR(34),":",CHAR(34),AG192,CHAR(34)))),"}]'"),
CONCATENATE(
"{  startDate=",CHAR(34),TEXT(G192,"yyyy-mm-dd"),CHAR(34),
"  endDate=",CHAR(34),TEXT(G192+W192-1,"yyyy-mm-dd"),CHAR(34),"}"))),
" &gt;&lt;/add-to-calendar-button&gt;")</f>
        <v>&lt;add-to-calendar-button  name="Minnesota Double All-Day Singing"   location="Sat: Unity Unitarian Church, 733 Portland Ave, St. Paul, MN 55104; Sun: Audubon Recreation Center, 1320 29th Ave. NE, Minneapolis, MN 55418"   description="Sat 9am, Sun 9:30am; shapenotesingings.com"   options="'Apple','Google','iCal','Outlook.com'"   styleLight="--btn-background: #550000; --btn-text: #fff; --btn-shadow:#fff;" dates='[{"startDate":"2025-07-12", "endDate":"2025-07-12", "startTime":"09:00", "endTime":"15:00", "timeZone":"America/Chicago"}, {"startDate":"2025-07-13", "endDate":"2025-07-13", "startTime":"09:00", "endTime":"15:00", "timeZone":"America/Chicago"}]' &gt;&lt;/add-to-calendar-button&gt;</v>
      </c>
      <c r="AE192" s="24">
        <v>0.375</v>
      </c>
      <c r="AF192" s="24">
        <v>0.625</v>
      </c>
      <c r="AG192" s="25" t="s">
        <v>1533</v>
      </c>
    </row>
    <row r="193" spans="1:33" ht="13.8" customHeight="1" x14ac:dyDescent="0.3">
      <c r="A193" t="s">
        <v>79</v>
      </c>
      <c r="B193" t="s">
        <v>80</v>
      </c>
      <c r="C193" t="s">
        <v>1158</v>
      </c>
      <c r="D193" t="s">
        <v>557</v>
      </c>
      <c r="E193" t="s">
        <v>2178</v>
      </c>
      <c r="F193" t="s">
        <v>82</v>
      </c>
      <c r="G193" s="7">
        <f ca="1">X193</f>
        <v>45850</v>
      </c>
      <c r="H193" s="5" t="s">
        <v>868</v>
      </c>
      <c r="I193" t="s">
        <v>1044</v>
      </c>
      <c r="J193" s="36" t="s">
        <v>2757</v>
      </c>
      <c r="K193" t="s">
        <v>2041</v>
      </c>
      <c r="L193" t="s">
        <v>2037</v>
      </c>
      <c r="M193" s="16" t="s">
        <v>2038</v>
      </c>
      <c r="N193" s="16" t="s">
        <v>2039</v>
      </c>
      <c r="O193" s="7">
        <v>45419</v>
      </c>
      <c r="P193" s="7" t="s">
        <v>2040</v>
      </c>
      <c r="Q193" s="18">
        <v>7</v>
      </c>
      <c r="R193" s="18">
        <v>2</v>
      </c>
      <c r="S193" s="18">
        <v>1</v>
      </c>
      <c r="T193" s="4">
        <f>DATE(AI$2,$Q193,1+(($R193-($S193&gt;=WEEKDAY(DATE(AI$2,$Q193,1))))*7)+($S193-WEEKDAY(DATE(AI$2,$Q193,1))))</f>
        <v>45851</v>
      </c>
      <c r="U193" s="4">
        <f>DATE(AJ$2,$Q193,1+(($R193-($S193&gt;=WEEKDAY(DATE(AJ$2,$Q193,1))))*7)+($S193-WEEKDAY(DATE(AJ$2,$Q193,1))))</f>
        <v>46215</v>
      </c>
      <c r="V193" s="20">
        <v>-1</v>
      </c>
      <c r="W193" s="20">
        <v>1</v>
      </c>
      <c r="X193" s="4">
        <f ca="1">Y193-(W193-1)</f>
        <v>45850</v>
      </c>
      <c r="Y193" s="5">
        <f ca="1">IF(OR(T193+V193&lt;(NOW()-0.5),ISNUMBER(SEARCH("&lt;h4&gt;",K193))),U193+V193,T193+V193)</f>
        <v>45850</v>
      </c>
      <c r="Z193" t="str">
        <f ca="1">CONCATENATE(IF(OR(Y193=X193,ISBLANK(Y193)),TEXT(X193,"mmmm d"),CONCATENATE(TEXT(X193,"mmmm d"),"-",IF(TEXT(X193,"mmmm")=TEXT(Y193,"mmmm"),TEXT(Y193,"d"),TEXT(Y193,"mmmm d")))),", ",YEAR(Y193))</f>
        <v>July 12, 2025</v>
      </c>
      <c r="AA193" s="7">
        <f>O193</f>
        <v>45419</v>
      </c>
      <c r="AB193" s="14">
        <f>T193+V193-(W193-1)</f>
        <v>45850</v>
      </c>
      <c r="AC193" t="s">
        <v>1316</v>
      </c>
      <c r="AD193" s="23" t="str">
        <f ca="1">CONCATENATE("&lt;add-to-calendar-button  name=",CHAR(34),H193,CHAR(34),
IF(ISBLANK(M193),"",CONCATENATE("   location=",CHAR(34),RIGHT(M193,LEN(M193)-SEARCH("|",M193)-1),CHAR(34))),
"   description=",CHAR(34),IF(ISBLANK(I193),"",CONCATENATE(I193,"; ")),"shapenotesingings.com",CHAR(34),
"   options=",CHAR(34),"'Apple','Google','iCal','Outlook.com'",CHAR(34),"   styleLight=",CHAR(34),"--btn-background: #550000; --btn-text: #fff; --btn-shadow:#fff;",CHAR(34),
IF(W193=1,CONCATENATE(
"startDate=",CHAR(34),TEXT(G193,"yyyy-mm-dd"),CHAR(34),
"{endDate=",CHAR(34),TEXT(G193,"yyyy-mm-dd"),CHAR(34),
IF(OR(ISBLANK(AE193),ISBLANK(AF193)),"",(CONCATENATE(" startTime=",CHAR(34),TEXT(AE193,"hh:mm"),CHAR(34)," endTime=",CHAR(34),TEXT(AF193,"h:mm"),CHAR(34),
" timeZone=",CHAR(34),AG193,CHAR(34))))),
IF(W193=2,CONCATENATE(" dates='[{",
CHAR(34),"startDate",CHAR(34),":",CHAR(34),TEXT(G193,"yyyy-mm-dd"),CHAR(34),", ",
,CHAR(34),"endDate",CHAR(34),":",CHAR(34),TEXT(G193,"yyyy-mm-dd"),CHAR(34),
IF(OR(ISBLANK(AE193),ISBLANK(AF193)),"",(CONCATENATE(", ",CHAR(34),"startTime",CHAR(34),":",CHAR(34),TEXT(AE193,"hh:mm"),CHAR(34),", ",CHAR(34),"endTime",CHAR(34),":",CHAR(34),TEXT(AF193,"hh:mm"),CHAR(34),", ",CHAR(34),"timeZone",CHAR(34),":",CHAR(34),AG193,CHAR(34)))),"}, {",
,CHAR(34),"startDate",CHAR(34),":",CHAR(34),TEXT(G193+1,"yyyy-mm-dd"),CHAR(34),", ",
,CHAR(34),"endDate",CHAR(34),":",CHAR(34),TEXT(G193+W193-1,"yyyy-mm-dd"),CHAR(34),
IF(OR(ISBLANK(AE193),ISBLANK(AF193)),"",(CONCATENATE(", ",CHAR(34),"startTime",CHAR(34),":",CHAR(34),TEXT(AE193,"hh:mm"),CHAR(34),", ",CHAR(34),"endTime",CHAR(34),":",CHAR(34),TEXT(AF193,"hh:mm"),CHAR(34),", ",CHAR(34),"timeZone",CHAR(34),":",CHAR(34),AG193,CHAR(34)))),"}]'"),
CONCATENATE(
"{  startDate=",CHAR(34),TEXT(G193,"yyyy-mm-dd"),CHAR(34),
"  endDate=",CHAR(34),TEXT(G193+W193-1,"yyyy-mm-dd"),CHAR(34),"}"))),
" &gt;&lt;/add-to-calendar-button&gt;")</f>
        <v>&lt;add-to-calendar-button  name="Montreal All-Day Singing"   location="New Hope Senior Citizens' Centre, 6225 Avenue Godfrey, Montréal, QC H4B 1K3, CanadaH3J 1L8, Canada"   description="9am; shapenotesingings.com"   options="'Apple','Google','iCal','Outlook.com'"   styleLight="--btn-background: #550000; --btn-text: #fff; --btn-shadow:#fff;"startDate="2025-07-12"{endDate="2025-07-12" startTime="09:00" endTime="15:00" timeZone="America/Montreal" &gt;&lt;/add-to-calendar-button&gt;</v>
      </c>
      <c r="AE193" s="24">
        <v>0.375</v>
      </c>
      <c r="AF193" s="24">
        <v>0.625</v>
      </c>
      <c r="AG193" s="25" t="s">
        <v>1543</v>
      </c>
    </row>
    <row r="194" spans="1:33" ht="13.8" customHeight="1" x14ac:dyDescent="0.3">
      <c r="A194" t="s">
        <v>8</v>
      </c>
      <c r="B194" t="s">
        <v>80</v>
      </c>
      <c r="C194" t="s">
        <v>1158</v>
      </c>
      <c r="D194" t="s">
        <v>1960</v>
      </c>
      <c r="E194" t="s">
        <v>2178</v>
      </c>
      <c r="F194" t="s">
        <v>546</v>
      </c>
      <c r="G194" s="7">
        <f ca="1">X194</f>
        <v>45851</v>
      </c>
      <c r="H194" s="5" t="s">
        <v>1958</v>
      </c>
      <c r="I194" t="s">
        <v>1039</v>
      </c>
      <c r="J194" s="36" t="s">
        <v>2758</v>
      </c>
      <c r="L194" t="s">
        <v>1998</v>
      </c>
      <c r="M194" s="16" t="s">
        <v>1959</v>
      </c>
      <c r="N194" s="16" t="s">
        <v>1961</v>
      </c>
      <c r="O194" s="7">
        <v>45383</v>
      </c>
      <c r="P194" s="7" t="s">
        <v>1999</v>
      </c>
      <c r="Q194" s="18">
        <v>7</v>
      </c>
      <c r="R194" s="18">
        <v>2</v>
      </c>
      <c r="S194" s="18">
        <v>1</v>
      </c>
      <c r="T194" s="4">
        <f>DATE(AI$2,$Q194,1+(($R194-($S194&gt;=WEEKDAY(DATE(AI$2,$Q194,1))))*7)+($S194-WEEKDAY(DATE(AI$2,$Q194,1))))</f>
        <v>45851</v>
      </c>
      <c r="U194" s="4">
        <f>DATE(AJ$2,$Q194,1+(($R194-($S194&gt;=WEEKDAY(DATE(AJ$2,$Q194,1))))*7)+($S194-WEEKDAY(DATE(AJ$2,$Q194,1))))</f>
        <v>46215</v>
      </c>
      <c r="V194" s="20">
        <v>0</v>
      </c>
      <c r="W194" s="20">
        <v>1</v>
      </c>
      <c r="X194" s="4">
        <f ca="1">Y194-(W194-1)</f>
        <v>45851</v>
      </c>
      <c r="Y194" s="5">
        <f ca="1">IF(OR(T194+V194&lt;(NOW()-0.5),ISNUMBER(SEARCH("&lt;h4&gt;",K194))),U194+V194,T194+V194)</f>
        <v>45851</v>
      </c>
      <c r="Z194" t="str">
        <f ca="1">CONCATENATE(IF(OR(Y194=X194,ISBLANK(Y194)),TEXT(X194,"mmmm d"),CONCATENATE(TEXT(X194,"mmmm d"),"-",IF(TEXT(X194,"mmmm")=TEXT(Y194,"mmmm"),TEXT(Y194,"d"),TEXT(Y194,"mmmm d")))),", ",YEAR(Y194))</f>
        <v>July 13, 2025</v>
      </c>
      <c r="AA194" s="7">
        <f>O194</f>
        <v>45383</v>
      </c>
      <c r="AB194" s="14">
        <f>T194+V194-(W194-1)</f>
        <v>45851</v>
      </c>
      <c r="AC194" t="s">
        <v>1962</v>
      </c>
      <c r="AD194" s="23" t="str">
        <f ca="1">CONCATENATE("&lt;add-to-calendar-button  name=",CHAR(34),H194,CHAR(34),
IF(ISBLANK(M194),"",CONCATENATE("   location=",CHAR(34),RIGHT(M194,LEN(M194)-SEARCH("|",M194)-1),CHAR(34))),
"   description=",CHAR(34),IF(ISBLANK(I194),"",CONCATENATE(I194,"; ")),"shapenotesingings.com",CHAR(34),
"   options=",CHAR(34),"'Apple','Google','iCal','Outlook.com'",CHAR(34),"   styleLight=",CHAR(34),"--btn-background: #550000; --btn-text: #fff; --btn-shadow:#fff;",CHAR(34),
IF(W194=1,CONCATENATE(
"startDate=",CHAR(34),TEXT(G194,"yyyy-mm-dd"),CHAR(34),
"{endDate=",CHAR(34),TEXT(G194,"yyyy-mm-dd"),CHAR(34),
IF(OR(ISBLANK(AE194),ISBLANK(AF194)),"",(CONCATENATE(" startTime=",CHAR(34),TEXT(AE194,"hh:mm"),CHAR(34)," endTime=",CHAR(34),TEXT(AF194,"h:mm"),CHAR(34),
" timeZone=",CHAR(34),AG194,CHAR(34))))),
IF(W194=2,CONCATENATE(" dates='[{",
CHAR(34),"startDate",CHAR(34),":",CHAR(34),TEXT(G194,"yyyy-mm-dd"),CHAR(34),", ",
,CHAR(34),"endDate",CHAR(34),":",CHAR(34),TEXT(G194,"yyyy-mm-dd"),CHAR(34),
IF(OR(ISBLANK(AE194),ISBLANK(AF194)),"",(CONCATENATE(", ",CHAR(34),"startTime",CHAR(34),":",CHAR(34),TEXT(AE194,"hh:mm"),CHAR(34),", ",CHAR(34),"endTime",CHAR(34),":",CHAR(34),TEXT(AF194,"hh:mm"),CHAR(34),", ",CHAR(34),"timeZone",CHAR(34),":",CHAR(34),AG194,CHAR(34)))),"}, {",
,CHAR(34),"startDate",CHAR(34),":",CHAR(34),TEXT(G194+1,"yyyy-mm-dd"),CHAR(34),", ",
,CHAR(34),"endDate",CHAR(34),":",CHAR(34),TEXT(G194+W194-1,"yyyy-mm-dd"),CHAR(34),
IF(OR(ISBLANK(AE194),ISBLANK(AF194)),"",(CONCATENATE(", ",CHAR(34),"startTime",CHAR(34),":",CHAR(34),TEXT(AE194,"hh:mm"),CHAR(34),", ",CHAR(34),"endTime",CHAR(34),":",CHAR(34),TEXT(AF194,"hh:mm"),CHAR(34),", ",CHAR(34),"timeZone",CHAR(34),":",CHAR(34),AG194,CHAR(34)))),"}]'"),
CONCATENATE(
"{  startDate=",CHAR(34),TEXT(G194,"yyyy-mm-dd"),CHAR(34),
"  endDate=",CHAR(34),TEXT(G194+W194-1,"yyyy-mm-dd"),CHAR(34),"}"))),
" &gt;&lt;/add-to-calendar-button&gt;")</f>
        <v>&lt;add-to-calendar-button  name="Eastern Townships Sacred Harp All-Day Singing"   location="Way's Mills Community Centre, 2081 Chemin de Way's Mills, Barnston-Ouest, QC J1A, Canada"   description="10am-3:30pm; shapenotesingings.com"   options="'Apple','Google','iCal','Outlook.com'"   styleLight="--btn-background: #550000; --btn-text: #fff; --btn-shadow:#fff;"startDate="2025-07-13"{endDate="2025-07-13" startTime="10:00" endTime="15:30" timeZone="America/New_York" &gt;&lt;/add-to-calendar-button&gt;</v>
      </c>
      <c r="AE194" s="24">
        <v>0.41666666666666669</v>
      </c>
      <c r="AF194" s="24">
        <v>0.64583333333333337</v>
      </c>
      <c r="AG194" s="25" t="s">
        <v>1532</v>
      </c>
    </row>
    <row r="195" spans="1:33" ht="13.8" customHeight="1" x14ac:dyDescent="0.3">
      <c r="A195" t="s">
        <v>8</v>
      </c>
      <c r="B195" t="s">
        <v>11</v>
      </c>
      <c r="C195" t="s">
        <v>1134</v>
      </c>
      <c r="D195" t="s">
        <v>27</v>
      </c>
      <c r="E195" t="s">
        <v>2180</v>
      </c>
      <c r="F195" t="s">
        <v>547</v>
      </c>
      <c r="G195" s="7">
        <f ca="1">X195</f>
        <v>45855</v>
      </c>
      <c r="H195" s="5" t="s">
        <v>908</v>
      </c>
      <c r="I195" t="s">
        <v>1040</v>
      </c>
      <c r="J195" s="36" t="s">
        <v>2606</v>
      </c>
      <c r="L195" t="s">
        <v>2152</v>
      </c>
      <c r="M195" s="16" t="s">
        <v>1015</v>
      </c>
      <c r="N195" s="16" t="s">
        <v>520</v>
      </c>
      <c r="O195" s="7">
        <v>44936</v>
      </c>
      <c r="P195" s="7" t="s">
        <v>926</v>
      </c>
      <c r="Q195" s="18">
        <v>7</v>
      </c>
      <c r="R195" s="18">
        <v>3</v>
      </c>
      <c r="S195" s="18">
        <v>5</v>
      </c>
      <c r="T195" s="4">
        <f>DATE(AI$2,$Q195,1+(($R195-($S195&gt;=WEEKDAY(DATE(AI$2,$Q195,1))))*7)+($S195-WEEKDAY(DATE(AI$2,$Q195,1))))</f>
        <v>45855</v>
      </c>
      <c r="U195" s="4">
        <f>DATE(AJ$2,$Q195,1+(($R195-($S195&gt;=WEEKDAY(DATE(AJ$2,$Q195,1))))*7)+($S195-WEEKDAY(DATE(AJ$2,$Q195,1))))</f>
        <v>46219</v>
      </c>
      <c r="V195" s="20">
        <v>0</v>
      </c>
      <c r="W195" s="20">
        <v>1</v>
      </c>
      <c r="X195" s="4">
        <f ca="1">Y195-(W195-1)</f>
        <v>45855</v>
      </c>
      <c r="Y195" s="5">
        <f ca="1">IF(OR(T195+V195&lt;(NOW()-0.5),ISNUMBER(SEARCH("&lt;h4&gt;",K195))),U195+V195,T195+V195)</f>
        <v>45855</v>
      </c>
      <c r="Z195" t="str">
        <f ca="1">CONCATENATE(IF(OR(Y195=X195,ISBLANK(Y195)),TEXT(X195,"mmmm d"),CONCATENATE(TEXT(X195,"mmmm d"),"-",IF(TEXT(X195,"mmmm")=TEXT(Y195,"mmmm"),TEXT(Y195,"d"),TEXT(Y195,"mmmm d")))),", ",YEAR(Y195))</f>
        <v>July 17, 2025</v>
      </c>
      <c r="AA195" s="7">
        <f>O195</f>
        <v>44936</v>
      </c>
      <c r="AB195" s="14">
        <f>T195+V195-(W195-1)</f>
        <v>45855</v>
      </c>
      <c r="AC195" t="s">
        <v>1321</v>
      </c>
      <c r="AD195" s="23" t="str">
        <f ca="1">CONCATENATE("&lt;add-to-calendar-button  name=",CHAR(34),H195,CHAR(34),
IF(ISBLANK(M195),"",CONCATENATE("   location=",CHAR(34),RIGHT(M195,LEN(M195)-SEARCH("|",M195)-1),CHAR(34))),
"   description=",CHAR(34),IF(ISBLANK(I195),"",CONCATENATE(I195,"; ")),"shapenotesingings.com",CHAR(34),
"   options=",CHAR(34),"'Apple','Google','iCal','Outlook.com'",CHAR(34),"   styleLight=",CHAR(34),"--btn-background: #550000; --btn-text: #fff; --btn-shadow:#fff;",CHAR(34),
IF(W195=1,CONCATENATE(
"startDate=",CHAR(34),TEXT(G195,"yyyy-mm-dd"),CHAR(34),
"{endDate=",CHAR(34),TEXT(G195,"yyyy-mm-dd"),CHAR(34),
IF(OR(ISBLANK(AE195),ISBLANK(AF195)),"",(CONCATENATE(" startTime=",CHAR(34),TEXT(AE195,"hh:mm"),CHAR(34)," endTime=",CHAR(34),TEXT(AF195,"h:mm"),CHAR(34),
" timeZone=",CHAR(34),AG195,CHAR(34))))),
IF(W195=2,CONCATENATE(" dates='[{",
CHAR(34),"startDate",CHAR(34),":",CHAR(34),TEXT(G195,"yyyy-mm-dd"),CHAR(34),", ",
,CHAR(34),"endDate",CHAR(34),":",CHAR(34),TEXT(G195,"yyyy-mm-dd"),CHAR(34),
IF(OR(ISBLANK(AE195),ISBLANK(AF195)),"",(CONCATENATE(", ",CHAR(34),"startTime",CHAR(34),":",CHAR(34),TEXT(AE195,"hh:mm"),CHAR(34),", ",CHAR(34),"endTime",CHAR(34),":",CHAR(34),TEXT(AF195,"hh:mm"),CHAR(34),", ",CHAR(34),"timeZone",CHAR(34),":",CHAR(34),AG195,CHAR(34)))),"}, {",
,CHAR(34),"startDate",CHAR(34),":",CHAR(34),TEXT(G195+1,"yyyy-mm-dd"),CHAR(34),", ",
,CHAR(34),"endDate",CHAR(34),":",CHAR(34),TEXT(G195+W195-1,"yyyy-mm-dd"),CHAR(34),
IF(OR(ISBLANK(AE195),ISBLANK(AF195)),"",(CONCATENATE(", ",CHAR(34),"startTime",CHAR(34),":",CHAR(34),TEXT(AE195,"hh:mm"),CHAR(34),", ",CHAR(34),"endTime",CHAR(34),":",CHAR(34),TEXT(AF195,"hh:mm"),CHAR(34),", ",CHAR(34),"timeZone",CHAR(34),":",CHAR(34),AG195,CHAR(34)))),"}]'"),
CONCATENATE(
"{  startDate=",CHAR(34),TEXT(G195,"yyyy-mm-dd"),CHAR(34),
"  endDate=",CHAR(34),TEXT(G195+W195-1,"yyyy-mm-dd"),CHAR(34),"}"))),
" &gt;&lt;/add-to-calendar-button&gt;")</f>
        <v>&lt;add-to-calendar-button  name="Capital City Shape Note Singing"   location="Old Alabama Town, 301 Columbus St, Montgomery, AL 36104"   description="9:30am; shapenotesingings.com"   options="'Apple','Google','iCal','Outlook.com'"   styleLight="--btn-background: #550000; --btn-text: #fff; --btn-shadow:#fff;"startDate="2025-07-17"{endDate="2025-07-17" startTime="09:30" endTime="15:00" timeZone="America/Chicago" &gt;&lt;/add-to-calendar-button&gt;</v>
      </c>
      <c r="AE195" s="24">
        <v>0.39583333333333331</v>
      </c>
      <c r="AF195" s="24">
        <v>0.625</v>
      </c>
      <c r="AG195" s="25" t="s">
        <v>1533</v>
      </c>
    </row>
    <row r="196" spans="1:33" ht="13.8" customHeight="1" x14ac:dyDescent="0.3">
      <c r="A196" t="s">
        <v>144</v>
      </c>
      <c r="B196" t="s">
        <v>144</v>
      </c>
      <c r="C196" t="s">
        <v>1162</v>
      </c>
      <c r="D196" t="s">
        <v>529</v>
      </c>
      <c r="E196" t="s">
        <v>2183</v>
      </c>
      <c r="F196" t="s">
        <v>549</v>
      </c>
      <c r="G196" s="7">
        <f ca="1">X196</f>
        <v>45857</v>
      </c>
      <c r="H196" s="5" t="s">
        <v>527</v>
      </c>
      <c r="I196" t="s">
        <v>2159</v>
      </c>
      <c r="J196" s="36" t="s">
        <v>2605</v>
      </c>
      <c r="K196" t="s">
        <v>1087</v>
      </c>
      <c r="L196" t="s">
        <v>973</v>
      </c>
      <c r="M196" s="16" t="s">
        <v>528</v>
      </c>
      <c r="N196" s="16" t="s">
        <v>530</v>
      </c>
      <c r="O196" s="7">
        <v>44927</v>
      </c>
      <c r="P196" s="7" t="s">
        <v>938</v>
      </c>
      <c r="Q196" s="18">
        <v>7</v>
      </c>
      <c r="R196" s="18">
        <v>3</v>
      </c>
      <c r="S196" s="18">
        <v>1</v>
      </c>
      <c r="T196" s="4">
        <f>DATE(AI$2,$Q196,1+(($R196-($S196&gt;=WEEKDAY(DATE(AI$2,$Q196,1))))*7)+($S196-WEEKDAY(DATE(AI$2,$Q196,1))))</f>
        <v>45858</v>
      </c>
      <c r="U196" s="4">
        <f>DATE(AJ$2,$Q196,1+(($R196-($S196&gt;=WEEKDAY(DATE(AJ$2,$Q196,1))))*7)+($S196-WEEKDAY(DATE(AJ$2,$Q196,1))))</f>
        <v>46222</v>
      </c>
      <c r="V196" s="20">
        <v>0</v>
      </c>
      <c r="W196" s="20">
        <v>2</v>
      </c>
      <c r="X196" s="4">
        <f ca="1">Y196-(W196-1)</f>
        <v>45857</v>
      </c>
      <c r="Y196" s="5">
        <f ca="1">IF(OR(T196+V196&lt;(NOW()-0.5),ISNUMBER(SEARCH("&lt;h4&gt;",K196))),U196+V196,T196+V196)</f>
        <v>45858</v>
      </c>
      <c r="Z196" t="str">
        <f ca="1">CONCATENATE(IF(OR(Y196=X196,ISBLANK(Y196)),TEXT(X196,"mmmm d"),CONCATENATE(TEXT(X196,"mmmm d"),"-",IF(TEXT(X196,"mmmm")=TEXT(Y196,"mmmm"),TEXT(Y196,"d"),TEXT(Y196,"mmmm d")))),", ",YEAR(Y196))</f>
        <v>July 19-20, 2025</v>
      </c>
      <c r="AA196" s="7">
        <f>O196</f>
        <v>44927</v>
      </c>
      <c r="AB196" s="14">
        <f>T196+V196-(W196-1)</f>
        <v>45857</v>
      </c>
      <c r="AC196" t="s">
        <v>1318</v>
      </c>
      <c r="AD196" s="23" t="str">
        <f ca="1">CONCATENATE("&lt;add-to-calendar-button  name=",CHAR(34),H196,CHAR(34),
IF(ISBLANK(M196),"",CONCATENATE("   location=",CHAR(34),RIGHT(M196,LEN(M196)-SEARCH("|",M196)-1),CHAR(34))),
"   description=",CHAR(34),IF(ISBLANK(I196),"",CONCATENATE(I196,"; ")),"shapenotesingings.com",CHAR(34),
"   options=",CHAR(34),"'Apple','Google','iCal','Outlook.com'",CHAR(34),"   styleLight=",CHAR(34),"--btn-background: #550000; --btn-text: #fff; --btn-shadow:#fff;",CHAR(34),
IF(W196=1,CONCATENATE(
"startDate=",CHAR(34),TEXT(G196,"yyyy-mm-dd"),CHAR(34),
"{endDate=",CHAR(34),TEXT(G196,"yyyy-mm-dd"),CHAR(34),
IF(OR(ISBLANK(AE196),ISBLANK(AF196)),"",(CONCATENATE(" startTime=",CHAR(34),TEXT(AE196,"hh:mm"),CHAR(34)," endTime=",CHAR(34),TEXT(AF196,"h:mm"),CHAR(34),
" timeZone=",CHAR(34),AG196,CHAR(34))))),
IF(W196=2,CONCATENATE(" dates='[{",
CHAR(34),"startDate",CHAR(34),":",CHAR(34),TEXT(G196,"yyyy-mm-dd"),CHAR(34),", ",
,CHAR(34),"endDate",CHAR(34),":",CHAR(34),TEXT(G196,"yyyy-mm-dd"),CHAR(34),
IF(OR(ISBLANK(AE196),ISBLANK(AF196)),"",(CONCATENATE(", ",CHAR(34),"startTime",CHAR(34),":",CHAR(34),TEXT(AE196,"hh:mm"),CHAR(34),", ",CHAR(34),"endTime",CHAR(34),":",CHAR(34),TEXT(AF196,"hh:mm"),CHAR(34),", ",CHAR(34),"timeZone",CHAR(34),":",CHAR(34),AG196,CHAR(34)))),"}, {",
,CHAR(34),"startDate",CHAR(34),":",CHAR(34),TEXT(G196+1,"yyyy-mm-dd"),CHAR(34),", ",
,CHAR(34),"endDate",CHAR(34),":",CHAR(34),TEXT(G196+W196-1,"yyyy-mm-dd"),CHAR(34),
IF(OR(ISBLANK(AE196),ISBLANK(AF196)),"",(CONCATENATE(", ",CHAR(34),"startTime",CHAR(34),":",CHAR(34),TEXT(AE196,"hh:mm"),CHAR(34),", ",CHAR(34),"endTime",CHAR(34),":",CHAR(34),TEXT(AF196,"hh:mm"),CHAR(34),", ",CHAR(34),"timeZone",CHAR(34),":",CHAR(34),AG196,CHAR(34)))),"}]'"),
CONCATENATE(
"{  startDate=",CHAR(34),TEXT(G196,"yyyy-mm-dd"),CHAR(34),
"  endDate=",CHAR(34),TEXT(G196+W196-1,"yyyy-mm-dd"),CHAR(34),"}"))),
" &gt;&lt;/add-to-calendar-button&gt;")</f>
        <v>&lt;add-to-calendar-button  name="Gwehelog Singing Weekend"   location="Gwehelog Methodist Chapel Gwehelog, Usk, NP15 1RD, United Kingdom "   description="10:30am-2pm; shapenotesingings.com"   options="'Apple','Google','iCal','Outlook.com'"   styleLight="--btn-background: #550000; --btn-text: #fff; --btn-shadow:#fff;" dates='[{"startDate":"2025-07-19", "endDate":"2025-07-19", "startTime":"10:30", "endTime":"15:00", "timeZone":"Europe/London"}, {"startDate":"2025-07-20", "endDate":"2025-07-20", "startTime":"10:30", "endTime":"15:00", "timeZone":"Europe/London"}]' &gt;&lt;/add-to-calendar-button&gt;</v>
      </c>
      <c r="AE196" s="24">
        <v>0.4375</v>
      </c>
      <c r="AF196" s="24">
        <v>0.625</v>
      </c>
      <c r="AG196" s="25" t="s">
        <v>1535</v>
      </c>
    </row>
    <row r="197" spans="1:33" ht="13.8" customHeight="1" x14ac:dyDescent="0.3">
      <c r="A197" t="s">
        <v>8</v>
      </c>
      <c r="B197" t="s">
        <v>523</v>
      </c>
      <c r="C197" t="s">
        <v>1145</v>
      </c>
      <c r="D197" t="s">
        <v>524</v>
      </c>
      <c r="E197" t="s">
        <v>2178</v>
      </c>
      <c r="F197" t="s">
        <v>548</v>
      </c>
      <c r="G197" s="7">
        <f ca="1">X197</f>
        <v>45857</v>
      </c>
      <c r="H197" s="5" t="s">
        <v>522</v>
      </c>
      <c r="I197" t="s">
        <v>1040</v>
      </c>
      <c r="J197" s="36" t="s">
        <v>2759</v>
      </c>
      <c r="L197" t="s">
        <v>2133</v>
      </c>
      <c r="M197" s="16" t="s">
        <v>2888</v>
      </c>
      <c r="N197" s="16" t="s">
        <v>2889</v>
      </c>
      <c r="O197" s="7">
        <v>45732</v>
      </c>
      <c r="P197" s="7" t="s">
        <v>1618</v>
      </c>
      <c r="Q197" s="18">
        <v>7</v>
      </c>
      <c r="R197" s="18">
        <v>3</v>
      </c>
      <c r="S197" s="18">
        <v>1</v>
      </c>
      <c r="T197" s="4">
        <f>DATE(AI$2,$Q197,1+(($R197-($S197&gt;=WEEKDAY(DATE(AI$2,$Q197,1))))*7)+($S197-WEEKDAY(DATE(AI$2,$Q197,1))))</f>
        <v>45858</v>
      </c>
      <c r="U197" s="4">
        <f>DATE(AJ$2,$Q197,1+(($R197-($S197&gt;=WEEKDAY(DATE(AJ$2,$Q197,1))))*7)+($S197-WEEKDAY(DATE(AJ$2,$Q197,1))))</f>
        <v>46222</v>
      </c>
      <c r="V197" s="20">
        <v>-1</v>
      </c>
      <c r="W197" s="20">
        <v>1</v>
      </c>
      <c r="X197" s="4">
        <f ca="1">Y197-(W197-1)</f>
        <v>45857</v>
      </c>
      <c r="Y197" s="5">
        <f ca="1">IF(OR(T197+V197&lt;(NOW()-0.5),ISNUMBER(SEARCH("&lt;h4&gt;",K197))),U197+V197,T197+V197)</f>
        <v>45857</v>
      </c>
      <c r="Z197" t="str">
        <f ca="1">CONCATENATE(IF(OR(Y197=X197,ISBLANK(Y197)),TEXT(X197,"mmmm d"),CONCATENATE(TEXT(X197,"mmmm d"),"-",IF(TEXT(X197,"mmmm")=TEXT(Y197,"mmmm"),TEXT(Y197,"d"),TEXT(Y197,"mmmm d")))),", ",YEAR(Y197))</f>
        <v>July 19, 2025</v>
      </c>
      <c r="AA197" s="7">
        <f>O197</f>
        <v>45732</v>
      </c>
      <c r="AB197" s="14">
        <f>T197+V197-(W197-1)</f>
        <v>45857</v>
      </c>
      <c r="AC197" t="s">
        <v>2890</v>
      </c>
      <c r="AD197" s="23" t="str">
        <f ca="1">CONCATENATE("&lt;add-to-calendar-button  name=",CHAR(34),H197,CHAR(34),
IF(ISBLANK(M197),"",CONCATENATE("   location=",CHAR(34),RIGHT(M197,LEN(M197)-SEARCH("|",M197)-1),CHAR(34))),
"   description=",CHAR(34),IF(ISBLANK(I197),"",CONCATENATE(I197,"; ")),"shapenotesingings.com",CHAR(34),
"   options=",CHAR(34),"'Apple','Google','iCal','Outlook.com'",CHAR(34),"   styleLight=",CHAR(34),"--btn-background: #550000; --btn-text: #fff; --btn-shadow:#fff;",CHAR(34),
IF(W197=1,CONCATENATE(
"startDate=",CHAR(34),TEXT(G197,"yyyy-mm-dd"),CHAR(34),
"{endDate=",CHAR(34),TEXT(G197,"yyyy-mm-dd"),CHAR(34),
IF(OR(ISBLANK(AE197),ISBLANK(AF197)),"",(CONCATENATE(" startTime=",CHAR(34),TEXT(AE197,"hh:mm"),CHAR(34)," endTime=",CHAR(34),TEXT(AF197,"h:mm"),CHAR(34),
" timeZone=",CHAR(34),AG197,CHAR(34))))),
IF(W197=2,CONCATENATE(" dates='[{",
CHAR(34),"startDate",CHAR(34),":",CHAR(34),TEXT(G197,"yyyy-mm-dd"),CHAR(34),", ",
,CHAR(34),"endDate",CHAR(34),":",CHAR(34),TEXT(G197,"yyyy-mm-dd"),CHAR(34),
IF(OR(ISBLANK(AE197),ISBLANK(AF197)),"",(CONCATENATE(", ",CHAR(34),"startTime",CHAR(34),":",CHAR(34),TEXT(AE197,"hh:mm"),CHAR(34),", ",CHAR(34),"endTime",CHAR(34),":",CHAR(34),TEXT(AF197,"hh:mm"),CHAR(34),", ",CHAR(34),"timeZone",CHAR(34),":",CHAR(34),AG197,CHAR(34)))),"}, {",
,CHAR(34),"startDate",CHAR(34),":",CHAR(34),TEXT(G197+1,"yyyy-mm-dd"),CHAR(34),", ",
,CHAR(34),"endDate",CHAR(34),":",CHAR(34),TEXT(G197+W197-1,"yyyy-mm-dd"),CHAR(34),
IF(OR(ISBLANK(AE197),ISBLANK(AF197)),"",(CONCATENATE(", ",CHAR(34),"startTime",CHAR(34),":",CHAR(34),TEXT(AE197,"hh:mm"),CHAR(34),", ",CHAR(34),"endTime",CHAR(34),":",CHAR(34),TEXT(AF197,"hh:mm"),CHAR(34),", ",CHAR(34),"timeZone",CHAR(34),":",CHAR(34),AG197,CHAR(34)))),"}]'"),
CONCATENATE(
"{  startDate=",CHAR(34),TEXT(G197,"yyyy-mm-dd"),CHAR(34),
"  endDate=",CHAR(34),TEXT(G197+W197-1,"yyyy-mm-dd"),CHAR(34),"}"))),
" &gt;&lt;/add-to-calendar-button&gt;")</f>
        <v>&lt;add-to-calendar-button  name="Michiana Singing"   location="Assembly Mennonite Church, 727 New York St, Goshen, IN 46526"   description="9:30am; shapenotesingings.com"   options="'Apple','Google','iCal','Outlook.com'"   styleLight="--btn-background: #550000; --btn-text: #fff; --btn-shadow:#fff;"startDate="2025-07-19"{endDate="2025-07-19" startTime="09:30" endTime="15:00" timeZone="America/New_York" &gt;&lt;/add-to-calendar-button&gt;</v>
      </c>
      <c r="AE197" s="24">
        <v>0.39583333333333331</v>
      </c>
      <c r="AF197" s="24">
        <v>0.625</v>
      </c>
      <c r="AG197" s="25" t="s">
        <v>1532</v>
      </c>
    </row>
    <row r="198" spans="1:33" ht="13.8" customHeight="1" x14ac:dyDescent="0.3">
      <c r="A198" t="s">
        <v>8</v>
      </c>
      <c r="B198" t="s">
        <v>525</v>
      </c>
      <c r="C198" t="s">
        <v>1138</v>
      </c>
      <c r="D198" t="s">
        <v>526</v>
      </c>
      <c r="E198" t="s">
        <v>2178</v>
      </c>
      <c r="F198" t="s">
        <v>548</v>
      </c>
      <c r="G198" s="7">
        <f ca="1">X198</f>
        <v>45857</v>
      </c>
      <c r="H198" s="5" t="s">
        <v>2027</v>
      </c>
      <c r="I198" t="s">
        <v>1566</v>
      </c>
      <c r="J198" s="36" t="s">
        <v>2760</v>
      </c>
      <c r="L198" t="s">
        <v>2029</v>
      </c>
      <c r="M198" s="16" t="s">
        <v>1592</v>
      </c>
      <c r="N198" s="16" t="s">
        <v>1593</v>
      </c>
      <c r="O198" s="7">
        <v>45405</v>
      </c>
      <c r="P198" s="7" t="s">
        <v>2028</v>
      </c>
      <c r="Q198" s="18">
        <v>7</v>
      </c>
      <c r="R198" s="18">
        <v>3</v>
      </c>
      <c r="S198" s="18">
        <v>1</v>
      </c>
      <c r="T198" s="4">
        <f>DATE(AI$2,$Q198,1+(($R198-($S198&gt;=WEEKDAY(DATE(AI$2,$Q198,1))))*7)+($S198-WEEKDAY(DATE(AI$2,$Q198,1))))</f>
        <v>45858</v>
      </c>
      <c r="U198" s="4">
        <f>DATE(AJ$2,$Q198,1+(($R198-($S198&gt;=WEEKDAY(DATE(AJ$2,$Q198,1))))*7)+($S198-WEEKDAY(DATE(AJ$2,$Q198,1))))</f>
        <v>46222</v>
      </c>
      <c r="V198" s="20">
        <v>0</v>
      </c>
      <c r="W198" s="20">
        <v>2</v>
      </c>
      <c r="X198" s="4">
        <f ca="1">Y198-(W198-1)</f>
        <v>45857</v>
      </c>
      <c r="Y198" s="5">
        <f ca="1">IF(OR(T198+V198&lt;(NOW()-0.5),ISNUMBER(SEARCH("&lt;h4&gt;",K198))),U198+V198,T198+V198)</f>
        <v>45858</v>
      </c>
      <c r="Z198" t="str">
        <f ca="1">CONCATENATE(IF(OR(Y198=X198,ISBLANK(Y198)),TEXT(X198,"mmmm d"),CONCATENATE(TEXT(X198,"mmmm d"),"-",IF(TEXT(X198,"mmmm")=TEXT(Y198,"mmmm"),TEXT(Y198,"d"),TEXT(Y198,"mmmm d")))),", ",YEAR(Y198))</f>
        <v>July 19-20, 2025</v>
      </c>
      <c r="AA198" s="7">
        <f>O198</f>
        <v>45405</v>
      </c>
      <c r="AB198" s="14">
        <f>T198+V198-(W198-1)</f>
        <v>45857</v>
      </c>
      <c r="AC198" t="s">
        <v>1594</v>
      </c>
      <c r="AD198" s="23" t="str">
        <f ca="1">CONCATENATE("&lt;add-to-calendar-button  name=",CHAR(34),H198,CHAR(34),
IF(ISBLANK(M198),"",CONCATENATE("   location=",CHAR(34),RIGHT(M198,LEN(M198)-SEARCH("|",M198)-1),CHAR(34))),
"   description=",CHAR(34),IF(ISBLANK(I198),"",CONCATENATE(I198,"; ")),"shapenotesingings.com",CHAR(34),
"   options=",CHAR(34),"'Apple','Google','iCal','Outlook.com'",CHAR(34),"   styleLight=",CHAR(34),"--btn-background: #550000; --btn-text: #fff; --btn-shadow:#fff;",CHAR(34),
IF(W198=1,CONCATENATE(
"startDate=",CHAR(34),TEXT(G198,"yyyy-mm-dd"),CHAR(34),
"{endDate=",CHAR(34),TEXT(G198,"yyyy-mm-dd"),CHAR(34),
IF(OR(ISBLANK(AE198),ISBLANK(AF198)),"",(CONCATENATE(" startTime=",CHAR(34),TEXT(AE198,"hh:mm"),CHAR(34)," endTime=",CHAR(34),TEXT(AF198,"h:mm"),CHAR(34),
" timeZone=",CHAR(34),AG198,CHAR(34))))),
IF(W198=2,CONCATENATE(" dates='[{",
CHAR(34),"startDate",CHAR(34),":",CHAR(34),TEXT(G198,"yyyy-mm-dd"),CHAR(34),", ",
,CHAR(34),"endDate",CHAR(34),":",CHAR(34),TEXT(G198,"yyyy-mm-dd"),CHAR(34),
IF(OR(ISBLANK(AE198),ISBLANK(AF198)),"",(CONCATENATE(", ",CHAR(34),"startTime",CHAR(34),":",CHAR(34),TEXT(AE198,"hh:mm"),CHAR(34),", ",CHAR(34),"endTime",CHAR(34),":",CHAR(34),TEXT(AF198,"hh:mm"),CHAR(34),", ",CHAR(34),"timeZone",CHAR(34),":",CHAR(34),AG198,CHAR(34)))),"}, {",
,CHAR(34),"startDate",CHAR(34),":",CHAR(34),TEXT(G198+1,"yyyy-mm-dd"),CHAR(34),", ",
,CHAR(34),"endDate",CHAR(34),":",CHAR(34),TEXT(G198+W198-1,"yyyy-mm-dd"),CHAR(34),
IF(OR(ISBLANK(AE198),ISBLANK(AF198)),"",(CONCATENATE(", ",CHAR(34),"startTime",CHAR(34),":",CHAR(34),TEXT(AE198,"hh:mm"),CHAR(34),", ",CHAR(34),"endTime",CHAR(34),":",CHAR(34),TEXT(AF198,"hh:mm"),CHAR(34),", ",CHAR(34),"timeZone",CHAR(34),":",CHAR(34),AG198,CHAR(34)))),"}]'"),
CONCATENATE(
"{  startDate=",CHAR(34),TEXT(G198,"yyyy-mm-dd"),CHAR(34),
"  endDate=",CHAR(34),TEXT(G198+W198-1,"yyyy-mm-dd"),CHAR(34),"}"))),
" &gt;&lt;/add-to-calendar-button&gt;")</f>
        <v>&lt;add-to-calendar-button  name="Rocky Mountain Convention"   location="Westminster Grange Hall, 3935 W 73rd Ave, Westminster, CO 80030"   description="9:30am-4:00pm; shapenotesingings.com"   options="'Apple','Google','iCal','Outlook.com'"   styleLight="--btn-background: #550000; --btn-text: #fff; --btn-shadow:#fff;" dates='[{"startDate":"2025-07-19", "endDate":"2025-07-19", "startTime":"09:30", "endTime":"16:00", "timeZone":"America/Denver"}, {"startDate":"2025-07-20", "endDate":"2025-07-20", "startTime":"09:30", "endTime":"16:00", "timeZone":"America/Denver"}]' &gt;&lt;/add-to-calendar-button&gt;</v>
      </c>
      <c r="AE198" s="24">
        <v>0.39583333333333331</v>
      </c>
      <c r="AF198" s="24">
        <v>0.66666666666666663</v>
      </c>
      <c r="AG198" s="25" t="s">
        <v>1537</v>
      </c>
    </row>
    <row r="199" spans="1:33" ht="13.8" customHeight="1" x14ac:dyDescent="0.3">
      <c r="A199" t="s">
        <v>8</v>
      </c>
      <c r="B199" t="s">
        <v>11</v>
      </c>
      <c r="C199" t="s">
        <v>1134</v>
      </c>
      <c r="D199" t="s">
        <v>898</v>
      </c>
      <c r="E199" t="s">
        <v>2178</v>
      </c>
      <c r="F199" t="s">
        <v>548</v>
      </c>
      <c r="G199" s="7">
        <f ca="1">X199</f>
        <v>45857</v>
      </c>
      <c r="H199" s="5" t="s">
        <v>521</v>
      </c>
      <c r="I199" t="s">
        <v>1028</v>
      </c>
      <c r="J199" s="36" t="s">
        <v>2761</v>
      </c>
      <c r="L199" t="s">
        <v>2165</v>
      </c>
      <c r="M199" s="16" t="s">
        <v>897</v>
      </c>
      <c r="N199" s="16" t="s">
        <v>896</v>
      </c>
      <c r="O199" s="7">
        <v>44936</v>
      </c>
      <c r="P199" s="7" t="s">
        <v>926</v>
      </c>
      <c r="Q199" s="18">
        <v>7</v>
      </c>
      <c r="R199" s="18">
        <v>3</v>
      </c>
      <c r="S199" s="18">
        <v>1</v>
      </c>
      <c r="T199" s="4">
        <f>DATE(AI$2,$Q199,1+(($R199-($S199&gt;=WEEKDAY(DATE(AI$2,$Q199,1))))*7)+($S199-WEEKDAY(DATE(AI$2,$Q199,1))))</f>
        <v>45858</v>
      </c>
      <c r="U199" s="4">
        <f>DATE(AJ$2,$Q199,1+(($R199-($S199&gt;=WEEKDAY(DATE(AJ$2,$Q199,1))))*7)+($S199-WEEKDAY(DATE(AJ$2,$Q199,1))))</f>
        <v>46222</v>
      </c>
      <c r="V199" s="20">
        <v>-1</v>
      </c>
      <c r="W199" s="20">
        <v>1</v>
      </c>
      <c r="X199" s="4">
        <f ca="1">Y199-(W199-1)</f>
        <v>45857</v>
      </c>
      <c r="Y199" s="5">
        <f ca="1">IF(OR(T199+V199&lt;(NOW()-0.5),ISNUMBER(SEARCH("&lt;h4&gt;",K199))),U199+V199,T199+V199)</f>
        <v>45857</v>
      </c>
      <c r="Z199" t="str">
        <f ca="1">CONCATENATE(IF(OR(Y199=X199,ISBLANK(Y199)),TEXT(X199,"mmmm d"),CONCATENATE(TEXT(X199,"mmmm d"),"-",IF(TEXT(X199,"mmmm")=TEXT(Y199,"mmmm"),TEXT(Y199,"d"),TEXT(Y199,"mmmm d")))),", ",YEAR(Y199))</f>
        <v>July 19, 2025</v>
      </c>
      <c r="AA199" s="7">
        <f>O199</f>
        <v>44936</v>
      </c>
      <c r="AB199" s="14">
        <f>T199+V199-(W199-1)</f>
        <v>45857</v>
      </c>
      <c r="AC199" t="s">
        <v>1317</v>
      </c>
      <c r="AD199" s="23" t="str">
        <f ca="1">CONCATENATE("&lt;add-to-calendar-button  name=",CHAR(34),H199,CHAR(34),
IF(ISBLANK(M199),"",CONCATENATE("   location=",CHAR(34),RIGHT(M199,LEN(M199)-SEARCH("|",M199)-1),CHAR(34))),
"   description=",CHAR(34),IF(ISBLANK(I199),"",CONCATENATE(I199,"; ")),"shapenotesingings.com",CHAR(34),
"   options=",CHAR(34),"'Apple','Google','iCal','Outlook.com'",CHAR(34),"   styleLight=",CHAR(34),"--btn-background: #550000; --btn-text: #fff; --btn-shadow:#fff;",CHAR(34),
IF(W199=1,CONCATENATE(
"startDate=",CHAR(34),TEXT(G199,"yyyy-mm-dd"),CHAR(34),
"{endDate=",CHAR(34),TEXT(G199,"yyyy-mm-dd"),CHAR(34),
IF(OR(ISBLANK(AE199),ISBLANK(AF199)),"",(CONCATENATE(" startTime=",CHAR(34),TEXT(AE199,"hh:mm"),CHAR(34)," endTime=",CHAR(34),TEXT(AF199,"h:mm"),CHAR(34),
" timeZone=",CHAR(34),AG199,CHAR(34))))),
IF(W199=2,CONCATENATE(" dates='[{",
CHAR(34),"startDate",CHAR(34),":",CHAR(34),TEXT(G199,"yyyy-mm-dd"),CHAR(34),", ",
,CHAR(34),"endDate",CHAR(34),":",CHAR(34),TEXT(G199,"yyyy-mm-dd"),CHAR(34),
IF(OR(ISBLANK(AE199),ISBLANK(AF199)),"",(CONCATENATE(", ",CHAR(34),"startTime",CHAR(34),":",CHAR(34),TEXT(AE199,"hh:mm"),CHAR(34),", ",CHAR(34),"endTime",CHAR(34),":",CHAR(34),TEXT(AF199,"hh:mm"),CHAR(34),", ",CHAR(34),"timeZone",CHAR(34),":",CHAR(34),AG199,CHAR(34)))),"}, {",
,CHAR(34),"startDate",CHAR(34),":",CHAR(34),TEXT(G199+1,"yyyy-mm-dd"),CHAR(34),", ",
,CHAR(34),"endDate",CHAR(34),":",CHAR(34),TEXT(G199+W199-1,"yyyy-mm-dd"),CHAR(34),
IF(OR(ISBLANK(AE199),ISBLANK(AF199)),"",(CONCATENATE(", ",CHAR(34),"startTime",CHAR(34),":",CHAR(34),TEXT(AE199,"hh:mm"),CHAR(34),", ",CHAR(34),"endTime",CHAR(34),":",CHAR(34),TEXT(AF199,"hh:mm"),CHAR(34),", ",CHAR(34),"timeZone",CHAR(34),":",CHAR(34),AG199,CHAR(34)))),"}]'"),
CONCATENATE(
"{  startDate=",CHAR(34),TEXT(G199,"yyyy-mm-dd"),CHAR(34),
"  endDate=",CHAR(34),TEXT(G199+W199-1,"yyyy-mm-dd"),CHAR(34),"}"))),
" &gt;&lt;/add-to-calendar-button&gt;")</f>
        <v>&lt;add-to-calendar-button  name="Walker County Convention"   location="First Presbyterian Church, 1510 4th Ave S, Jasper, AL 35501"   description="10am; shapenotesingings.com"   options="'Apple','Google','iCal','Outlook.com'"   styleLight="--btn-background: #550000; --btn-text: #fff; --btn-shadow:#fff;"startDate="2025-07-19"{endDate="2025-07-19" startTime="10:00" endTime="15:00" timeZone="America/Chicago" &gt;&lt;/add-to-calendar-button&gt;</v>
      </c>
      <c r="AE199" s="24">
        <v>0.41666666666666669</v>
      </c>
      <c r="AF199" s="24">
        <v>0.625</v>
      </c>
      <c r="AG199" s="25" t="s">
        <v>1533</v>
      </c>
    </row>
    <row r="200" spans="1:33" x14ac:dyDescent="0.3">
      <c r="A200" t="s">
        <v>8</v>
      </c>
      <c r="B200" t="s">
        <v>264</v>
      </c>
      <c r="C200" t="s">
        <v>1164</v>
      </c>
      <c r="D200" t="s">
        <v>917</v>
      </c>
      <c r="E200" t="s">
        <v>2187</v>
      </c>
      <c r="F200" t="s">
        <v>548</v>
      </c>
      <c r="G200" s="7">
        <f ca="1">X200</f>
        <v>45857</v>
      </c>
      <c r="H200" s="5" t="s">
        <v>916</v>
      </c>
      <c r="I200" t="s">
        <v>1037</v>
      </c>
      <c r="J200" s="36" t="s">
        <v>2762</v>
      </c>
      <c r="L200" t="s">
        <v>2124</v>
      </c>
      <c r="M200" s="16" t="s">
        <v>918</v>
      </c>
      <c r="N200" s="16" t="s">
        <v>919</v>
      </c>
      <c r="O200" s="7">
        <v>44961</v>
      </c>
      <c r="P200" s="7" t="s">
        <v>933</v>
      </c>
      <c r="Q200" s="18">
        <v>7</v>
      </c>
      <c r="R200" s="18">
        <v>3</v>
      </c>
      <c r="S200" s="18">
        <v>1</v>
      </c>
      <c r="T200" s="4">
        <f>DATE(AI$2,$Q200,1+(($R200-($S200&gt;=WEEKDAY(DATE(AI$2,$Q200,1))))*7)+($S200-WEEKDAY(DATE(AI$2,$Q200,1))))</f>
        <v>45858</v>
      </c>
      <c r="U200" s="4">
        <f>DATE(AJ$2,$Q200,1+(($R200-($S200&gt;=WEEKDAY(DATE(AJ$2,$Q200,1))))*7)+($S200-WEEKDAY(DATE(AJ$2,$Q200,1))))</f>
        <v>46222</v>
      </c>
      <c r="V200" s="20">
        <v>-1</v>
      </c>
      <c r="W200" s="20">
        <v>1</v>
      </c>
      <c r="X200" s="4">
        <f ca="1">Y200-(W200-1)</f>
        <v>45857</v>
      </c>
      <c r="Y200" s="5">
        <f ca="1">IF(OR(T200+V200&lt;(NOW()-0.5),ISNUMBER(SEARCH("&lt;h4&gt;",K200))),U200+V200,T200+V200)</f>
        <v>45857</v>
      </c>
      <c r="Z200" t="str">
        <f ca="1">CONCATENATE(IF(OR(Y200=X200,ISBLANK(Y200)),TEXT(X200,"mmmm d"),CONCATENATE(TEXT(X200,"mmmm d"),"-",IF(TEXT(X200,"mmmm")=TEXT(Y200,"mmmm"),TEXT(Y200,"d"),TEXT(Y200,"mmmm d")))),", ",YEAR(Y200))</f>
        <v>July 19, 2025</v>
      </c>
      <c r="AA200" s="7">
        <f>O200</f>
        <v>44961</v>
      </c>
      <c r="AB200" s="14">
        <f>T200+V200-(W200-1)</f>
        <v>45857</v>
      </c>
      <c r="AC200" t="s">
        <v>1319</v>
      </c>
      <c r="AD200" s="23" t="str">
        <f ca="1">CONCATENATE("&lt;add-to-calendar-button  name=",CHAR(34),H200,CHAR(34),
IF(ISBLANK(M200),"",CONCATENATE("   location=",CHAR(34),RIGHT(M200,LEN(M200)-SEARCH("|",M200)-1),CHAR(34))),
"   description=",CHAR(34),IF(ISBLANK(I200),"",CONCATENATE(I200,"; ")),"shapenotesingings.com",CHAR(34),
"   options=",CHAR(34),"'Apple','Google','iCal','Outlook.com'",CHAR(34),"   styleLight=",CHAR(34),"--btn-background: #550000; --btn-text: #fff; --btn-shadow:#fff;",CHAR(34),
IF(W200=1,CONCATENATE(
"startDate=",CHAR(34),TEXT(G200,"yyyy-mm-dd"),CHAR(34),
"{endDate=",CHAR(34),TEXT(G200,"yyyy-mm-dd"),CHAR(34),
IF(OR(ISBLANK(AE200),ISBLANK(AF200)),"",(CONCATENATE(" startTime=",CHAR(34),TEXT(AE200,"hh:mm"),CHAR(34)," endTime=",CHAR(34),TEXT(AF200,"h:mm"),CHAR(34),
" timeZone=",CHAR(34),AG200,CHAR(34))))),
IF(W200=2,CONCATENATE(" dates='[{",
CHAR(34),"startDate",CHAR(34),":",CHAR(34),TEXT(G200,"yyyy-mm-dd"),CHAR(34),", ",
,CHAR(34),"endDate",CHAR(34),":",CHAR(34),TEXT(G200,"yyyy-mm-dd"),CHAR(34),
IF(OR(ISBLANK(AE200),ISBLANK(AF200)),"",(CONCATENATE(", ",CHAR(34),"startTime",CHAR(34),":",CHAR(34),TEXT(AE200,"hh:mm"),CHAR(34),", ",CHAR(34),"endTime",CHAR(34),":",CHAR(34),TEXT(AF200,"hh:mm"),CHAR(34),", ",CHAR(34),"timeZone",CHAR(34),":",CHAR(34),AG200,CHAR(34)))),"}, {",
,CHAR(34),"startDate",CHAR(34),":",CHAR(34),TEXT(G200+1,"yyyy-mm-dd"),CHAR(34),", ",
,CHAR(34),"endDate",CHAR(34),":",CHAR(34),TEXT(G200+W200-1,"yyyy-mm-dd"),CHAR(34),
IF(OR(ISBLANK(AE200),ISBLANK(AF200)),"",(CONCATENATE(", ",CHAR(34),"startTime",CHAR(34),":",CHAR(34),TEXT(AE200,"hh:mm"),CHAR(34),", ",CHAR(34),"endTime",CHAR(34),":",CHAR(34),TEXT(AF200,"hh:mm"),CHAR(34),", ",CHAR(34),"timeZone",CHAR(34),":",CHAR(34),AG200,CHAR(34)))),"}]'"),
CONCATENATE(
"{  startDate=",CHAR(34),TEXT(G200,"yyyy-mm-dd"),CHAR(34),
"  endDate=",CHAR(34),TEXT(G200+W200-1,"yyyy-mm-dd"),CHAR(34),"}"))),
" &gt;&lt;/add-to-calendar-button&gt;")</f>
        <v>&lt;add-to-calendar-button  name="Jeremiah Ingalls Annual Singing"   location="Newbury Center Town House, 4504 Scotch Hollow Road, Newbury VT"   description="10am-3pm; shapenotesingings.com"   options="'Apple','Google','iCal','Outlook.com'"   styleLight="--btn-background: #550000; --btn-text: #fff; --btn-shadow:#fff;"startDate="2025-07-19"{endDate="2025-07-19" startTime="10:00" endTime="15:00" timeZone="America/New_York" &gt;&lt;/add-to-calendar-button&gt;</v>
      </c>
      <c r="AE200" s="24">
        <v>0.41666666666666669</v>
      </c>
      <c r="AF200" s="24">
        <v>0.625</v>
      </c>
      <c r="AG200" s="25" t="s">
        <v>1532</v>
      </c>
    </row>
    <row r="201" spans="1:33" x14ac:dyDescent="0.3">
      <c r="A201" t="s">
        <v>8</v>
      </c>
      <c r="B201" t="s">
        <v>260</v>
      </c>
      <c r="C201" t="s">
        <v>1149</v>
      </c>
      <c r="D201" t="s">
        <v>532</v>
      </c>
      <c r="E201" t="s">
        <v>2178</v>
      </c>
      <c r="F201" t="s">
        <v>550</v>
      </c>
      <c r="G201" s="7">
        <f ca="1">X201</f>
        <v>45858</v>
      </c>
      <c r="H201" s="5" t="s">
        <v>531</v>
      </c>
      <c r="I201" t="s">
        <v>1605</v>
      </c>
      <c r="J201" s="36" t="s">
        <v>2763</v>
      </c>
      <c r="L201" t="s">
        <v>2090</v>
      </c>
      <c r="M201" s="16" t="s">
        <v>1606</v>
      </c>
      <c r="N201" s="16" t="s">
        <v>1607</v>
      </c>
      <c r="O201" s="7">
        <v>45069</v>
      </c>
      <c r="P201" s="7" t="s">
        <v>1608</v>
      </c>
      <c r="Q201" s="18">
        <v>7</v>
      </c>
      <c r="R201" s="18">
        <v>3</v>
      </c>
      <c r="S201" s="18">
        <v>1</v>
      </c>
      <c r="T201" s="4">
        <f>DATE(AI$2,$Q201,1+(($R201-($S201&gt;=WEEKDAY(DATE(AI$2,$Q201,1))))*7)+($S201-WEEKDAY(DATE(AI$2,$Q201,1))))</f>
        <v>45858</v>
      </c>
      <c r="U201" s="4">
        <f>DATE(AJ$2,$Q201,1+(($R201-($S201&gt;=WEEKDAY(DATE(AJ$2,$Q201,1))))*7)+($S201-WEEKDAY(DATE(AJ$2,$Q201,1))))</f>
        <v>46222</v>
      </c>
      <c r="V201" s="20">
        <v>0</v>
      </c>
      <c r="W201" s="20">
        <v>1</v>
      </c>
      <c r="X201" s="4">
        <f ca="1">Y201-(W201-1)</f>
        <v>45858</v>
      </c>
      <c r="Y201" s="5">
        <f ca="1">IF(OR(T201+V201&lt;(NOW()-0.5),ISNUMBER(SEARCH("&lt;h4&gt;",K201))),U201+V201,T201+V201)</f>
        <v>45858</v>
      </c>
      <c r="Z201" t="str">
        <f ca="1">CONCATENATE(IF(OR(Y201=X201,ISBLANK(Y201)),TEXT(X201,"mmmm d"),CONCATENATE(TEXT(X201,"mmmm d"),"-",IF(TEXT(X201,"mmmm")=TEXT(Y201,"mmmm"),TEXT(Y201,"d"),TEXT(Y201,"mmmm d")))),", ",YEAR(Y201))</f>
        <v>July 20, 2025</v>
      </c>
      <c r="AA201" s="7">
        <f>O201</f>
        <v>45069</v>
      </c>
      <c r="AB201" s="14">
        <f>T201+V201-(W201-1)</f>
        <v>45858</v>
      </c>
      <c r="AC201" t="s">
        <v>1609</v>
      </c>
      <c r="AD201" s="23" t="str">
        <f ca="1">CONCATENATE("&lt;add-to-calendar-button  name=",CHAR(34),H201,CHAR(34),
IF(ISBLANK(M201),"",CONCATENATE("   location=",CHAR(34),RIGHT(M201,LEN(M201)-SEARCH("|",M201)-1),CHAR(34))),
"   description=",CHAR(34),IF(ISBLANK(I201),"",CONCATENATE(I201,"; ")),"shapenotesingings.com",CHAR(34),
"   options=",CHAR(34),"'Apple','Google','iCal','Outlook.com'",CHAR(34),"   styleLight=",CHAR(34),"--btn-background: #550000; --btn-text: #fff; --btn-shadow:#fff;",CHAR(34),
IF(W201=1,CONCATENATE(
"startDate=",CHAR(34),TEXT(G201,"yyyy-mm-dd"),CHAR(34),
"{endDate=",CHAR(34),TEXT(G201,"yyyy-mm-dd"),CHAR(34),
IF(OR(ISBLANK(AE201),ISBLANK(AF201)),"",(CONCATENATE(" startTime=",CHAR(34),TEXT(AE201,"hh:mm"),CHAR(34)," endTime=",CHAR(34),TEXT(AF201,"h:mm"),CHAR(34),
" timeZone=",CHAR(34),AG201,CHAR(34))))),
IF(W201=2,CONCATENATE(" dates='[{",
CHAR(34),"startDate",CHAR(34),":",CHAR(34),TEXT(G201,"yyyy-mm-dd"),CHAR(34),", ",
,CHAR(34),"endDate",CHAR(34),":",CHAR(34),TEXT(G201,"yyyy-mm-dd"),CHAR(34),
IF(OR(ISBLANK(AE201),ISBLANK(AF201)),"",(CONCATENATE(", ",CHAR(34),"startTime",CHAR(34),":",CHAR(34),TEXT(AE201,"hh:mm"),CHAR(34),", ",CHAR(34),"endTime",CHAR(34),":",CHAR(34),TEXT(AF201,"hh:mm"),CHAR(34),", ",CHAR(34),"timeZone",CHAR(34),":",CHAR(34),AG201,CHAR(34)))),"}, {",
,CHAR(34),"startDate",CHAR(34),":",CHAR(34),TEXT(G201+1,"yyyy-mm-dd"),CHAR(34),", ",
,CHAR(34),"endDate",CHAR(34),":",CHAR(34),TEXT(G201+W201-1,"yyyy-mm-dd"),CHAR(34),
IF(OR(ISBLANK(AE201),ISBLANK(AF201)),"",(CONCATENATE(", ",CHAR(34),"startTime",CHAR(34),":",CHAR(34),TEXT(AE201,"hh:mm"),CHAR(34),", ",CHAR(34),"endTime",CHAR(34),":",CHAR(34),TEXT(AF201,"hh:mm"),CHAR(34),", ",CHAR(34),"timeZone",CHAR(34),":",CHAR(34),AG201,CHAR(34)))),"}]'"),
CONCATENATE(
"{  startDate=",CHAR(34),TEXT(G201,"yyyy-mm-dd"),CHAR(34),
"  endDate=",CHAR(34),TEXT(G201+W201-1,"yyyy-mm-dd"),CHAR(34),"}"))),
" &gt;&lt;/add-to-calendar-button&gt;")</f>
        <v>&lt;add-to-calendar-button  name="Kalamazoo Singing"   location="Carriage Barn, Drake Farmstead, 927 N Drake Rd, Kalamazoo, MI 49006"   description="9:30am-3:00pm; shapenotesingings.com"   options="'Apple','Google','iCal','Outlook.com'"   styleLight="--btn-background: #550000; --btn-text: #fff; --btn-shadow:#fff;"startDate="2025-07-20"{endDate="2025-07-20" startTime="09:30" endTime="15:00" timeZone="America/New_York" &gt;&lt;/add-to-calendar-button&gt;</v>
      </c>
      <c r="AE201" s="24">
        <v>0.39583333333333331</v>
      </c>
      <c r="AF201" s="24">
        <v>0.625</v>
      </c>
      <c r="AG201" s="25" t="s">
        <v>1532</v>
      </c>
    </row>
    <row r="202" spans="1:33" x14ac:dyDescent="0.3">
      <c r="A202" t="s">
        <v>8</v>
      </c>
      <c r="B202" t="s">
        <v>11</v>
      </c>
      <c r="C202" t="s">
        <v>1134</v>
      </c>
      <c r="D202" t="s">
        <v>155</v>
      </c>
      <c r="E202" t="s">
        <v>2178</v>
      </c>
      <c r="F202" t="s">
        <v>550</v>
      </c>
      <c r="G202" s="7">
        <f ca="1">X202</f>
        <v>45858</v>
      </c>
      <c r="H202" s="5" t="s">
        <v>533</v>
      </c>
      <c r="I202" t="s">
        <v>1040</v>
      </c>
      <c r="J202" s="36" t="s">
        <v>2764</v>
      </c>
      <c r="K202" t="s">
        <v>1114</v>
      </c>
      <c r="L202" t="s">
        <v>2068</v>
      </c>
      <c r="M202" s="16" t="s">
        <v>534</v>
      </c>
      <c r="N202" s="16" t="s">
        <v>535</v>
      </c>
      <c r="O202" s="7">
        <v>44936</v>
      </c>
      <c r="P202" s="7" t="s">
        <v>926</v>
      </c>
      <c r="Q202" s="18">
        <v>7</v>
      </c>
      <c r="R202" s="18">
        <v>3</v>
      </c>
      <c r="S202" s="18">
        <v>1</v>
      </c>
      <c r="T202" s="4">
        <f>DATE(AI$2,$Q202,1+(($R202-($S202&gt;=WEEKDAY(DATE(AI$2,$Q202,1))))*7)+($S202-WEEKDAY(DATE(AI$2,$Q202,1))))</f>
        <v>45858</v>
      </c>
      <c r="U202" s="4">
        <f>DATE(AJ$2,$Q202,1+(($R202-($S202&gt;=WEEKDAY(DATE(AJ$2,$Q202,1))))*7)+($S202-WEEKDAY(DATE(AJ$2,$Q202,1))))</f>
        <v>46222</v>
      </c>
      <c r="V202" s="20">
        <v>0</v>
      </c>
      <c r="W202" s="20">
        <v>1</v>
      </c>
      <c r="X202" s="4">
        <f ca="1">Y202-(W202-1)</f>
        <v>45858</v>
      </c>
      <c r="Y202" s="5">
        <f ca="1">IF(OR(T202+V202&lt;(NOW()-0.5),ISNUMBER(SEARCH("&lt;h4&gt;",K202))),U202+V202,T202+V202)</f>
        <v>45858</v>
      </c>
      <c r="Z202" t="str">
        <f ca="1">CONCATENATE(IF(OR(Y202=X202,ISBLANK(Y202)),TEXT(X202,"mmmm d"),CONCATENATE(TEXT(X202,"mmmm d"),"-",IF(TEXT(X202,"mmmm")=TEXT(Y202,"mmmm"),TEXT(Y202,"d"),TEXT(Y202,"mmmm d")))),", ",YEAR(Y202))</f>
        <v>July 20, 2025</v>
      </c>
      <c r="AA202" s="7">
        <f>O202</f>
        <v>44936</v>
      </c>
      <c r="AB202" s="14">
        <f>T202+V202-(W202-1)</f>
        <v>45858</v>
      </c>
      <c r="AC202" t="s">
        <v>1320</v>
      </c>
      <c r="AD202" s="23" t="str">
        <f ca="1">CONCATENATE("&lt;add-to-calendar-button  name=",CHAR(34),H202,CHAR(34),
IF(ISBLANK(M202),"",CONCATENATE("   location=",CHAR(34),RIGHT(M202,LEN(M202)-SEARCH("|",M202)-1),CHAR(34))),
"   description=",CHAR(34),IF(ISBLANK(I202),"",CONCATENATE(I202,"; ")),"shapenotesingings.com",CHAR(34),
"   options=",CHAR(34),"'Apple','Google','iCal','Outlook.com'",CHAR(34),"   styleLight=",CHAR(34),"--btn-background: #550000; --btn-text: #fff; --btn-shadow:#fff;",CHAR(34),
IF(W202=1,CONCATENATE(
"startDate=",CHAR(34),TEXT(G202,"yyyy-mm-dd"),CHAR(34),
"{endDate=",CHAR(34),TEXT(G202,"yyyy-mm-dd"),CHAR(34),
IF(OR(ISBLANK(AE202),ISBLANK(AF202)),"",(CONCATENATE(" startTime=",CHAR(34),TEXT(AE202,"hh:mm"),CHAR(34)," endTime=",CHAR(34),TEXT(AF202,"h:mm"),CHAR(34),
" timeZone=",CHAR(34),AG202,CHAR(34))))),
IF(W202=2,CONCATENATE(" dates='[{",
CHAR(34),"startDate",CHAR(34),":",CHAR(34),TEXT(G202,"yyyy-mm-dd"),CHAR(34),", ",
,CHAR(34),"endDate",CHAR(34),":",CHAR(34),TEXT(G202,"yyyy-mm-dd"),CHAR(34),
IF(OR(ISBLANK(AE202),ISBLANK(AF202)),"",(CONCATENATE(", ",CHAR(34),"startTime",CHAR(34),":",CHAR(34),TEXT(AE202,"hh:mm"),CHAR(34),", ",CHAR(34),"endTime",CHAR(34),":",CHAR(34),TEXT(AF202,"hh:mm"),CHAR(34),", ",CHAR(34),"timeZone",CHAR(34),":",CHAR(34),AG202,CHAR(34)))),"}, {",
,CHAR(34),"startDate",CHAR(34),":",CHAR(34),TEXT(G202+1,"yyyy-mm-dd"),CHAR(34),", ",
,CHAR(34),"endDate",CHAR(34),":",CHAR(34),TEXT(G202+W202-1,"yyyy-mm-dd"),CHAR(34),
IF(OR(ISBLANK(AE202),ISBLANK(AF202)),"",(CONCATENATE(", ",CHAR(34),"startTime",CHAR(34),":",CHAR(34),TEXT(AE202,"hh:mm"),CHAR(34),", ",CHAR(34),"endTime",CHAR(34),":",CHAR(34),TEXT(AF202,"hh:mm"),CHAR(34),", ",CHAR(34),"timeZone",CHAR(34),":",CHAR(34),AG202,CHAR(34)))),"}]'"),
CONCATENATE(
"{  startDate=",CHAR(34),TEXT(G202,"yyyy-mm-dd"),CHAR(34),
"  endDate=",CHAR(34),TEXT(G202+W202-1,"yyyy-mm-dd"),CHAR(34),"}"))),
" &gt;&lt;/add-to-calendar-button&gt;")</f>
        <v>&lt;add-to-calendar-button  name="Chafin, Harbinson, Hollis Memorial Singing"   location="New Prospect Church, 5805 Co Rd 38, Bremen, AL - 33.98495438329874, -86.92609326331402 -"   description="9:30am; shapenotesingings.com"   options="'Apple','Google','iCal','Outlook.com'"   styleLight="--btn-background: #550000; --btn-text: #fff; --btn-shadow:#fff;"startDate="2025-07-20"{endDate="2025-07-20" startTime="09:30" endTime="15:00" timeZone="America/Chicago" &gt;&lt;/add-to-calendar-button&gt;</v>
      </c>
      <c r="AE202" s="24">
        <v>0.39583333333333331</v>
      </c>
      <c r="AF202" s="24">
        <v>0.625</v>
      </c>
      <c r="AG202" s="25" t="s">
        <v>1533</v>
      </c>
    </row>
    <row r="203" spans="1:33" x14ac:dyDescent="0.3">
      <c r="A203" t="s">
        <v>8</v>
      </c>
      <c r="B203" t="s">
        <v>273</v>
      </c>
      <c r="C203" t="s">
        <v>1160</v>
      </c>
      <c r="D203" t="s">
        <v>1482</v>
      </c>
      <c r="E203" t="s">
        <v>777</v>
      </c>
      <c r="F203" t="s">
        <v>550</v>
      </c>
      <c r="G203" s="7">
        <f ca="1">X203</f>
        <v>45858</v>
      </c>
      <c r="H203" s="5" t="s">
        <v>1480</v>
      </c>
      <c r="J203" s="36" t="s">
        <v>2602</v>
      </c>
      <c r="L203" t="s">
        <v>1448</v>
      </c>
      <c r="M203" s="16" t="s">
        <v>1498</v>
      </c>
      <c r="N203" s="16" t="s">
        <v>1481</v>
      </c>
      <c r="O203" s="7">
        <v>45012</v>
      </c>
      <c r="P203" s="7" t="s">
        <v>1509</v>
      </c>
      <c r="Q203" s="18">
        <v>7</v>
      </c>
      <c r="R203" s="18">
        <v>3</v>
      </c>
      <c r="S203" s="18">
        <v>1</v>
      </c>
      <c r="T203" s="4">
        <f>DATE(AI$2,$Q203,1+(($R203-($S203&gt;=WEEKDAY(DATE(AI$2,$Q203,1))))*7)+($S203-WEEKDAY(DATE(AI$2,$Q203,1))))</f>
        <v>45858</v>
      </c>
      <c r="U203" s="4">
        <f>DATE(AJ$2,$Q203,1+(($R203-($S203&gt;=WEEKDAY(DATE(AJ$2,$Q203,1))))*7)+($S203-WEEKDAY(DATE(AJ$2,$Q203,1))))</f>
        <v>46222</v>
      </c>
      <c r="V203" s="20">
        <v>0</v>
      </c>
      <c r="W203" s="20">
        <v>1</v>
      </c>
      <c r="X203" s="4">
        <f ca="1">Y203-(W203-1)</f>
        <v>45858</v>
      </c>
      <c r="Y203" s="5">
        <f ca="1">IF(OR(T203+V203&lt;(NOW()-0.5),ISNUMBER(SEARCH("&lt;h4&gt;",K203))),U203+V203,T203+V203)</f>
        <v>45858</v>
      </c>
      <c r="Z203" t="str">
        <f ca="1">CONCATENATE(IF(OR(Y203=X203,ISBLANK(Y203)),TEXT(X203,"mmmm d"),CONCATENATE(TEXT(X203,"mmmm d"),"-",IF(TEXT(X203,"mmmm")=TEXT(Y203,"mmmm"),TEXT(Y203,"d"),TEXT(Y203,"mmmm d")))),", ",YEAR(Y203))</f>
        <v>July 20, 2025</v>
      </c>
      <c r="AA203" s="7">
        <f>O203</f>
        <v>45012</v>
      </c>
      <c r="AB203" s="14">
        <f>T203+V203-(W203-1)</f>
        <v>45858</v>
      </c>
      <c r="AC203" t="s">
        <v>1483</v>
      </c>
      <c r="AD203" s="23" t="str">
        <f ca="1">CONCATENATE("&lt;add-to-calendar-button  name=",CHAR(34),H203,CHAR(34),
IF(ISBLANK(M203),"",CONCATENATE("   location=",CHAR(34),RIGHT(M203,LEN(M203)-SEARCH("|",M203)-1),CHAR(34))),
"   description=",CHAR(34),IF(ISBLANK(I203),"",CONCATENATE(I203,"; ")),"shapenotesingings.com",CHAR(34),
"   options=",CHAR(34),"'Apple','Google','iCal','Outlook.com'",CHAR(34),"   styleLight=",CHAR(34),"--btn-background: #550000; --btn-text: #fff; --btn-shadow:#fff;",CHAR(34),
IF(W203=1,CONCATENATE(
"startDate=",CHAR(34),TEXT(G203,"yyyy-mm-dd"),CHAR(34),
"{endDate=",CHAR(34),TEXT(G203,"yyyy-mm-dd"),CHAR(34),
IF(OR(ISBLANK(AE203),ISBLANK(AF203)),"",(CONCATENATE(" startTime=",CHAR(34),TEXT(AE203,"hh:mm"),CHAR(34)," endTime=",CHAR(34),TEXT(AF203,"h:mm"),CHAR(34),
" timeZone=",CHAR(34),AG203,CHAR(34))))),
IF(W203=2,CONCATENATE(" dates='[{",
CHAR(34),"startDate",CHAR(34),":",CHAR(34),TEXT(G203,"yyyy-mm-dd"),CHAR(34),", ",
,CHAR(34),"endDate",CHAR(34),":",CHAR(34),TEXT(G203,"yyyy-mm-dd"),CHAR(34),
IF(OR(ISBLANK(AE203),ISBLANK(AF203)),"",(CONCATENATE(", ",CHAR(34),"startTime",CHAR(34),":",CHAR(34),TEXT(AE203,"hh:mm"),CHAR(34),", ",CHAR(34),"endTime",CHAR(34),":",CHAR(34),TEXT(AF203,"hh:mm"),CHAR(34),", ",CHAR(34),"timeZone",CHAR(34),":",CHAR(34),AG203,CHAR(34)))),"}, {",
,CHAR(34),"startDate",CHAR(34),":",CHAR(34),TEXT(G203+1,"yyyy-mm-dd"),CHAR(34),", ",
,CHAR(34),"endDate",CHAR(34),":",CHAR(34),TEXT(G203+W203-1,"yyyy-mm-dd"),CHAR(34),
IF(OR(ISBLANK(AE203),ISBLANK(AF203)),"",(CONCATENATE(", ",CHAR(34),"startTime",CHAR(34),":",CHAR(34),TEXT(AE203,"hh:mm"),CHAR(34),", ",CHAR(34),"endTime",CHAR(34),":",CHAR(34),TEXT(AF203,"hh:mm"),CHAR(34),", ",CHAR(34),"timeZone",CHAR(34),":",CHAR(34),AG203,CHAR(34)))),"}]'"),
CONCATENATE(
"{  startDate=",CHAR(34),TEXT(G203,"yyyy-mm-dd"),CHAR(34),
"  endDate=",CHAR(34),TEXT(G203+W203-1,"yyyy-mm-dd"),CHAR(34),"}"))),
" &gt;&lt;/add-to-calendar-button&gt;")</f>
        <v>&lt;add-to-calendar-button  name="Little Greenbrier Schoolhouse"   location="Little Greenbrier School, Metcalf Bottoms Trail, Gatlinburg, TN 37738"   description="shapenotesingings.com"   options="'Apple','Google','iCal','Outlook.com'"   styleLight="--btn-background: #550000; --btn-text: #fff; --btn-shadow:#fff;"startDate="2025-07-20"{endDate="2025-07-20" &gt;&lt;/add-to-calendar-button&gt;</v>
      </c>
      <c r="AG203" s="25" t="s">
        <v>1532</v>
      </c>
    </row>
    <row r="204" spans="1:33" x14ac:dyDescent="0.3">
      <c r="A204" t="s">
        <v>144</v>
      </c>
      <c r="B204" t="s">
        <v>144</v>
      </c>
      <c r="C204" t="s">
        <v>1162</v>
      </c>
      <c r="D204" t="s">
        <v>1410</v>
      </c>
      <c r="E204" t="s">
        <v>1438</v>
      </c>
      <c r="F204" t="s">
        <v>1407</v>
      </c>
      <c r="G204" s="7">
        <f ca="1">X204</f>
        <v>45862</v>
      </c>
      <c r="H204" s="5" t="s">
        <v>1408</v>
      </c>
      <c r="L204" t="s">
        <v>2479</v>
      </c>
      <c r="M204" s="16" t="s">
        <v>1672</v>
      </c>
      <c r="N204" s="16" t="s">
        <v>1409</v>
      </c>
      <c r="O204" s="7">
        <v>44994</v>
      </c>
      <c r="P204" s="7" t="s">
        <v>1411</v>
      </c>
      <c r="Q204" s="18">
        <v>7</v>
      </c>
      <c r="R204" s="18">
        <v>4</v>
      </c>
      <c r="S204" s="18">
        <v>1</v>
      </c>
      <c r="T204" s="4">
        <f>DATE(AI$2,$Q204,1+(($R204-($S204&gt;=WEEKDAY(DATE(AI$2,$Q204,1))))*7)+($S204-WEEKDAY(DATE(AI$2,$Q204,1))))</f>
        <v>45865</v>
      </c>
      <c r="U204" s="4">
        <f>DATE(AJ$2,$Q204,1+(($R204-($S204&gt;=WEEKDAY(DATE(AJ$2,$Q204,1))))*7)+($S204-WEEKDAY(DATE(AJ$2,$Q204,1))))</f>
        <v>46229</v>
      </c>
      <c r="V204" s="20">
        <v>0</v>
      </c>
      <c r="W204" s="20">
        <v>4</v>
      </c>
      <c r="X204" s="4">
        <f ca="1">Y204-(W204-1)</f>
        <v>45862</v>
      </c>
      <c r="Y204" s="5">
        <f ca="1">IF(OR(T204+V204&lt;(NOW()-0.5),ISNUMBER(SEARCH("&lt;h4&gt;",K204))),U204+V204,T204+V204)</f>
        <v>45865</v>
      </c>
      <c r="Z204" t="str">
        <f ca="1">CONCATENATE(IF(OR(Y204=X204,ISBLANK(Y204)),TEXT(X204,"mmmm d"),CONCATENATE(TEXT(X204,"mmmm d"),"-",IF(TEXT(X204,"mmmm")=TEXT(Y204,"mmmm"),TEXT(Y204,"d"),TEXT(Y204,"mmmm d")))),", ",YEAR(Y204))</f>
        <v>July 24-27, 2025</v>
      </c>
      <c r="AA204" s="7">
        <f>O204</f>
        <v>44994</v>
      </c>
      <c r="AB204" s="14">
        <f>T204+V204-(W204-1)</f>
        <v>45862</v>
      </c>
      <c r="AC204" t="s">
        <v>1412</v>
      </c>
      <c r="AD204" s="23" t="str">
        <f ca="1">CONCATENATE("&lt;add-to-calendar-button  name=",CHAR(34),H204,CHAR(34),
IF(ISBLANK(M204),"",CONCATENATE("   location=",CHAR(34),RIGHT(M204,LEN(M204)-SEARCH("|",M204)-1),CHAR(34))),
"   description=",CHAR(34),IF(ISBLANK(I204),"",CONCATENATE(I204,"; ")),"shapenotesingings.com",CHAR(34),
"   options=",CHAR(34),"'Apple','Google','iCal','Outlook.com'",CHAR(34),"   styleLight=",CHAR(34),"--btn-background: #550000; --btn-text: #fff; --btn-shadow:#fff;",CHAR(34),
IF(W204=1,CONCATENATE(
"startDate=",CHAR(34),TEXT(G204,"yyyy-mm-dd"),CHAR(34),
"{endDate=",CHAR(34),TEXT(G204,"yyyy-mm-dd"),CHAR(34),
IF(OR(ISBLANK(AE204),ISBLANK(AF204)),"",(CONCATENATE(" startTime=",CHAR(34),TEXT(AE204,"hh:mm"),CHAR(34)," endTime=",CHAR(34),TEXT(AF204,"h:mm"),CHAR(34),
" timeZone=",CHAR(34),AG204,CHAR(34))))),
IF(W204=2,CONCATENATE(" dates='[{",
CHAR(34),"startDate",CHAR(34),":",CHAR(34),TEXT(G204,"yyyy-mm-dd"),CHAR(34),", ",
,CHAR(34),"endDate",CHAR(34),":",CHAR(34),TEXT(G204,"yyyy-mm-dd"),CHAR(34),
IF(OR(ISBLANK(AE204),ISBLANK(AF204)),"",(CONCATENATE(", ",CHAR(34),"startTime",CHAR(34),":",CHAR(34),TEXT(AE204,"hh:mm"),CHAR(34),", ",CHAR(34),"endTime",CHAR(34),":",CHAR(34),TEXT(AF204,"hh:mm"),CHAR(34),", ",CHAR(34),"timeZone",CHAR(34),":",CHAR(34),AG204,CHAR(34)))),"}, {",
,CHAR(34),"startDate",CHAR(34),":",CHAR(34),TEXT(G204+1,"yyyy-mm-dd"),CHAR(34),", ",
,CHAR(34),"endDate",CHAR(34),":",CHAR(34),TEXT(G204+W204-1,"yyyy-mm-dd"),CHAR(34),
IF(OR(ISBLANK(AE204),ISBLANK(AF204)),"",(CONCATENATE(", ",CHAR(34),"startTime",CHAR(34),":",CHAR(34),TEXT(AE204,"hh:mm"),CHAR(34),", ",CHAR(34),"endTime",CHAR(34),":",CHAR(34),TEXT(AF204,"hh:mm"),CHAR(34),", ",CHAR(34),"timeZone",CHAR(34),":",CHAR(34),AG204,CHAR(34)))),"}]'"),
CONCATENATE(
"{  startDate=",CHAR(34),TEXT(G204,"yyyy-mm-dd"),CHAR(34),
"  endDate=",CHAR(34),TEXT(G204+W204-1,"yyyy-mm-dd"),CHAR(34),"}"))),
" &gt;&lt;/add-to-calendar-button&gt;")</f>
        <v>&lt;add-to-calendar-button  name="Camp DoReMi Europe"   location="Othona Community, East End Road, Bradwell-on-Sea, Southminster CM0 7PN, United Kingdom"   description="shapenotesingings.com"   options="'Apple','Google','iCal','Outlook.com'"   styleLight="--btn-background: #550000; --btn-text: #fff; --btn-shadow:#fff;"{  startDate="2025-07-24"  endDate="2025-07-27"} &gt;&lt;/add-to-calendar-button&gt;</v>
      </c>
      <c r="AG204" s="25" t="s">
        <v>1535</v>
      </c>
    </row>
    <row r="205" spans="1:33" x14ac:dyDescent="0.3">
      <c r="A205" t="s">
        <v>8</v>
      </c>
      <c r="B205" t="s">
        <v>45</v>
      </c>
      <c r="C205" t="s">
        <v>1144</v>
      </c>
      <c r="D205" t="s">
        <v>1664</v>
      </c>
      <c r="E205" t="s">
        <v>2189</v>
      </c>
      <c r="F205" t="s">
        <v>119</v>
      </c>
      <c r="G205" s="7">
        <f ca="1">X205</f>
        <v>45863</v>
      </c>
      <c r="H205" s="5" t="s">
        <v>51</v>
      </c>
      <c r="I205" t="s">
        <v>2161</v>
      </c>
      <c r="J205" s="36" t="s">
        <v>2782</v>
      </c>
      <c r="K205" t="s">
        <v>2162</v>
      </c>
      <c r="L205" t="s">
        <v>2160</v>
      </c>
      <c r="M205" s="16" t="s">
        <v>2154</v>
      </c>
      <c r="N205" s="16" t="s">
        <v>2155</v>
      </c>
      <c r="O205" s="7">
        <v>45474</v>
      </c>
      <c r="P205" s="7" t="s">
        <v>2156</v>
      </c>
      <c r="Q205" s="18">
        <v>7</v>
      </c>
      <c r="R205" s="18">
        <v>4</v>
      </c>
      <c r="S205" s="18">
        <v>1</v>
      </c>
      <c r="T205" s="4">
        <f>DATE(AI$2,$Q205,1+(($R205-($S205&gt;=WEEKDAY(DATE(AI$2,$Q205,1))))*7)+($S205-WEEKDAY(DATE(AI$2,$Q205,1))))</f>
        <v>45865</v>
      </c>
      <c r="U205" s="4">
        <f>DATE(AJ$2,$Q205,1+(($R205-($S205&gt;=WEEKDAY(DATE(AJ$2,$Q205,1))))*7)+($S205-WEEKDAY(DATE(AJ$2,$Q205,1))))</f>
        <v>46229</v>
      </c>
      <c r="V205" s="20">
        <v>0</v>
      </c>
      <c r="W205" s="20">
        <v>3</v>
      </c>
      <c r="X205" s="4">
        <f ca="1">Y205-(W205-1)</f>
        <v>45863</v>
      </c>
      <c r="Y205" s="5">
        <f ca="1">IF(OR(T205+V205&lt;(NOW()-0.5),ISNUMBER(SEARCH("&lt;h4&gt;",K205))),U205+V205,T205+V205)</f>
        <v>45865</v>
      </c>
      <c r="Z205" t="str">
        <f ca="1">CONCATENATE(IF(OR(Y205=X205,ISBLANK(Y205)),TEXT(X205,"mmmm d"),CONCATENATE(TEXT(X205,"mmmm d"),"-",IF(TEXT(X205,"mmmm")=TEXT(Y205,"mmmm"),TEXT(Y205,"d"),TEXT(Y205,"mmmm d")))),", ",YEAR(Y205))</f>
        <v>July 25-27, 2025</v>
      </c>
      <c r="AA205" s="7">
        <f>O205</f>
        <v>45474</v>
      </c>
      <c r="AB205" s="14">
        <f>T205+V205-(W205-1)</f>
        <v>45863</v>
      </c>
      <c r="AC205" t="s">
        <v>2157</v>
      </c>
      <c r="AD205" s="23" t="str">
        <f ca="1">CONCATENATE("&lt;add-to-calendar-button  name=",CHAR(34),H205,CHAR(34),
IF(ISBLANK(M205),"",CONCATENATE("   location=",CHAR(34),RIGHT(M205,LEN(M205)-SEARCH("|",M205)-1),CHAR(34))),
"   description=",CHAR(34),IF(ISBLANK(I205),"",CONCATENATE(I205,"; ")),"shapenotesingings.com",CHAR(34),
"   options=",CHAR(34),"'Apple','Google','iCal','Outlook.com'",CHAR(34),"   styleLight=",CHAR(34),"--btn-background: #550000; --btn-text: #fff; --btn-shadow:#fff;",CHAR(34),
IF(W205=1,CONCATENATE(
"startDate=",CHAR(34),TEXT(G205,"yyyy-mm-dd"),CHAR(34),
"{endDate=",CHAR(34),TEXT(G205,"yyyy-mm-dd"),CHAR(34),
IF(OR(ISBLANK(AE205),ISBLANK(AF205)),"",(CONCATENATE(" startTime=",CHAR(34),TEXT(AE205,"hh:mm"),CHAR(34)," endTime=",CHAR(34),TEXT(AF205,"h:mm"),CHAR(34),
" timeZone=",CHAR(34),AG205,CHAR(34))))),
IF(W205=2,CONCATENATE(" dates='[{",
CHAR(34),"startDate",CHAR(34),":",CHAR(34),TEXT(G205,"yyyy-mm-dd"),CHAR(34),", ",
,CHAR(34),"endDate",CHAR(34),":",CHAR(34),TEXT(G205,"yyyy-mm-dd"),CHAR(34),
IF(OR(ISBLANK(AE205),ISBLANK(AF205)),"",(CONCATENATE(", ",CHAR(34),"startTime",CHAR(34),":",CHAR(34),TEXT(AE205,"hh:mm"),CHAR(34),", ",CHAR(34),"endTime",CHAR(34),":",CHAR(34),TEXT(AF205,"hh:mm"),CHAR(34),", ",CHAR(34),"timeZone",CHAR(34),":",CHAR(34),AG205,CHAR(34)))),"}, {",
,CHAR(34),"startDate",CHAR(34),":",CHAR(34),TEXT(G205+1,"yyyy-mm-dd"),CHAR(34),", ",
,CHAR(34),"endDate",CHAR(34),":",CHAR(34),TEXT(G205+W205-1,"yyyy-mm-dd"),CHAR(34),
IF(OR(ISBLANK(AE205),ISBLANK(AF205)),"",(CONCATENATE(", ",CHAR(34),"startTime",CHAR(34),":",CHAR(34),TEXT(AE205,"hh:mm"),CHAR(34),", ",CHAR(34),"endTime",CHAR(34),":",CHAR(34),TEXT(AF205,"hh:mm"),CHAR(34),", ",CHAR(34),"timeZone",CHAR(34),":",CHAR(34),AG205,CHAR(34)))),"}]'"),
CONCATENATE(
"{  startDate=",CHAR(34),TEXT(G205,"yyyy-mm-dd"),CHAR(34),
"  endDate=",CHAR(34),TEXT(G205+W205-1,"yyyy-mm-dd"),CHAR(34),"}"))),
" &gt;&lt;/add-to-calendar-button&gt;")</f>
        <v>&lt;add-to-calendar-button  name="Maine Singing Weekend"   location="Topsham Grange Hall, 47 Pleasant St, Topsham, ME 04086"   description="Friday 6pm, Sat 10am-4pm, Sun 9am-12pm; shapenotesingings.com"   options="'Apple','Google','iCal','Outlook.com'"   styleLight="--btn-background: #550000; --btn-text: #fff; --btn-shadow:#fff;"{  startDate="2025-07-25"  endDate="2025-07-27"} &gt;&lt;/add-to-calendar-button&gt;</v>
      </c>
      <c r="AG205" s="25" t="s">
        <v>1532</v>
      </c>
    </row>
    <row r="206" spans="1:33" x14ac:dyDescent="0.3">
      <c r="A206" t="s">
        <v>8</v>
      </c>
      <c r="B206" t="s">
        <v>114</v>
      </c>
      <c r="C206" t="s">
        <v>1153</v>
      </c>
      <c r="D206" t="s">
        <v>551</v>
      </c>
      <c r="E206" t="s">
        <v>2188</v>
      </c>
      <c r="F206" t="s">
        <v>552</v>
      </c>
      <c r="G206" s="7">
        <f ca="1">X206</f>
        <v>45864</v>
      </c>
      <c r="H206" s="5" t="s">
        <v>2175</v>
      </c>
      <c r="I206" t="s">
        <v>1028</v>
      </c>
      <c r="J206" s="36" t="s">
        <v>2612</v>
      </c>
      <c r="K206" t="s">
        <v>1935</v>
      </c>
      <c r="L206" t="s">
        <v>1115</v>
      </c>
      <c r="M206" s="16" t="s">
        <v>541</v>
      </c>
      <c r="N206" s="16" t="s">
        <v>542</v>
      </c>
      <c r="O206" s="7">
        <v>45342</v>
      </c>
      <c r="P206" s="7" t="s">
        <v>1934</v>
      </c>
      <c r="Q206" s="18">
        <v>7</v>
      </c>
      <c r="R206" s="18">
        <v>4</v>
      </c>
      <c r="S206" s="18">
        <v>1</v>
      </c>
      <c r="T206" s="4">
        <f>DATE(AI$2,$Q206,1+(($R206-($S206&gt;=WEEKDAY(DATE(AI$2,$Q206,1))))*7)+($S206-WEEKDAY(DATE(AI$2,$Q206,1))))</f>
        <v>45865</v>
      </c>
      <c r="U206" s="4">
        <f>DATE(AJ$2,$Q206,1+(($R206-($S206&gt;=WEEKDAY(DATE(AJ$2,$Q206,1))))*7)+($S206-WEEKDAY(DATE(AJ$2,$Q206,1))))</f>
        <v>46229</v>
      </c>
      <c r="V206" s="20">
        <v>-1</v>
      </c>
      <c r="W206" s="20">
        <v>1</v>
      </c>
      <c r="X206" s="4">
        <f ca="1">Y206-(W206-1)</f>
        <v>45864</v>
      </c>
      <c r="Y206" s="5">
        <f ca="1">IF(OR(T206+V206&lt;(NOW()-0.5),ISNUMBER(SEARCH("&lt;h4&gt;",K206))),U206+V206,T206+V206)</f>
        <v>45864</v>
      </c>
      <c r="Z206" t="str">
        <f ca="1">CONCATENATE(IF(OR(Y206=X206,ISBLANK(Y206)),TEXT(X206,"mmmm d"),CONCATENATE(TEXT(X206,"mmmm d"),"-",IF(TEXT(X206,"mmmm")=TEXT(Y206,"mmmm"),TEXT(Y206,"d"),TEXT(Y206,"mmmm d")))),", ",YEAR(Y206))</f>
        <v>July 26, 2025</v>
      </c>
      <c r="AA206" s="7">
        <f>O206</f>
        <v>45342</v>
      </c>
      <c r="AB206" s="14">
        <f>T206+V206-(W206-1)</f>
        <v>45864</v>
      </c>
      <c r="AC206" t="s">
        <v>1323</v>
      </c>
      <c r="AD206" s="23" t="str">
        <f ca="1">CONCATENATE("&lt;add-to-calendar-button  name=",CHAR(34),H206,CHAR(34),
IF(ISBLANK(M206),"",CONCATENATE("   location=",CHAR(34),RIGHT(M206,LEN(M206)-SEARCH("|",M206)-1),CHAR(34))),
"   description=",CHAR(34),IF(ISBLANK(I206),"",CONCATENATE(I206,"; ")),"shapenotesingings.com",CHAR(34),
"   options=",CHAR(34),"'Apple','Google','iCal','Outlook.com'",CHAR(34),"   styleLight=",CHAR(34),"--btn-background: #550000; --btn-text: #fff; --btn-shadow:#fff;",CHAR(34),
IF(W206=1,CONCATENATE(
"startDate=",CHAR(34),TEXT(G206,"yyyy-mm-dd"),CHAR(34),
"{endDate=",CHAR(34),TEXT(G206,"yyyy-mm-dd"),CHAR(34),
IF(OR(ISBLANK(AE206),ISBLANK(AF206)),"",(CONCATENATE(" startTime=",CHAR(34),TEXT(AE206,"hh:mm"),CHAR(34)," endTime=",CHAR(34),TEXT(AF206,"h:mm"),CHAR(34),
" timeZone=",CHAR(34),AG206,CHAR(34))))),
IF(W206=2,CONCATENATE(" dates='[{",
CHAR(34),"startDate",CHAR(34),":",CHAR(34),TEXT(G206,"yyyy-mm-dd"),CHAR(34),", ",
,CHAR(34),"endDate",CHAR(34),":",CHAR(34),TEXT(G206,"yyyy-mm-dd"),CHAR(34),
IF(OR(ISBLANK(AE206),ISBLANK(AF206)),"",(CONCATENATE(", ",CHAR(34),"startTime",CHAR(34),":",CHAR(34),TEXT(AE206,"hh:mm"),CHAR(34),", ",CHAR(34),"endTime",CHAR(34),":",CHAR(34),TEXT(AF206,"hh:mm"),CHAR(34),", ",CHAR(34),"timeZone",CHAR(34),":",CHAR(34),AG206,CHAR(34)))),"}, {",
,CHAR(34),"startDate",CHAR(34),":",CHAR(34),TEXT(G206+1,"yyyy-mm-dd"),CHAR(34),", ",
,CHAR(34),"endDate",CHAR(34),":",CHAR(34),TEXT(G206+W206-1,"yyyy-mm-dd"),CHAR(34),
IF(OR(ISBLANK(AE206),ISBLANK(AF206)),"",(CONCATENATE(", ",CHAR(34),"startTime",CHAR(34),":",CHAR(34),TEXT(AE206,"hh:mm"),CHAR(34),", ",CHAR(34),"endTime",CHAR(34),":",CHAR(34),TEXT(AF206,"hh:mm"),CHAR(34),", ",CHAR(34),"timeZone",CHAR(34),":",CHAR(34),AG206,CHAR(34)))),"}]'"),
CONCATENATE(
"{  startDate=",CHAR(34),TEXT(G206,"yyyy-mm-dd"),CHAR(34),
"  endDate=",CHAR(34),TEXT(G206+W206-1,"yyyy-mm-dd"),CHAR(34),"}"))),
" &gt;&lt;/add-to-calendar-button&gt;")</f>
        <v>&lt;add-to-calendar-button  name="Swannanoa Shape Note Singing"   location="Warren Wilson College, 701 Warren Wilson Rd, Swannanoa, NC 28778"   description="10am; shapenotesingings.com"   options="'Apple','Google','iCal','Outlook.com'"   styleLight="--btn-background: #550000; --btn-text: #fff; --btn-shadow:#fff;"startDate="2025-07-26"{endDate="2025-07-26" startTime="10:00" endTime="15:00" timeZone="America/New_York" &gt;&lt;/add-to-calendar-button&gt;</v>
      </c>
      <c r="AE206" s="24">
        <v>0.41666666666666669</v>
      </c>
      <c r="AF206" s="24">
        <v>0.625</v>
      </c>
      <c r="AG206" s="25" t="s">
        <v>1532</v>
      </c>
    </row>
    <row r="207" spans="1:33" x14ac:dyDescent="0.3">
      <c r="A207" t="s">
        <v>8</v>
      </c>
      <c r="B207" t="s">
        <v>11</v>
      </c>
      <c r="C207" t="s">
        <v>1134</v>
      </c>
      <c r="D207" t="s">
        <v>539</v>
      </c>
      <c r="E207" t="s">
        <v>2178</v>
      </c>
      <c r="F207" t="s">
        <v>543</v>
      </c>
      <c r="G207" s="7">
        <f ca="1">X207</f>
        <v>45864</v>
      </c>
      <c r="H207" s="5" t="s">
        <v>538</v>
      </c>
      <c r="I207" t="s">
        <v>1175</v>
      </c>
      <c r="J207" s="36" t="s">
        <v>2783</v>
      </c>
      <c r="L207" t="s">
        <v>2153</v>
      </c>
      <c r="M207" s="16" t="s">
        <v>536</v>
      </c>
      <c r="N207" s="16" t="s">
        <v>537</v>
      </c>
      <c r="O207" s="7">
        <v>44936</v>
      </c>
      <c r="P207" s="7" t="s">
        <v>926</v>
      </c>
      <c r="Q207" s="18">
        <v>7</v>
      </c>
      <c r="R207" s="18">
        <v>4</v>
      </c>
      <c r="S207" s="18">
        <v>1</v>
      </c>
      <c r="T207" s="4">
        <f>DATE(AI$2,$Q207,1+(($R207-($S207&gt;=WEEKDAY(DATE(AI$2,$Q207,1))))*7)+($S207-WEEKDAY(DATE(AI$2,$Q207,1))))</f>
        <v>45865</v>
      </c>
      <c r="U207" s="4">
        <f>DATE(AJ$2,$Q207,1+(($R207-($S207&gt;=WEEKDAY(DATE(AJ$2,$Q207,1))))*7)+($S207-WEEKDAY(DATE(AJ$2,$Q207,1))))</f>
        <v>46229</v>
      </c>
      <c r="V207" s="20">
        <v>-1</v>
      </c>
      <c r="W207" s="20">
        <v>1</v>
      </c>
      <c r="X207" s="4">
        <f ca="1">Y207-(W207-1)</f>
        <v>45864</v>
      </c>
      <c r="Y207" s="5">
        <f ca="1">IF(OR(T207+V207&lt;(NOW()-0.5),ISNUMBER(SEARCH("&lt;h4&gt;",K207))),U207+V207,T207+V207)</f>
        <v>45864</v>
      </c>
      <c r="Z207" t="str">
        <f ca="1">CONCATENATE(IF(OR(Y207=X207,ISBLANK(Y207)),TEXT(X207,"mmmm d"),CONCATENATE(TEXT(X207,"mmmm d"),"-",IF(TEXT(X207,"mmmm")=TEXT(Y207,"mmmm"),TEXT(Y207,"d"),TEXT(Y207,"mmmm d")))),", ",YEAR(Y207))</f>
        <v>July 26, 2025</v>
      </c>
      <c r="AA207" s="7">
        <f>O207</f>
        <v>44936</v>
      </c>
      <c r="AB207" s="14">
        <f>T207+V207-(W207-1)</f>
        <v>45864</v>
      </c>
      <c r="AC207" t="s">
        <v>1322</v>
      </c>
      <c r="AD207" s="23" t="str">
        <f ca="1">CONCATENATE("&lt;add-to-calendar-button  name=",CHAR(34),H207,CHAR(34),
IF(ISBLANK(M207),"",CONCATENATE("   location=",CHAR(34),RIGHT(M207,LEN(M207)-SEARCH("|",M207)-1),CHAR(34))),
"   description=",CHAR(34),IF(ISBLANK(I207),"",CONCATENATE(I207,"; ")),"shapenotesingings.com",CHAR(34),
"   options=",CHAR(34),"'Apple','Google','iCal','Outlook.com'",CHAR(34),"   styleLight=",CHAR(34),"--btn-background: #550000; --btn-text: #fff; --btn-shadow:#fff;",CHAR(34),
IF(W207=1,CONCATENATE(
"startDate=",CHAR(34),TEXT(G207,"yyyy-mm-dd"),CHAR(34),
"{endDate=",CHAR(34),TEXT(G207,"yyyy-mm-dd"),CHAR(34),
IF(OR(ISBLANK(AE207),ISBLANK(AF207)),"",(CONCATENATE(" startTime=",CHAR(34),TEXT(AE207,"hh:mm"),CHAR(34)," endTime=",CHAR(34),TEXT(AF207,"h:mm"),CHAR(34),
" timeZone=",CHAR(34),AG207,CHAR(34))))),
IF(W207=2,CONCATENATE(" dates='[{",
CHAR(34),"startDate",CHAR(34),":",CHAR(34),TEXT(G207,"yyyy-mm-dd"),CHAR(34),", ",
,CHAR(34),"endDate",CHAR(34),":",CHAR(34),TEXT(G207,"yyyy-mm-dd"),CHAR(34),
IF(OR(ISBLANK(AE207),ISBLANK(AF207)),"",(CONCATENATE(", ",CHAR(34),"startTime",CHAR(34),":",CHAR(34),TEXT(AE207,"hh:mm"),CHAR(34),", ",CHAR(34),"endTime",CHAR(34),":",CHAR(34),TEXT(AF207,"hh:mm"),CHAR(34),", ",CHAR(34),"timeZone",CHAR(34),":",CHAR(34),AG207,CHAR(34)))),"}, {",
,CHAR(34),"startDate",CHAR(34),":",CHAR(34),TEXT(G207+1,"yyyy-mm-dd"),CHAR(34),", ",
,CHAR(34),"endDate",CHAR(34),":",CHAR(34),TEXT(G207+W207-1,"yyyy-mm-dd"),CHAR(34),
IF(OR(ISBLANK(AE207),ISBLANK(AF207)),"",(CONCATENATE(", ",CHAR(34),"startTime",CHAR(34),":",CHAR(34),TEXT(AE207,"hh:mm"),CHAR(34),", ",CHAR(34),"endTime",CHAR(34),":",CHAR(34),TEXT(AF207,"hh:mm"),CHAR(34),", ",CHAR(34),"timeZone",CHAR(34),":",CHAR(34),AG207,CHAR(34)))),"}]'"),
CONCATENATE(
"{  startDate=",CHAR(34),TEXT(G207,"yyyy-mm-dd"),CHAR(34),
"  endDate=",CHAR(34),TEXT(G207+W207-1,"yyyy-mm-dd"),CHAR(34),"}"))),
" &gt;&lt;/add-to-calendar-button&gt;")</f>
        <v>&lt;add-to-calendar-button  name="Cotaco Convention"   location="Gum Pond Primitive Baptist Church, 2086 Gum Pond Rd., Eva, AL 35621"   description="10am-2:30pm; shapenotesingings.com"   options="'Apple','Google','iCal','Outlook.com'"   styleLight="--btn-background: #550000; --btn-text: #fff; --btn-shadow:#fff;"startDate="2025-07-26"{endDate="2025-07-26" startTime="10:00" endTime="14:30" timeZone="America/Chicago" &gt;&lt;/add-to-calendar-button&gt;</v>
      </c>
      <c r="AE207" s="24">
        <v>0.41666666666666669</v>
      </c>
      <c r="AF207" s="24">
        <v>0.60416666666666663</v>
      </c>
      <c r="AG207" s="25" t="s">
        <v>1533</v>
      </c>
    </row>
    <row r="208" spans="1:33" x14ac:dyDescent="0.3">
      <c r="A208" t="s">
        <v>8</v>
      </c>
      <c r="B208" t="s">
        <v>11</v>
      </c>
      <c r="C208" t="s">
        <v>1134</v>
      </c>
      <c r="D208" t="s">
        <v>232</v>
      </c>
      <c r="E208" t="s">
        <v>34</v>
      </c>
      <c r="F208" t="s">
        <v>543</v>
      </c>
      <c r="G208" s="7">
        <f ca="1">X208</f>
        <v>45864</v>
      </c>
      <c r="H208" s="5" t="s">
        <v>540</v>
      </c>
      <c r="I208" t="s">
        <v>1028</v>
      </c>
      <c r="L208" t="s">
        <v>953</v>
      </c>
      <c r="M208" s="16" t="s">
        <v>998</v>
      </c>
      <c r="N208" s="16" t="s">
        <v>271</v>
      </c>
      <c r="O208" s="7">
        <v>45123</v>
      </c>
      <c r="P208" s="7" t="s">
        <v>1665</v>
      </c>
      <c r="Q208" s="18">
        <v>7</v>
      </c>
      <c r="R208" s="18">
        <v>4</v>
      </c>
      <c r="S208" s="18">
        <v>1</v>
      </c>
      <c r="T208" s="4">
        <f>DATE(AI$2,$Q208,1+(($R208-($S208&gt;=WEEKDAY(DATE(AI$2,$Q208,1))))*7)+($S208-WEEKDAY(DATE(AI$2,$Q208,1))))</f>
        <v>45865</v>
      </c>
      <c r="U208" s="4">
        <f>DATE(AJ$2,$Q208,1+(($R208-($S208&gt;=WEEKDAY(DATE(AJ$2,$Q208,1))))*7)+($S208-WEEKDAY(DATE(AJ$2,$Q208,1))))</f>
        <v>46229</v>
      </c>
      <c r="V208" s="20">
        <v>-1</v>
      </c>
      <c r="W208" s="20">
        <v>1</v>
      </c>
      <c r="X208" s="4">
        <f ca="1">Y208-(W208-1)</f>
        <v>45864</v>
      </c>
      <c r="Y208" s="5">
        <f ca="1">IF(OR(T208+V208&lt;(NOW()-0.5),ISNUMBER(SEARCH("&lt;h4&gt;",K208))),U208+V208,T208+V208)</f>
        <v>45864</v>
      </c>
      <c r="Z208" t="str">
        <f ca="1">CONCATENATE(IF(OR(Y208=X208,ISBLANK(Y208)),TEXT(X208,"mmmm d"),CONCATENATE(TEXT(X208,"mmmm d"),"-",IF(TEXT(X208,"mmmm")=TEXT(Y208,"mmmm"),TEXT(Y208,"d"),TEXT(Y208,"mmmm d")))),", ",YEAR(Y208))</f>
        <v>July 26, 2025</v>
      </c>
      <c r="AA208" s="7">
        <f>O208</f>
        <v>45123</v>
      </c>
      <c r="AB208" s="14">
        <f>T208+V208-(W208-1)</f>
        <v>45864</v>
      </c>
      <c r="AC208" t="s">
        <v>1666</v>
      </c>
      <c r="AD208" s="23" t="str">
        <f ca="1">CONCATENATE("&lt;add-to-calendar-button  name=",CHAR(34),H208,CHAR(34),
IF(ISBLANK(M208),"",CONCATENATE("   location=",CHAR(34),RIGHT(M208,LEN(M208)-SEARCH("|",M208)-1),CHAR(34))),
"   description=",CHAR(34),IF(ISBLANK(I208),"",CONCATENATE(I208,"; ")),"shapenotesingings.com",CHAR(34),
"   options=",CHAR(34),"'Apple','Google','iCal','Outlook.com'",CHAR(34),"   styleLight=",CHAR(34),"--btn-background: #550000; --btn-text: #fff; --btn-shadow:#fff;",CHAR(34),
IF(W208=1,CONCATENATE(
"startDate=",CHAR(34),TEXT(G208,"yyyy-mm-dd"),CHAR(34),
"{endDate=",CHAR(34),TEXT(G208,"yyyy-mm-dd"),CHAR(34),
IF(OR(ISBLANK(AE208),ISBLANK(AF208)),"",(CONCATENATE(" startTime=",CHAR(34),TEXT(AE208,"hh:mm"),CHAR(34)," endTime=",CHAR(34),TEXT(AF208,"h:mm"),CHAR(34),
" timeZone=",CHAR(34),AG208,CHAR(34))))),
IF(W208=2,CONCATENATE(" dates='[{",
CHAR(34),"startDate",CHAR(34),":",CHAR(34),TEXT(G208,"yyyy-mm-dd"),CHAR(34),", ",
,CHAR(34),"endDate",CHAR(34),":",CHAR(34),TEXT(G208,"yyyy-mm-dd"),CHAR(34),
IF(OR(ISBLANK(AE208),ISBLANK(AF208)),"",(CONCATENATE(", ",CHAR(34),"startTime",CHAR(34),":",CHAR(34),TEXT(AE208,"hh:mm"),CHAR(34),", ",CHAR(34),"endTime",CHAR(34),":",CHAR(34),TEXT(AF208,"hh:mm"),CHAR(34),", ",CHAR(34),"timeZone",CHAR(34),":",CHAR(34),AG208,CHAR(34)))),"}, {",
,CHAR(34),"startDate",CHAR(34),":",CHAR(34),TEXT(G208+1,"yyyy-mm-dd"),CHAR(34),", ",
,CHAR(34),"endDate",CHAR(34),":",CHAR(34),TEXT(G208+W208-1,"yyyy-mm-dd"),CHAR(34),
IF(OR(ISBLANK(AE208),ISBLANK(AF208)),"",(CONCATENATE(", ",CHAR(34),"startTime",CHAR(34),":",CHAR(34),TEXT(AE208,"hh:mm"),CHAR(34),", ",CHAR(34),"endTime",CHAR(34),":",CHAR(34),TEXT(AF208,"hh:mm"),CHAR(34),", ",CHAR(34),"timeZone",CHAR(34),":",CHAR(34),AG208,CHAR(34)))),"}]'"),
CONCATENATE(
"{  startDate=",CHAR(34),TEXT(G208,"yyyy-mm-dd"),CHAR(34),
"  endDate=",CHAR(34),TEXT(G208+W208-1,"yyyy-mm-dd"),CHAR(34),"}"))),
" &gt;&lt;/add-to-calendar-button&gt;")</f>
        <v>&lt;add-to-calendar-button  name="Covington County Convention"   location="Cool Springs Church, 1103 US-84, Opp, AL 36467"   description="10am; shapenotesingings.com"   options="'Apple','Google','iCal','Outlook.com'"   styleLight="--btn-background: #550000; --btn-text: #fff; --btn-shadow:#fff;"startDate="2025-07-26"{endDate="2025-07-26" startTime="10:00" endTime="15:00" timeZone="America/Chicago" &gt;&lt;/add-to-calendar-button&gt;</v>
      </c>
      <c r="AE208" s="24">
        <v>0.41666666666666669</v>
      </c>
      <c r="AF208" s="24">
        <v>0.625</v>
      </c>
      <c r="AG208" s="25" t="s">
        <v>1533</v>
      </c>
    </row>
    <row r="209" spans="1:33" x14ac:dyDescent="0.3">
      <c r="A209" t="s">
        <v>8</v>
      </c>
      <c r="B209" t="s">
        <v>11</v>
      </c>
      <c r="C209" t="s">
        <v>1134</v>
      </c>
      <c r="D209" t="s">
        <v>232</v>
      </c>
      <c r="E209" t="s">
        <v>1435</v>
      </c>
      <c r="F209" t="s">
        <v>556</v>
      </c>
      <c r="G209" s="7">
        <f ca="1">X209</f>
        <v>45864</v>
      </c>
      <c r="H209" s="5" t="s">
        <v>2607</v>
      </c>
      <c r="I209" t="s">
        <v>1028</v>
      </c>
      <c r="J209" s="36" t="s">
        <v>2611</v>
      </c>
      <c r="L209" t="s">
        <v>2580</v>
      </c>
      <c r="M209" s="16" t="s">
        <v>2608</v>
      </c>
      <c r="N209" s="16" t="s">
        <v>2609</v>
      </c>
      <c r="O209" s="7">
        <v>45667</v>
      </c>
      <c r="P209" s="7" t="s">
        <v>2594</v>
      </c>
      <c r="Q209" s="18">
        <v>7</v>
      </c>
      <c r="R209" s="18">
        <v>4</v>
      </c>
      <c r="S209" s="18">
        <v>1</v>
      </c>
      <c r="T209" s="4">
        <f>DATE(AI$2,$Q209,1+(($R209-($S209&gt;=WEEKDAY(DATE(AI$2,$Q209,1))))*7)+($S209-WEEKDAY(DATE(AI$2,$Q209,1))))</f>
        <v>45865</v>
      </c>
      <c r="U209" s="4">
        <f>DATE(AJ$2,$Q209,1+(($R209-($S209&gt;=WEEKDAY(DATE(AJ$2,$Q209,1))))*7)+($S209-WEEKDAY(DATE(AJ$2,$Q209,1))))</f>
        <v>46229</v>
      </c>
      <c r="V209" s="20">
        <v>-1</v>
      </c>
      <c r="W209" s="20">
        <v>1</v>
      </c>
      <c r="X209" s="4">
        <f ca="1">Y209-(W209-1)</f>
        <v>45864</v>
      </c>
      <c r="Y209" s="5">
        <f ca="1">IF(OR(T209+V209&lt;(NOW()-0.5),ISNUMBER(SEARCH("&lt;h4&gt;",K209))),U209+V209,T209+V209)</f>
        <v>45864</v>
      </c>
      <c r="Z209" t="str">
        <f ca="1">CONCATENATE(IF(OR(Y209=X209,ISBLANK(Y209)),TEXT(X209,"mmmm d"),CONCATENATE(TEXT(X209,"mmmm d"),"-",IF(TEXT(X209,"mmmm")=TEXT(Y209,"mmmm"),TEXT(Y209,"d"),TEXT(Y209,"mmmm d")))),", ",YEAR(Y209))</f>
        <v>July 26, 2025</v>
      </c>
      <c r="AA209" s="7">
        <f>O209</f>
        <v>45667</v>
      </c>
      <c r="AB209" s="14">
        <f>T209+V209-(W209-1)</f>
        <v>45864</v>
      </c>
      <c r="AC209" t="s">
        <v>2610</v>
      </c>
      <c r="AD209" s="23" t="str">
        <f ca="1">CONCATENATE("&lt;add-to-calendar-button  name=",CHAR(34),H209,CHAR(34),
IF(ISBLANK(M209),"",CONCATENATE("   location=",CHAR(34),RIGHT(M209,LEN(M209)-SEARCH("|",M209)-1),CHAR(34))),
"   description=",CHAR(34),IF(ISBLANK(I209),"",CONCATENATE(I209,"; ")),"shapenotesingings.com",CHAR(34),
"   options=",CHAR(34),"'Apple','Google','iCal','Outlook.com'",CHAR(34),"   styleLight=",CHAR(34),"--btn-background: #550000; --btn-text: #fff; --btn-shadow:#fff;",CHAR(34),
IF(W209=1,CONCATENATE(
"startDate=",CHAR(34),TEXT(G209,"yyyy-mm-dd"),CHAR(34),
"{endDate=",CHAR(34),TEXT(G209,"yyyy-mm-dd"),CHAR(34),
IF(OR(ISBLANK(AE209),ISBLANK(AF209)),"",(CONCATENATE(" startTime=",CHAR(34),TEXT(AE209,"hh:mm"),CHAR(34)," endTime=",CHAR(34),TEXT(AF209,"h:mm"),CHAR(34),
" timeZone=",CHAR(34),AG209,CHAR(34))))),
IF(W209=2,CONCATENATE(" dates='[{",
CHAR(34),"startDate",CHAR(34),":",CHAR(34),TEXT(G209,"yyyy-mm-dd"),CHAR(34),", ",
,CHAR(34),"endDate",CHAR(34),":",CHAR(34),TEXT(G209,"yyyy-mm-dd"),CHAR(34),
IF(OR(ISBLANK(AE209),ISBLANK(AF209)),"",(CONCATENATE(", ",CHAR(34),"startTime",CHAR(34),":",CHAR(34),TEXT(AE209,"hh:mm"),CHAR(34),", ",CHAR(34),"endTime",CHAR(34),":",CHAR(34),TEXT(AF209,"hh:mm"),CHAR(34),", ",CHAR(34),"timeZone",CHAR(34),":",CHAR(34),AG209,CHAR(34)))),"}, {",
,CHAR(34),"startDate",CHAR(34),":",CHAR(34),TEXT(G209+1,"yyyy-mm-dd"),CHAR(34),", ",
,CHAR(34),"endDate",CHAR(34),":",CHAR(34),TEXT(G209+W209-1,"yyyy-mm-dd"),CHAR(34),
IF(OR(ISBLANK(AE209),ISBLANK(AF209)),"",(CONCATENATE(", ",CHAR(34),"startTime",CHAR(34),":",CHAR(34),TEXT(AE209,"hh:mm"),CHAR(34),", ",CHAR(34),"endTime",CHAR(34),":",CHAR(34),TEXT(AF209,"hh:mm"),CHAR(34),", ",CHAR(34),"timeZone",CHAR(34),":",CHAR(34),AG209,CHAR(34)))),"}]'"),
CONCATENATE(
"{  startDate=",CHAR(34),TEXT(G209,"yyyy-mm-dd"),CHAR(34),
"  endDate=",CHAR(34),TEXT(G209+W209-1,"yyyy-mm-dd"),CHAR(34),"}"))),
" &gt;&lt;/add-to-calendar-button&gt;")</f>
        <v>&lt;add-to-calendar-button  name="Bibb County Christian Harmony Singing Convention"   location="Old Pleasant Hill Cumberland Presbyterian Church, Pleasant Hill Rd, Centreville, AL 35042
Centreville, Bibb County, Alabama"   description="10am; shapenotesingings.com"   options="'Apple','Google','iCal','Outlook.com'"   styleLight="--btn-background: #550000; --btn-text: #fff; --btn-shadow:#fff;"startDate="2025-07-26"{endDate="2025-07-26" startTime="10:00" endTime="15:00" timeZone="America/Chicago" &gt;&lt;/add-to-calendar-button&gt;</v>
      </c>
      <c r="AE209" s="24">
        <v>0.41666666666666669</v>
      </c>
      <c r="AF209" s="24">
        <v>0.625</v>
      </c>
      <c r="AG209" s="25" t="s">
        <v>1533</v>
      </c>
    </row>
    <row r="210" spans="1:33" x14ac:dyDescent="0.3">
      <c r="A210" t="s">
        <v>8</v>
      </c>
      <c r="B210" t="s">
        <v>17</v>
      </c>
      <c r="C210" t="s">
        <v>1140</v>
      </c>
      <c r="D210" t="s">
        <v>555</v>
      </c>
      <c r="E210" t="s">
        <v>2178</v>
      </c>
      <c r="F210" t="s">
        <v>556</v>
      </c>
      <c r="G210" s="7">
        <f ca="1">X210</f>
        <v>45865</v>
      </c>
      <c r="H210" s="5" t="s">
        <v>554</v>
      </c>
      <c r="I210" t="s">
        <v>1028</v>
      </c>
      <c r="J210" s="36" t="s">
        <v>2784</v>
      </c>
      <c r="K210" t="s">
        <v>1116</v>
      </c>
      <c r="M210" s="16" t="s">
        <v>1016</v>
      </c>
      <c r="N210" s="16" t="s">
        <v>553</v>
      </c>
      <c r="O210" s="7">
        <v>44936</v>
      </c>
      <c r="P210" s="7" t="s">
        <v>926</v>
      </c>
      <c r="Q210" s="18">
        <v>7</v>
      </c>
      <c r="R210" s="18">
        <v>4</v>
      </c>
      <c r="S210" s="18">
        <v>1</v>
      </c>
      <c r="T210" s="4">
        <f>DATE(AI$2,$Q210,1+(($R210-($S210&gt;=WEEKDAY(DATE(AI$2,$Q210,1))))*7)+($S210-WEEKDAY(DATE(AI$2,$Q210,1))))</f>
        <v>45865</v>
      </c>
      <c r="U210" s="4">
        <f>DATE(AJ$2,$Q210,1+(($R210-($S210&gt;=WEEKDAY(DATE(AJ$2,$Q210,1))))*7)+($S210-WEEKDAY(DATE(AJ$2,$Q210,1))))</f>
        <v>46229</v>
      </c>
      <c r="V210" s="20">
        <v>0</v>
      </c>
      <c r="W210" s="20">
        <v>1</v>
      </c>
      <c r="X210" s="4">
        <f ca="1">Y210-(W210-1)</f>
        <v>45865</v>
      </c>
      <c r="Y210" s="5">
        <f ca="1">IF(OR(T210+V210&lt;(NOW()-0.5),ISNUMBER(SEARCH("&lt;h4&gt;",K210))),U210+V210,T210+V210)</f>
        <v>45865</v>
      </c>
      <c r="Z210" t="str">
        <f ca="1">CONCATENATE(IF(OR(Y210=X210,ISBLANK(Y210)),TEXT(X210,"mmmm d"),CONCATENATE(TEXT(X210,"mmmm d"),"-",IF(TEXT(X210,"mmmm")=TEXT(Y210,"mmmm"),TEXT(Y210,"d"),TEXT(Y210,"mmmm d")))),", ",YEAR(Y210))</f>
        <v>July 27, 2025</v>
      </c>
      <c r="AA210" s="7">
        <f>O210</f>
        <v>44936</v>
      </c>
      <c r="AB210" s="14">
        <f>T210+V210-(W210-1)</f>
        <v>45865</v>
      </c>
      <c r="AC210" t="s">
        <v>1324</v>
      </c>
      <c r="AD210" s="23" t="str">
        <f ca="1">CONCATENATE("&lt;add-to-calendar-button  name=",CHAR(34),H210,CHAR(34),
IF(ISBLANK(M210),"",CONCATENATE("   location=",CHAR(34),RIGHT(M210,LEN(M210)-SEARCH("|",M210)-1),CHAR(34))),
"   description=",CHAR(34),IF(ISBLANK(I210),"",CONCATENATE(I210,"; ")),"shapenotesingings.com",CHAR(34),
"   options=",CHAR(34),"'Apple','Google','iCal','Outlook.com'",CHAR(34),"   styleLight=",CHAR(34),"--btn-background: #550000; --btn-text: #fff; --btn-shadow:#fff;",CHAR(34),
IF(W210=1,CONCATENATE(
"startDate=",CHAR(34),TEXT(G210,"yyyy-mm-dd"),CHAR(34),
"{endDate=",CHAR(34),TEXT(G210,"yyyy-mm-dd"),CHAR(34),
IF(OR(ISBLANK(AE210),ISBLANK(AF210)),"",(CONCATENATE(" startTime=",CHAR(34),TEXT(AE210,"hh:mm"),CHAR(34)," endTime=",CHAR(34),TEXT(AF210,"h:mm"),CHAR(34),
" timeZone=",CHAR(34),AG210,CHAR(34))))),
IF(W210=2,CONCATENATE(" dates='[{",
CHAR(34),"startDate",CHAR(34),":",CHAR(34),TEXT(G210,"yyyy-mm-dd"),CHAR(34),", ",
,CHAR(34),"endDate",CHAR(34),":",CHAR(34),TEXT(G210,"yyyy-mm-dd"),CHAR(34),
IF(OR(ISBLANK(AE210),ISBLANK(AF210)),"",(CONCATENATE(", ",CHAR(34),"startTime",CHAR(34),":",CHAR(34),TEXT(AE210,"hh:mm"),CHAR(34),", ",CHAR(34),"endTime",CHAR(34),":",CHAR(34),TEXT(AF210,"hh:mm"),CHAR(34),", ",CHAR(34),"timeZone",CHAR(34),":",CHAR(34),AG210,CHAR(34)))),"}, {",
,CHAR(34),"startDate",CHAR(34),":",CHAR(34),TEXT(G210+1,"yyyy-mm-dd"),CHAR(34),", ",
,CHAR(34),"endDate",CHAR(34),":",CHAR(34),TEXT(G210+W210-1,"yyyy-mm-dd"),CHAR(34),
IF(OR(ISBLANK(AE210),ISBLANK(AF210)),"",(CONCATENATE(", ",CHAR(34),"startTime",CHAR(34),":",CHAR(34),TEXT(AE210,"hh:mm"),CHAR(34),", ",CHAR(34),"endTime",CHAR(34),":",CHAR(34),TEXT(AF210,"hh:mm"),CHAR(34),", ",CHAR(34),"timeZone",CHAR(34),":",CHAR(34),AG210,CHAR(34)))),"}]'"),
CONCATENATE(
"{  startDate=",CHAR(34),TEXT(G210,"yyyy-mm-dd"),CHAR(34),
"  endDate=",CHAR(34),TEXT(G210+W210-1,"yyyy-mm-dd"),CHAR(34),"}"))),
" &gt;&lt;/add-to-calendar-button&gt;")</f>
        <v>&lt;add-to-calendar-button  name="Mt. Zion Memorial"   location="Mt. Zion United Methodist Church, 49 N Prospect Ave, Mt Zion, GA 30150"   description="10am; shapenotesingings.com"   options="'Apple','Google','iCal','Outlook.com'"   styleLight="--btn-background: #550000; --btn-text: #fff; --btn-shadow:#fff;"startDate="2025-07-27"{endDate="2025-07-27" startTime="10:00" endTime="15:00" timeZone="America/New_York" &gt;&lt;/add-to-calendar-button&gt;</v>
      </c>
      <c r="AE210" s="24">
        <v>0.41666666666666669</v>
      </c>
      <c r="AF210" s="24">
        <v>0.625</v>
      </c>
      <c r="AG210" s="25" t="s">
        <v>1532</v>
      </c>
    </row>
    <row r="211" spans="1:33" x14ac:dyDescent="0.3">
      <c r="A211" t="s">
        <v>8</v>
      </c>
      <c r="B211" t="s">
        <v>11</v>
      </c>
      <c r="C211" t="s">
        <v>1134</v>
      </c>
      <c r="D211" t="s">
        <v>1610</v>
      </c>
      <c r="E211" t="s">
        <v>2177</v>
      </c>
      <c r="F211" t="s">
        <v>561</v>
      </c>
      <c r="G211" s="7">
        <f ca="1">X211</f>
        <v>45871</v>
      </c>
      <c r="H211" s="5" t="s">
        <v>2219</v>
      </c>
      <c r="I211" t="s">
        <v>1051</v>
      </c>
      <c r="J211" s="36" t="s">
        <v>2785</v>
      </c>
      <c r="L211" t="s">
        <v>2138</v>
      </c>
      <c r="M211" s="16" t="s">
        <v>1611</v>
      </c>
      <c r="N211" s="16" t="s">
        <v>1612</v>
      </c>
      <c r="O211" s="7">
        <v>45073</v>
      </c>
      <c r="P211" s="7" t="s">
        <v>1613</v>
      </c>
      <c r="Q211" s="18">
        <v>8</v>
      </c>
      <c r="R211" s="18">
        <v>1</v>
      </c>
      <c r="S211" s="18">
        <v>1</v>
      </c>
      <c r="T211" s="4">
        <f>DATE(AI$2,$Q211,1+(($R211-($S211&gt;=WEEKDAY(DATE(AI$2,$Q211,1))))*7)+($S211-WEEKDAY(DATE(AI$2,$Q211,1))))</f>
        <v>45872</v>
      </c>
      <c r="U211" s="4">
        <f>DATE(AJ$2,$Q211,1+(($R211-($S211&gt;=WEEKDAY(DATE(AJ$2,$Q211,1))))*7)+($S211-WEEKDAY(DATE(AJ$2,$Q211,1))))</f>
        <v>46236</v>
      </c>
      <c r="V211" s="20">
        <v>-1</v>
      </c>
      <c r="W211" s="20">
        <v>1</v>
      </c>
      <c r="X211" s="4">
        <f ca="1">Y211-(W211-1)</f>
        <v>45871</v>
      </c>
      <c r="Y211" s="5">
        <f ca="1">IF(OR(T211+V211&lt;(NOW()-0.5),ISNUMBER(SEARCH("&lt;h4&gt;",K211))),U211+V211,T211+V211)</f>
        <v>45871</v>
      </c>
      <c r="Z211" t="str">
        <f ca="1">CONCATENATE(IF(OR(Y211=X211,ISBLANK(Y211)),TEXT(X211,"mmmm d"),CONCATENATE(TEXT(X211,"mmmm d"),"-",IF(TEXT(X211,"mmmm")=TEXT(Y211,"mmmm"),TEXT(Y211,"d"),TEXT(Y211,"mmmm d")))),", ",YEAR(Y211))</f>
        <v>August 2, 2025</v>
      </c>
      <c r="AA211" s="7">
        <f>O211</f>
        <v>45073</v>
      </c>
      <c r="AB211" s="14">
        <f>T211+V211-(W211-1)</f>
        <v>45871</v>
      </c>
      <c r="AC211" t="s">
        <v>1614</v>
      </c>
      <c r="AD211" s="23" t="str">
        <f ca="1">CONCATENATE("&lt;add-to-calendar-button  name=",CHAR(34),H211,CHAR(34),
IF(ISBLANK(M211),"",CONCATENATE("   location=",CHAR(34),RIGHT(M211,LEN(M211)-SEARCH("|",M211)-1),CHAR(34))),
"   description=",CHAR(34),IF(ISBLANK(I211),"",CONCATENATE(I211,"; ")),"shapenotesingings.com",CHAR(34),
"   options=",CHAR(34),"'Apple','Google','iCal','Outlook.com'",CHAR(34),"   styleLight=",CHAR(34),"--btn-background: #550000; --btn-text: #fff; --btn-shadow:#fff;",CHAR(34),
IF(W211=1,CONCATENATE(
"startDate=",CHAR(34),TEXT(G211,"yyyy-mm-dd"),CHAR(34),
"{endDate=",CHAR(34),TEXT(G211,"yyyy-mm-dd"),CHAR(34),
IF(OR(ISBLANK(AE211),ISBLANK(AF211)),"",(CONCATENATE(" startTime=",CHAR(34),TEXT(AE211,"hh:mm"),CHAR(34)," endTime=",CHAR(34),TEXT(AF211,"h:mm"),CHAR(34),
" timeZone=",CHAR(34),AG211,CHAR(34))))),
IF(W211=2,CONCATENATE(" dates='[{",
CHAR(34),"startDate",CHAR(34),":",CHAR(34),TEXT(G211,"yyyy-mm-dd"),CHAR(34),", ",
,CHAR(34),"endDate",CHAR(34),":",CHAR(34),TEXT(G211,"yyyy-mm-dd"),CHAR(34),
IF(OR(ISBLANK(AE211),ISBLANK(AF211)),"",(CONCATENATE(", ",CHAR(34),"startTime",CHAR(34),":",CHAR(34),TEXT(AE211,"hh:mm"),CHAR(34),", ",CHAR(34),"endTime",CHAR(34),":",CHAR(34),TEXT(AF211,"hh:mm"),CHAR(34),", ",CHAR(34),"timeZone",CHAR(34),":",CHAR(34),AG211,CHAR(34)))),"}, {",
,CHAR(34),"startDate",CHAR(34),":",CHAR(34),TEXT(G211+1,"yyyy-mm-dd"),CHAR(34),", ",
,CHAR(34),"endDate",CHAR(34),":",CHAR(34),TEXT(G211+W211-1,"yyyy-mm-dd"),CHAR(34),
IF(OR(ISBLANK(AE211),ISBLANK(AF211)),"",(CONCATENATE(", ",CHAR(34),"startTime",CHAR(34),":",CHAR(34),TEXT(AE211,"hh:mm"),CHAR(34),", ",CHAR(34),"endTime",CHAR(34),":",CHAR(34),TEXT(AF211,"hh:mm"),CHAR(34),", ",CHAR(34),"timeZone",CHAR(34),":",CHAR(34),AG211,CHAR(34)))),"}]'"),
CONCATENATE(
"{  startDate=",CHAR(34),TEXT(G211,"yyyy-mm-dd"),CHAR(34),
"  endDate=",CHAR(34),TEXT(G211+W211-1,"yyyy-mm-dd"),CHAR(34),"}"))),
" &gt;&lt;/add-to-calendar-button&gt;")</f>
        <v>&lt;add-to-calendar-button  name="Mobile Sacred Harp All-Day Singing"   location="Government Street UMC, 901 Government St, Mobile AL 36604"   description="9:30am-2:30pm; shapenotesingings.com"   options="'Apple','Google','iCal','Outlook.com'"   styleLight="--btn-background: #550000; --btn-text: #fff; --btn-shadow:#fff;"startDate="2025-08-02"{endDate="2025-08-02" startTime="09:30" endTime="14:30" timeZone="America/Chicago" &gt;&lt;/add-to-calendar-button&gt;</v>
      </c>
      <c r="AE211" s="24">
        <v>0.39583333333333331</v>
      </c>
      <c r="AF211" s="24">
        <v>0.60416666666666663</v>
      </c>
      <c r="AG211" s="25" t="s">
        <v>1533</v>
      </c>
    </row>
    <row r="212" spans="1:33" ht="13.8" customHeight="1" x14ac:dyDescent="0.3">
      <c r="A212" t="s">
        <v>8</v>
      </c>
      <c r="B212" t="s">
        <v>17</v>
      </c>
      <c r="C212" t="s">
        <v>1140</v>
      </c>
      <c r="D212" t="s">
        <v>31</v>
      </c>
      <c r="E212" t="s">
        <v>2178</v>
      </c>
      <c r="F212" t="s">
        <v>62</v>
      </c>
      <c r="G212" s="7">
        <f ca="1">X212</f>
        <v>45871</v>
      </c>
      <c r="H212" s="5" t="s">
        <v>19</v>
      </c>
      <c r="I212" t="s">
        <v>1040</v>
      </c>
      <c r="J212" s="36" t="s">
        <v>2786</v>
      </c>
      <c r="K212" t="s">
        <v>1118</v>
      </c>
      <c r="L212" t="s">
        <v>2163</v>
      </c>
      <c r="M212" s="16" t="s">
        <v>35</v>
      </c>
      <c r="N212" s="16" t="s">
        <v>130</v>
      </c>
      <c r="O212" s="7">
        <v>44936</v>
      </c>
      <c r="P212" s="7" t="s">
        <v>926</v>
      </c>
      <c r="Q212" s="18">
        <v>8</v>
      </c>
      <c r="R212" s="18">
        <v>1</v>
      </c>
      <c r="S212" s="18">
        <v>1</v>
      </c>
      <c r="T212" s="4">
        <f>DATE(AI$2,$Q212,1+(($R212-($S212&gt;=WEEKDAY(DATE(AI$2,$Q212,1))))*7)+($S212-WEEKDAY(DATE(AI$2,$Q212,1))))</f>
        <v>45872</v>
      </c>
      <c r="U212" s="4">
        <f>DATE(AJ$2,$Q212,1+(($R212-($S212&gt;=WEEKDAY(DATE(AJ$2,$Q212,1))))*7)+($S212-WEEKDAY(DATE(AJ$2,$Q212,1))))</f>
        <v>46236</v>
      </c>
      <c r="V212" s="20">
        <v>0</v>
      </c>
      <c r="W212" s="20">
        <v>2</v>
      </c>
      <c r="X212" s="4">
        <f ca="1">Y212-(W212-1)</f>
        <v>45871</v>
      </c>
      <c r="Y212" s="5">
        <f ca="1">IF(OR(T212+V212&lt;(NOW()-0.5),ISNUMBER(SEARCH("&lt;h4&gt;",K212))),U212+V212,T212+V212)</f>
        <v>45872</v>
      </c>
      <c r="Z212" t="str">
        <f ca="1">CONCATENATE(IF(OR(Y212=X212,ISBLANK(Y212)),TEXT(X212,"mmmm d"),CONCATENATE(TEXT(X212,"mmmm d"),"-",IF(TEXT(X212,"mmmm")=TEXT(Y212,"mmmm"),TEXT(Y212,"d"),TEXT(Y212,"mmmm d")))),", ",YEAR(Y212))</f>
        <v>August 2-3, 2025</v>
      </c>
      <c r="AA212" s="7">
        <f>O212</f>
        <v>44936</v>
      </c>
      <c r="AB212" s="14">
        <f>T212+V212-(W212-1)</f>
        <v>45871</v>
      </c>
      <c r="AC212" t="s">
        <v>1328</v>
      </c>
      <c r="AD212" s="23" t="str">
        <f ca="1">CONCATENATE("&lt;add-to-calendar-button  name=",CHAR(34),H212,CHAR(34),
IF(ISBLANK(M212),"",CONCATENATE("   location=",CHAR(34),RIGHT(M212,LEN(M212)-SEARCH("|",M212)-1),CHAR(34))),
"   description=",CHAR(34),IF(ISBLANK(I212),"",CONCATENATE(I212,"; ")),"shapenotesingings.com",CHAR(34),
"   options=",CHAR(34),"'Apple','Google','iCal','Outlook.com'",CHAR(34),"   styleLight=",CHAR(34),"--btn-background: #550000; --btn-text: #fff; --btn-shadow:#fff;",CHAR(34),
IF(W212=1,CONCATENATE(
"startDate=",CHAR(34),TEXT(G212,"yyyy-mm-dd"),CHAR(34),
"{endDate=",CHAR(34),TEXT(G212,"yyyy-mm-dd"),CHAR(34),
IF(OR(ISBLANK(AE212),ISBLANK(AF212)),"",(CONCATENATE(" startTime=",CHAR(34),TEXT(AE212,"hh:mm"),CHAR(34)," endTime=",CHAR(34),TEXT(AF212,"h:mm"),CHAR(34),
" timeZone=",CHAR(34),AG212,CHAR(34))))),
IF(W212=2,CONCATENATE(" dates='[{",
CHAR(34),"startDate",CHAR(34),":",CHAR(34),TEXT(G212,"yyyy-mm-dd"),CHAR(34),", ",
,CHAR(34),"endDate",CHAR(34),":",CHAR(34),TEXT(G212,"yyyy-mm-dd"),CHAR(34),
IF(OR(ISBLANK(AE212),ISBLANK(AF212)),"",(CONCATENATE(", ",CHAR(34),"startTime",CHAR(34),":",CHAR(34),TEXT(AE212,"hh:mm"),CHAR(34),", ",CHAR(34),"endTime",CHAR(34),":",CHAR(34),TEXT(AF212,"hh:mm"),CHAR(34),", ",CHAR(34),"timeZone",CHAR(34),":",CHAR(34),AG212,CHAR(34)))),"}, {",
,CHAR(34),"startDate",CHAR(34),":",CHAR(34),TEXT(G212+1,"yyyy-mm-dd"),CHAR(34),", ",
,CHAR(34),"endDate",CHAR(34),":",CHAR(34),TEXT(G212+W212-1,"yyyy-mm-dd"),CHAR(34),
IF(OR(ISBLANK(AE212),ISBLANK(AF212)),"",(CONCATENATE(", ",CHAR(34),"startTime",CHAR(34),":",CHAR(34),TEXT(AE212,"hh:mm"),CHAR(34),", ",CHAR(34),"endTime",CHAR(34),":",CHAR(34),TEXT(AF212,"hh:mm"),CHAR(34),", ",CHAR(34),"timeZone",CHAR(34),":",CHAR(34),AG212,CHAR(34)))),"}]'"),
CONCATENATE(
"{  startDate=",CHAR(34),TEXT(G212,"yyyy-mm-dd"),CHAR(34),
"  endDate=",CHAR(34),TEXT(G212+W212-1,"yyyy-mm-dd"),CHAR(34),"}"))),
" &gt;&lt;/add-to-calendar-button&gt;")</f>
        <v>&lt;add-to-calendar-button  name="Chattahoochee Musical Convention"   location="272 Hutcheson Ferry Rd, Whitesburg, GA 30185"   description="9:30am; shapenotesingings.com"   options="'Apple','Google','iCal','Outlook.com'"   styleLight="--btn-background: #550000; --btn-text: #fff; --btn-shadow:#fff;" dates='[{"startDate":"2025-08-02", "endDate":"2025-08-02", "startTime":"09:30", "endTime":"15:00", "timeZone":"America/New_York"}, {"startDate":"2025-08-03", "endDate":"2025-08-03", "startTime":"09:30", "endTime":"15:00", "timeZone":"America/New_York"}]' &gt;&lt;/add-to-calendar-button&gt;</v>
      </c>
      <c r="AE212" s="24">
        <v>0.39583333333333331</v>
      </c>
      <c r="AF212" s="24">
        <v>0.625</v>
      </c>
      <c r="AG212" s="25" t="s">
        <v>1532</v>
      </c>
    </row>
    <row r="213" spans="1:33" ht="13.8" customHeight="1" x14ac:dyDescent="0.3">
      <c r="A213" t="s">
        <v>8</v>
      </c>
      <c r="B213" t="s">
        <v>151</v>
      </c>
      <c r="C213" t="s">
        <v>1137</v>
      </c>
      <c r="D213" t="s">
        <v>565</v>
      </c>
      <c r="E213" t="s">
        <v>2178</v>
      </c>
      <c r="F213" t="s">
        <v>561</v>
      </c>
      <c r="G213" s="7">
        <f ca="1">X213</f>
        <v>45871</v>
      </c>
      <c r="H213" s="5" t="s">
        <v>562</v>
      </c>
      <c r="J213" s="36" t="s">
        <v>2787</v>
      </c>
      <c r="L213" t="s">
        <v>974</v>
      </c>
      <c r="M213" s="16" t="s">
        <v>563</v>
      </c>
      <c r="N213" s="16" t="s">
        <v>564</v>
      </c>
      <c r="O213" s="7">
        <v>44936</v>
      </c>
      <c r="P213" s="7" t="s">
        <v>926</v>
      </c>
      <c r="Q213" s="18">
        <v>8</v>
      </c>
      <c r="R213" s="18">
        <v>1</v>
      </c>
      <c r="S213" s="18">
        <v>1</v>
      </c>
      <c r="T213" s="4">
        <f>DATE(AI$2,$Q213,1+(($R213-($S213&gt;=WEEKDAY(DATE(AI$2,$Q213,1))))*7)+($S213-WEEKDAY(DATE(AI$2,$Q213,1))))</f>
        <v>45872</v>
      </c>
      <c r="U213" s="4">
        <f>DATE(AJ$2,$Q213,1+(($R213-($S213&gt;=WEEKDAY(DATE(AJ$2,$Q213,1))))*7)+($S213-WEEKDAY(DATE(AJ$2,$Q213,1))))</f>
        <v>46236</v>
      </c>
      <c r="V213" s="20">
        <v>-1</v>
      </c>
      <c r="W213" s="20">
        <v>1</v>
      </c>
      <c r="X213" s="4">
        <f ca="1">Y213-(W213-1)</f>
        <v>45871</v>
      </c>
      <c r="Y213" s="5">
        <f ca="1">IF(OR(T213+V213&lt;(NOW()-0.5),ISNUMBER(SEARCH("&lt;h4&gt;",K213))),U213+V213,T213+V213)</f>
        <v>45871</v>
      </c>
      <c r="Z213" t="str">
        <f ca="1">CONCATENATE(IF(OR(Y213=X213,ISBLANK(Y213)),TEXT(X213,"mmmm d"),CONCATENATE(TEXT(X213,"mmmm d"),"-",IF(TEXT(X213,"mmmm")=TEXT(Y213,"mmmm"),TEXT(Y213,"d"),TEXT(Y213,"mmmm d")))),", ",YEAR(Y213))</f>
        <v>August 2, 2025</v>
      </c>
      <c r="AA213" s="7">
        <f>O213</f>
        <v>44936</v>
      </c>
      <c r="AB213" s="14">
        <f>T213+V213-(W213-1)</f>
        <v>45871</v>
      </c>
      <c r="AC213" t="s">
        <v>1327</v>
      </c>
      <c r="AD213" s="23" t="str">
        <f ca="1">CONCATENATE("&lt;add-to-calendar-button  name=",CHAR(34),H213,CHAR(34),
IF(ISBLANK(M213),"",CONCATENATE("   location=",CHAR(34),RIGHT(M213,LEN(M213)-SEARCH("|",M213)-1),CHAR(34))),
"   description=",CHAR(34),IF(ISBLANK(I213),"",CONCATENATE(I213,"; ")),"shapenotesingings.com",CHAR(34),
"   options=",CHAR(34),"'Apple','Google','iCal','Outlook.com'",CHAR(34),"   styleLight=",CHAR(34),"--btn-background: #550000; --btn-text: #fff; --btn-shadow:#fff;",CHAR(34),
IF(W213=1,CONCATENATE(
"startDate=",CHAR(34),TEXT(G213,"yyyy-mm-dd"),CHAR(34),
"{endDate=",CHAR(34),TEXT(G213,"yyyy-mm-dd"),CHAR(34),
IF(OR(ISBLANK(AE213),ISBLANK(AF213)),"",(CONCATENATE(" startTime=",CHAR(34),TEXT(AE213,"hh:mm"),CHAR(34)," endTime=",CHAR(34),TEXT(AF213,"h:mm"),CHAR(34),
" timeZone=",CHAR(34),AG213,CHAR(34))))),
IF(W213=2,CONCATENATE(" dates='[{",
CHAR(34),"startDate",CHAR(34),":",CHAR(34),TEXT(G213,"yyyy-mm-dd"),CHAR(34),", ",
,CHAR(34),"endDate",CHAR(34),":",CHAR(34),TEXT(G213,"yyyy-mm-dd"),CHAR(34),
IF(OR(ISBLANK(AE213),ISBLANK(AF213)),"",(CONCATENATE(", ",CHAR(34),"startTime",CHAR(34),":",CHAR(34),TEXT(AE213,"hh:mm"),CHAR(34),", ",CHAR(34),"endTime",CHAR(34),":",CHAR(34),TEXT(AF213,"hh:mm"),CHAR(34),", ",CHAR(34),"timeZone",CHAR(34),":",CHAR(34),AG213,CHAR(34)))),"}, {",
,CHAR(34),"startDate",CHAR(34),":",CHAR(34),TEXT(G213+1,"yyyy-mm-dd"),CHAR(34),", ",
,CHAR(34),"endDate",CHAR(34),":",CHAR(34),TEXT(G213+W213-1,"yyyy-mm-dd"),CHAR(34),
IF(OR(ISBLANK(AE213),ISBLANK(AF213)),"",(CONCATENATE(", ",CHAR(34),"startTime",CHAR(34),":",CHAR(34),TEXT(AE213,"hh:mm"),CHAR(34),", ",CHAR(34),"endTime",CHAR(34),":",CHAR(34),TEXT(AF213,"hh:mm"),CHAR(34),", ",CHAR(34),"timeZone",CHAR(34),":",CHAR(34),AG213,CHAR(34)))),"}]'"),
CONCATENATE(
"{  startDate=",CHAR(34),TEXT(G213,"yyyy-mm-dd"),CHAR(34),
"  endDate=",CHAR(34),TEXT(G213+W213-1,"yyyy-mm-dd"),CHAR(34),"}"))),
" &gt;&lt;/add-to-calendar-button&gt;")</f>
        <v>&lt;add-to-calendar-button  name="Lunsford and Jolly Memorial"   location="Christ Lutheran Church, 4761 Cass St, San Diego, CA 92109"   description="shapenotesingings.com"   options="'Apple','Google','iCal','Outlook.com'"   styleLight="--btn-background: #550000; --btn-text: #fff; --btn-shadow:#fff;"startDate="2025-08-02"{endDate="2025-08-02" &gt;&lt;/add-to-calendar-button&gt;</v>
      </c>
      <c r="AG213" s="25" t="s">
        <v>1534</v>
      </c>
    </row>
    <row r="214" spans="1:33" x14ac:dyDescent="0.3">
      <c r="A214" t="s">
        <v>8</v>
      </c>
      <c r="B214" t="s">
        <v>11</v>
      </c>
      <c r="C214" t="s">
        <v>1134</v>
      </c>
      <c r="D214" t="s">
        <v>570</v>
      </c>
      <c r="E214" t="s">
        <v>34</v>
      </c>
      <c r="F214" t="s">
        <v>567</v>
      </c>
      <c r="G214" s="7">
        <f ca="1">X214</f>
        <v>45872</v>
      </c>
      <c r="H214" s="5" t="s">
        <v>840</v>
      </c>
      <c r="L214" t="s">
        <v>953</v>
      </c>
      <c r="M214" s="16" t="s">
        <v>568</v>
      </c>
      <c r="N214" s="16" t="s">
        <v>569</v>
      </c>
      <c r="O214" s="7">
        <v>44936</v>
      </c>
      <c r="P214" s="7" t="s">
        <v>926</v>
      </c>
      <c r="Q214" s="18">
        <v>8</v>
      </c>
      <c r="R214" s="18">
        <v>1</v>
      </c>
      <c r="S214" s="18">
        <v>1</v>
      </c>
      <c r="T214" s="4">
        <f>DATE(AI$2,$Q214,1+(($R214-($S214&gt;=WEEKDAY(DATE(AI$2,$Q214,1))))*7)+($S214-WEEKDAY(DATE(AI$2,$Q214,1))))</f>
        <v>45872</v>
      </c>
      <c r="U214" s="4">
        <f>DATE(AJ$2,$Q214,1+(($R214-($S214&gt;=WEEKDAY(DATE(AJ$2,$Q214,1))))*7)+($S214-WEEKDAY(DATE(AJ$2,$Q214,1))))</f>
        <v>46236</v>
      </c>
      <c r="V214" s="20">
        <v>0</v>
      </c>
      <c r="W214" s="20">
        <v>1</v>
      </c>
      <c r="X214" s="4">
        <f ca="1">Y214-(W214-1)</f>
        <v>45872</v>
      </c>
      <c r="Y214" s="5">
        <f ca="1">IF(OR(T214+V214&lt;(NOW()-0.5),ISNUMBER(SEARCH("&lt;h4&gt;",K214))),U214+V214,T214+V214)</f>
        <v>45872</v>
      </c>
      <c r="Z214" t="str">
        <f ca="1">CONCATENATE(IF(OR(Y214=X214,ISBLANK(Y214)),TEXT(X214,"mmmm d"),CONCATENATE(TEXT(X214,"mmmm d"),"-",IF(TEXT(X214,"mmmm")=TEXT(Y214,"mmmm"),TEXT(Y214,"d"),TEXT(Y214,"mmmm d")))),", ",YEAR(Y214))</f>
        <v>August 3, 2025</v>
      </c>
      <c r="AA214" s="7">
        <f>O214</f>
        <v>44936</v>
      </c>
      <c r="AB214" s="14">
        <f>T214+V214-(W214-1)</f>
        <v>45872</v>
      </c>
      <c r="AC214" t="s">
        <v>1330</v>
      </c>
      <c r="AD214" s="23" t="str">
        <f ca="1">CONCATENATE("&lt;add-to-calendar-button  name=",CHAR(34),H214,CHAR(34),
IF(ISBLANK(M214),"",CONCATENATE("   location=",CHAR(34),RIGHT(M214,LEN(M214)-SEARCH("|",M214)-1),CHAR(34))),
"   description=",CHAR(34),IF(ISBLANK(I214),"",CONCATENATE(I214,"; ")),"shapenotesingings.com",CHAR(34),
"   options=",CHAR(34),"'Apple','Google','iCal','Outlook.com'",CHAR(34),"   styleLight=",CHAR(34),"--btn-background: #550000; --btn-text: #fff; --btn-shadow:#fff;",CHAR(34),
IF(W214=1,CONCATENATE(
"startDate=",CHAR(34),TEXT(G214,"yyyy-mm-dd"),CHAR(34),
"{endDate=",CHAR(34),TEXT(G214,"yyyy-mm-dd"),CHAR(34),
IF(OR(ISBLANK(AE214),ISBLANK(AF214)),"",(CONCATENATE(" startTime=",CHAR(34),TEXT(AE214,"hh:mm"),CHAR(34)," endTime=",CHAR(34),TEXT(AF214,"h:mm"),CHAR(34),
" timeZone=",CHAR(34),AG214,CHAR(34))))),
IF(W214=2,CONCATENATE(" dates='[{",
CHAR(34),"startDate",CHAR(34),":",CHAR(34),TEXT(G214,"yyyy-mm-dd"),CHAR(34),", ",
,CHAR(34),"endDate",CHAR(34),":",CHAR(34),TEXT(G214,"yyyy-mm-dd"),CHAR(34),
IF(OR(ISBLANK(AE214),ISBLANK(AF214)),"",(CONCATENATE(", ",CHAR(34),"startTime",CHAR(34),":",CHAR(34),TEXT(AE214,"hh:mm"),CHAR(34),", ",CHAR(34),"endTime",CHAR(34),":",CHAR(34),TEXT(AF214,"hh:mm"),CHAR(34),", ",CHAR(34),"timeZone",CHAR(34),":",CHAR(34),AG214,CHAR(34)))),"}, {",
,CHAR(34),"startDate",CHAR(34),":",CHAR(34),TEXT(G214+1,"yyyy-mm-dd"),CHAR(34),", ",
,CHAR(34),"endDate",CHAR(34),":",CHAR(34),TEXT(G214+W214-1,"yyyy-mm-dd"),CHAR(34),
IF(OR(ISBLANK(AE214),ISBLANK(AF214)),"",(CONCATENATE(", ",CHAR(34),"startTime",CHAR(34),":",CHAR(34),TEXT(AE214,"hh:mm"),CHAR(34),", ",CHAR(34),"endTime",CHAR(34),":",CHAR(34),TEXT(AF214,"hh:mm"),CHAR(34),", ",CHAR(34),"timeZone",CHAR(34),":",CHAR(34),AG214,CHAR(34)))),"}]'"),
CONCATENATE(
"{  startDate=",CHAR(34),TEXT(G214,"yyyy-mm-dd"),CHAR(34),
"  endDate=",CHAR(34),TEXT(G214+W214-1,"yyyy-mm-dd"),CHAR(34),"}"))),
" &gt;&lt;/add-to-calendar-button&gt;")</f>
        <v>&lt;add-to-calendar-button  name="Bulger-Cockcroft Memorial"   location="Red Oak Baptist Church, 13667 AL-55, Florala, AL 36442"   description="shapenotesingings.com"   options="'Apple','Google','iCal','Outlook.com'"   styleLight="--btn-background: #550000; --btn-text: #fff; --btn-shadow:#fff;"startDate="2025-08-03"{endDate="2025-08-03" &gt;&lt;/add-to-calendar-button&gt;</v>
      </c>
      <c r="AG214" s="25" t="s">
        <v>1533</v>
      </c>
    </row>
    <row r="215" spans="1:33" x14ac:dyDescent="0.3">
      <c r="A215" t="s">
        <v>8</v>
      </c>
      <c r="B215" t="s">
        <v>36</v>
      </c>
      <c r="C215" t="s">
        <v>1142</v>
      </c>
      <c r="D215" t="s">
        <v>37</v>
      </c>
      <c r="E215" t="s">
        <v>34</v>
      </c>
      <c r="F215" t="s">
        <v>572</v>
      </c>
      <c r="G215" s="7">
        <f ca="1">X215</f>
        <v>45878</v>
      </c>
      <c r="H215" s="5" t="s">
        <v>577</v>
      </c>
      <c r="I215" t="s">
        <v>1048</v>
      </c>
      <c r="J215" s="36" t="s">
        <v>2788</v>
      </c>
      <c r="L215" t="s">
        <v>2210</v>
      </c>
      <c r="M215" s="16" t="s">
        <v>716</v>
      </c>
      <c r="N215" s="16" t="s">
        <v>717</v>
      </c>
      <c r="O215" s="7">
        <v>45144</v>
      </c>
      <c r="P215" s="7" t="s">
        <v>1981</v>
      </c>
      <c r="Q215" s="18">
        <v>8</v>
      </c>
      <c r="R215" s="18">
        <v>2</v>
      </c>
      <c r="S215" s="18">
        <v>1</v>
      </c>
      <c r="T215" s="4">
        <f>DATE(AI$2,$Q215,1+(($R215-($S215&gt;=WEEKDAY(DATE(AI$2,$Q215,1))))*7)+($S215-WEEKDAY(DATE(AI$2,$Q215,1))))</f>
        <v>45879</v>
      </c>
      <c r="U215" s="4">
        <f>DATE(AJ$2,$Q215,1+(($R215-($S215&gt;=WEEKDAY(DATE(AJ$2,$Q215,1))))*7)+($S215-WEEKDAY(DATE(AJ$2,$Q215,1))))</f>
        <v>46243</v>
      </c>
      <c r="V215" s="20">
        <v>-1</v>
      </c>
      <c r="W215" s="20">
        <v>1</v>
      </c>
      <c r="X215" s="4">
        <f ca="1">Y215-(W215-1)</f>
        <v>45878</v>
      </c>
      <c r="Y215" s="5">
        <f ca="1">IF(OR(T215+V215&lt;(NOW()-0.5),ISNUMBER(SEARCH("&lt;h4&gt;",K215))),U215+V215,T215+V215)</f>
        <v>45878</v>
      </c>
      <c r="Z215" t="str">
        <f ca="1">CONCATENATE(IF(OR(Y215=X215,ISBLANK(Y215)),TEXT(X215,"mmmm d"),CONCATENATE(TEXT(X215,"mmmm d"),"-",IF(TEXT(X215,"mmmm")=TEXT(Y215,"mmmm"),TEXT(Y215,"d"),TEXT(Y215,"mmmm d")))),", ",YEAR(Y215))</f>
        <v>August 9, 2025</v>
      </c>
      <c r="AA215" s="7">
        <f>O215</f>
        <v>45144</v>
      </c>
      <c r="AB215" s="14">
        <f>T215+V215-(W215-1)</f>
        <v>45878</v>
      </c>
      <c r="AC215" t="s">
        <v>1692</v>
      </c>
      <c r="AD215" s="23" t="str">
        <f ca="1">CONCATENATE("&lt;add-to-calendar-button  name=",CHAR(34),H215,CHAR(34),
IF(ISBLANK(M215),"",CONCATENATE("   location=",CHAR(34),RIGHT(M215,LEN(M215)-SEARCH("|",M215)-1),CHAR(34))),
"   description=",CHAR(34),IF(ISBLANK(I215),"",CONCATENATE(I215,"; ")),"shapenotesingings.com",CHAR(34),
"   options=",CHAR(34),"'Apple','Google','iCal','Outlook.com'",CHAR(34),"   styleLight=",CHAR(34),"--btn-background: #550000; --btn-text: #fff; --btn-shadow:#fff;",CHAR(34),
IF(W215=1,CONCATENATE(
"startDate=",CHAR(34),TEXT(G215,"yyyy-mm-dd"),CHAR(34),
"{endDate=",CHAR(34),TEXT(G215,"yyyy-mm-dd"),CHAR(34),
IF(OR(ISBLANK(AE215),ISBLANK(AF215)),"",(CONCATENATE(" startTime=",CHAR(34),TEXT(AE215,"hh:mm"),CHAR(34)," endTime=",CHAR(34),TEXT(AF215,"h:mm"),CHAR(34),
" timeZone=",CHAR(34),AG215,CHAR(34))))),
IF(W215=2,CONCATENATE(" dates='[{",
CHAR(34),"startDate",CHAR(34),":",CHAR(34),TEXT(G215,"yyyy-mm-dd"),CHAR(34),", ",
,CHAR(34),"endDate",CHAR(34),":",CHAR(34),TEXT(G215,"yyyy-mm-dd"),CHAR(34),
IF(OR(ISBLANK(AE215),ISBLANK(AF215)),"",(CONCATENATE(", ",CHAR(34),"startTime",CHAR(34),":",CHAR(34),TEXT(AE215,"hh:mm"),CHAR(34),", ",CHAR(34),"endTime",CHAR(34),":",CHAR(34),TEXT(AF215,"hh:mm"),CHAR(34),", ",CHAR(34),"timeZone",CHAR(34),":",CHAR(34),AG215,CHAR(34)))),"}, {",
,CHAR(34),"startDate",CHAR(34),":",CHAR(34),TEXT(G215+1,"yyyy-mm-dd"),CHAR(34),", ",
,CHAR(34),"endDate",CHAR(34),":",CHAR(34),TEXT(G215+W215-1,"yyyy-mm-dd"),CHAR(34),
IF(OR(ISBLANK(AE215),ISBLANK(AF215)),"",(CONCATENATE(", ",CHAR(34),"startTime",CHAR(34),":",CHAR(34),TEXT(AE215,"hh:mm"),CHAR(34),", ",CHAR(34),"endTime",CHAR(34),":",CHAR(34),TEXT(AF215,"hh:mm"),CHAR(34),", ",CHAR(34),"timeZone",CHAR(34),":",CHAR(34),AG215,CHAR(34)))),"}]'"),
CONCATENATE(
"{  startDate=",CHAR(34),TEXT(G215,"yyyy-mm-dd"),CHAR(34),
"  endDate=",CHAR(34),TEXT(G215+W215-1,"yyyy-mm-dd"),CHAR(34),"}"))),
" &gt;&lt;/add-to-calendar-button&gt;")</f>
        <v>&lt;add-to-calendar-button  name="Ann Sleeva Memorial Cooper Book Singing"   location="57th Street Meeting of Friends, 5615 S. Woodlawn, Chicago IL"   description="9:30am-3pm; shapenotesingings.com"   options="'Apple','Google','iCal','Outlook.com'"   styleLight="--btn-background: #550000; --btn-text: #fff; --btn-shadow:#fff;"startDate="2025-08-09"{endDate="2025-08-09" startTime="09:30" endTime="15:00" timeZone="America/Chicago" &gt;&lt;/add-to-calendar-button&gt;</v>
      </c>
      <c r="AE215" s="24">
        <v>0.39583333333333331</v>
      </c>
      <c r="AF215" s="24">
        <v>0.625</v>
      </c>
      <c r="AG215" s="25" t="s">
        <v>1533</v>
      </c>
    </row>
    <row r="216" spans="1:33" x14ac:dyDescent="0.3">
      <c r="A216" t="s">
        <v>8</v>
      </c>
      <c r="B216" t="s">
        <v>1398</v>
      </c>
      <c r="C216" t="s">
        <v>1399</v>
      </c>
      <c r="D216" t="s">
        <v>2116</v>
      </c>
      <c r="E216" t="s">
        <v>2117</v>
      </c>
      <c r="F216" t="s">
        <v>572</v>
      </c>
      <c r="G216" s="7">
        <f ca="1">X216</f>
        <v>45878</v>
      </c>
      <c r="H216" s="5" t="s">
        <v>2118</v>
      </c>
      <c r="I216" t="s">
        <v>1037</v>
      </c>
      <c r="L216" t="s">
        <v>2119</v>
      </c>
      <c r="M216" s="16" t="s">
        <v>2120</v>
      </c>
      <c r="N216" s="16" t="s">
        <v>2121</v>
      </c>
      <c r="O216" s="7">
        <v>45449</v>
      </c>
      <c r="P216" s="7" t="s">
        <v>2122</v>
      </c>
      <c r="Q216" s="18">
        <v>8</v>
      </c>
      <c r="R216" s="18">
        <v>2</v>
      </c>
      <c r="S216" s="18">
        <v>1</v>
      </c>
      <c r="T216" s="4">
        <f>DATE(AI$2,$Q216,1+(($R216-($S216&gt;=WEEKDAY(DATE(AI$2,$Q216,1))))*7)+($S216-WEEKDAY(DATE(AI$2,$Q216,1))))</f>
        <v>45879</v>
      </c>
      <c r="U216" s="4">
        <f>DATE(AJ$2,$Q216,1+(($R216-($S216&gt;=WEEKDAY(DATE(AJ$2,$Q216,1))))*7)+($S216-WEEKDAY(DATE(AJ$2,$Q216,1))))</f>
        <v>46243</v>
      </c>
      <c r="V216" s="20">
        <v>-1</v>
      </c>
      <c r="W216" s="20">
        <v>1</v>
      </c>
      <c r="X216" s="4">
        <f ca="1">Y216-(W216-1)</f>
        <v>45878</v>
      </c>
      <c r="Y216" s="5">
        <f ca="1">IF(OR(T216+V216&lt;(NOW()-0.5),ISNUMBER(SEARCH("&lt;h4&gt;",K216))),U216+V216,T216+V216)</f>
        <v>45878</v>
      </c>
      <c r="Z216" t="str">
        <f ca="1">CONCATENATE(IF(OR(Y216=X216,ISBLANK(Y216)),TEXT(X216,"mmmm d"),CONCATENATE(TEXT(X216,"mmmm d"),"-",IF(TEXT(X216,"mmmm")=TEXT(Y216,"mmmm"),TEXT(Y216,"d"),TEXT(Y216,"mmmm d")))),", ",YEAR(Y216))</f>
        <v>August 9, 2025</v>
      </c>
      <c r="AA216" s="7">
        <f>O216</f>
        <v>45449</v>
      </c>
      <c r="AB216" s="14">
        <f>T216+V216-(W216-1)</f>
        <v>45878</v>
      </c>
      <c r="AC216" t="s">
        <v>2123</v>
      </c>
      <c r="AD216" s="23" t="str">
        <f ca="1">CONCATENATE("&lt;add-to-calendar-button  name=",CHAR(34),H216,CHAR(34),
IF(ISBLANK(M216),"",CONCATENATE("   location=",CHAR(34),RIGHT(M216,LEN(M216)-SEARCH("|",M216)-1),CHAR(34))),
"   description=",CHAR(34),IF(ISBLANK(I216),"",CONCATENATE(I216,"; ")),"shapenotesingings.com",CHAR(34),
"   options=",CHAR(34),"'Apple','Google','iCal','Outlook.com'",CHAR(34),"   styleLight=",CHAR(34),"--btn-background: #550000; --btn-text: #fff; --btn-shadow:#fff;",CHAR(34),
IF(W216=1,CONCATENATE(
"startDate=",CHAR(34),TEXT(G216,"yyyy-mm-dd"),CHAR(34),
"{endDate=",CHAR(34),TEXT(G216,"yyyy-mm-dd"),CHAR(34),
IF(OR(ISBLANK(AE216),ISBLANK(AF216)),"",(CONCATENATE(" startTime=",CHAR(34),TEXT(AE216,"hh:mm"),CHAR(34)," endTime=",CHAR(34),TEXT(AF216,"h:mm"),CHAR(34),
" timeZone=",CHAR(34),AG216,CHAR(34))))),
IF(W216=2,CONCATENATE(" dates='[{",
CHAR(34),"startDate",CHAR(34),":",CHAR(34),TEXT(G216,"yyyy-mm-dd"),CHAR(34),", ",
,CHAR(34),"endDate",CHAR(34),":",CHAR(34),TEXT(G216,"yyyy-mm-dd"),CHAR(34),
IF(OR(ISBLANK(AE216),ISBLANK(AF216)),"",(CONCATENATE(", ",CHAR(34),"startTime",CHAR(34),":",CHAR(34),TEXT(AE216,"hh:mm"),CHAR(34),", ",CHAR(34),"endTime",CHAR(34),":",CHAR(34),TEXT(AF216,"hh:mm"),CHAR(34),", ",CHAR(34),"timeZone",CHAR(34),":",CHAR(34),AG216,CHAR(34)))),"}, {",
,CHAR(34),"startDate",CHAR(34),":",CHAR(34),TEXT(G216+1,"yyyy-mm-dd"),CHAR(34),", ",
,CHAR(34),"endDate",CHAR(34),":",CHAR(34),TEXT(G216+W216-1,"yyyy-mm-dd"),CHAR(34),
IF(OR(ISBLANK(AE216),ISBLANK(AF216)),"",(CONCATENATE(", ",CHAR(34),"startTime",CHAR(34),":",CHAR(34),TEXT(AE216,"hh:mm"),CHAR(34),", ",CHAR(34),"endTime",CHAR(34),":",CHAR(34),TEXT(AF216,"hh:mm"),CHAR(34),", ",CHAR(34),"timeZone",CHAR(34),":",CHAR(34),AG216,CHAR(34)))),"}]'"),
CONCATENATE(
"{  startDate=",CHAR(34),TEXT(G216,"yyyy-mm-dd"),CHAR(34),
"  endDate=",CHAR(34),TEXT(G216+W216-1,"yyyy-mm-dd"),CHAR(34),"}"))),
" &gt;&lt;/add-to-calendar-button&gt;")</f>
        <v>&lt;add-to-calendar-button  name="Rhode Island All-Day Christian Harmony Singing"   location="Saylesville Friends Meeting House, 374 Great Rd, Lincoln, RI 02865"   description="10am-3pm; shapenotesingings.com"   options="'Apple','Google','iCal','Outlook.com'"   styleLight="--btn-background: #550000; --btn-text: #fff; --btn-shadow:#fff;"startDate="2025-08-09"{endDate="2025-08-09" startTime="10:00" endTime="15:00" timeZone="America/New_York" &gt;&lt;/add-to-calendar-button&gt;</v>
      </c>
      <c r="AE216" s="24">
        <v>0.41666666666666669</v>
      </c>
      <c r="AF216" s="24">
        <v>0.625</v>
      </c>
      <c r="AG216" s="25" t="s">
        <v>1532</v>
      </c>
    </row>
    <row r="217" spans="1:33" x14ac:dyDescent="0.3">
      <c r="A217" t="s">
        <v>8</v>
      </c>
      <c r="B217" t="s">
        <v>250</v>
      </c>
      <c r="C217" t="s">
        <v>1152</v>
      </c>
      <c r="D217" t="s">
        <v>1639</v>
      </c>
      <c r="E217" t="s">
        <v>2184</v>
      </c>
      <c r="F217" t="s">
        <v>572</v>
      </c>
      <c r="G217" s="7">
        <f ca="1">X217</f>
        <v>45878</v>
      </c>
      <c r="H217" s="5" t="s">
        <v>571</v>
      </c>
      <c r="I217" t="s">
        <v>1028</v>
      </c>
      <c r="J217" s="36" t="s">
        <v>2789</v>
      </c>
      <c r="L217" t="s">
        <v>1902</v>
      </c>
      <c r="M217" s="16" t="s">
        <v>1640</v>
      </c>
      <c r="N217" s="16" t="s">
        <v>1641</v>
      </c>
      <c r="O217" s="7">
        <v>45090</v>
      </c>
      <c r="P217" s="7" t="s">
        <v>1642</v>
      </c>
      <c r="Q217" s="18">
        <v>8</v>
      </c>
      <c r="R217" s="18">
        <v>2</v>
      </c>
      <c r="S217" s="18">
        <v>1</v>
      </c>
      <c r="T217" s="4">
        <f>DATE(AI$2,$Q217,1+(($R217-($S217&gt;=WEEKDAY(DATE(AI$2,$Q217,1))))*7)+($S217-WEEKDAY(DATE(AI$2,$Q217,1))))</f>
        <v>45879</v>
      </c>
      <c r="U217" s="4">
        <f>DATE(AJ$2,$Q217,1+(($R217-($S217&gt;=WEEKDAY(DATE(AJ$2,$Q217,1))))*7)+($S217-WEEKDAY(DATE(AJ$2,$Q217,1))))</f>
        <v>46243</v>
      </c>
      <c r="V217" s="20">
        <v>-1</v>
      </c>
      <c r="W217" s="20">
        <v>1</v>
      </c>
      <c r="X217" s="4">
        <f ca="1">Y217-(W217-1)</f>
        <v>45878</v>
      </c>
      <c r="Y217" s="5">
        <f ca="1">IF(OR(T217+V217&lt;(NOW()-0.5),ISNUMBER(SEARCH("&lt;h4&gt;",K217))),U217+V217,T217+V217)</f>
        <v>45878</v>
      </c>
      <c r="Z217" t="str">
        <f ca="1">CONCATENATE(IF(OR(Y217=X217,ISBLANK(Y217)),TEXT(X217,"mmmm d"),CONCATENATE(TEXT(X217,"mmmm d"),"-",IF(TEXT(X217,"mmmm")=TEXT(Y217,"mmmm"),TEXT(Y217,"d"),TEXT(Y217,"mmmm d")))),", ",YEAR(Y217))</f>
        <v>August 9, 2025</v>
      </c>
      <c r="AA217" s="7">
        <f>O217</f>
        <v>45090</v>
      </c>
      <c r="AB217" s="14">
        <f>T217+V217-(W217-1)</f>
        <v>45878</v>
      </c>
      <c r="AC217" t="s">
        <v>1643</v>
      </c>
      <c r="AD217" s="23" t="str">
        <f ca="1">CONCATENATE("&lt;add-to-calendar-button  name=",CHAR(34),H217,CHAR(34),
IF(ISBLANK(M217),"",CONCATENATE("   location=",CHAR(34),RIGHT(M217,LEN(M217)-SEARCH("|",M217)-1),CHAR(34))),
"   description=",CHAR(34),IF(ISBLANK(I217),"",CONCATENATE(I217,"; ")),"shapenotesingings.com",CHAR(34),
"   options=",CHAR(34),"'Apple','Google','iCal','Outlook.com'",CHAR(34),"   styleLight=",CHAR(34),"--btn-background: #550000; --btn-text: #fff; --btn-shadow:#fff;",CHAR(34),
IF(W217=1,CONCATENATE(
"startDate=",CHAR(34),TEXT(G217,"yyyy-mm-dd"),CHAR(34),
"{endDate=",CHAR(34),TEXT(G217,"yyyy-mm-dd"),CHAR(34),
IF(OR(ISBLANK(AE217),ISBLANK(AF217)),"",(CONCATENATE(" startTime=",CHAR(34),TEXT(AE217,"hh:mm"),CHAR(34)," endTime=",CHAR(34),TEXT(AF217,"h:mm"),CHAR(34),
" timeZone=",CHAR(34),AG217,CHAR(34))))),
IF(W217=2,CONCATENATE(" dates='[{",
CHAR(34),"startDate",CHAR(34),":",CHAR(34),TEXT(G217,"yyyy-mm-dd"),CHAR(34),", ",
,CHAR(34),"endDate",CHAR(34),":",CHAR(34),TEXT(G217,"yyyy-mm-dd"),CHAR(34),
IF(OR(ISBLANK(AE217),ISBLANK(AF217)),"",(CONCATENATE(", ",CHAR(34),"startTime",CHAR(34),":",CHAR(34),TEXT(AE217,"hh:mm"),CHAR(34),", ",CHAR(34),"endTime",CHAR(34),":",CHAR(34),TEXT(AF217,"hh:mm"),CHAR(34),", ",CHAR(34),"timeZone",CHAR(34),":",CHAR(34),AG217,CHAR(34)))),"}, {",
,CHAR(34),"startDate",CHAR(34),":",CHAR(34),TEXT(G217+1,"yyyy-mm-dd"),CHAR(34),", ",
,CHAR(34),"endDate",CHAR(34),":",CHAR(34),TEXT(G217+W217-1,"yyyy-mm-dd"),CHAR(34),
IF(OR(ISBLANK(AE217),ISBLANK(AF217)),"",(CONCATENATE(", ",CHAR(34),"startTime",CHAR(34),":",CHAR(34),TEXT(AE217,"hh:mm"),CHAR(34),", ",CHAR(34),"endTime",CHAR(34),":",CHAR(34),TEXT(AF217,"hh:mm"),CHAR(34),", ",CHAR(34),"timeZone",CHAR(34),":",CHAR(34),AG217,CHAR(34)))),"}]'"),
CONCATENATE(
"{  startDate=",CHAR(34),TEXT(G217,"yyyy-mm-dd"),CHAR(34),
"  endDate=",CHAR(34),TEXT(G217+W217-1,"yyyy-mm-dd"),CHAR(34),"}"))),
" &gt;&lt;/add-to-calendar-button&gt;")</f>
        <v>&lt;add-to-calendar-button  name="Calhoun County Convention"   location="Mt. Herman Primitive Baptist Church, 163 CR 427 Vardaman, Miss."   description="10am; shapenotesingings.com"   options="'Apple','Google','iCal','Outlook.com'"   styleLight="--btn-background: #550000; --btn-text: #fff; --btn-shadow:#fff;"startDate="2025-08-09"{endDate="2025-08-09" startTime="10:00" endTime="15:00" timeZone="America/Chicago" &gt;&lt;/add-to-calendar-button&gt;</v>
      </c>
      <c r="AE217" s="24">
        <v>0.41666666666666669</v>
      </c>
      <c r="AF217" s="24">
        <v>0.625</v>
      </c>
      <c r="AG217" s="25" t="s">
        <v>1533</v>
      </c>
    </row>
    <row r="218" spans="1:33" x14ac:dyDescent="0.3">
      <c r="A218" t="s">
        <v>8</v>
      </c>
      <c r="B218" t="s">
        <v>40</v>
      </c>
      <c r="C218" t="s">
        <v>1161</v>
      </c>
      <c r="D218" t="s">
        <v>339</v>
      </c>
      <c r="E218" t="s">
        <v>34</v>
      </c>
      <c r="F218" t="s">
        <v>582</v>
      </c>
      <c r="G218" s="7">
        <f ca="1">X218</f>
        <v>45878</v>
      </c>
      <c r="H218" s="5" t="s">
        <v>581</v>
      </c>
      <c r="I218" t="s">
        <v>1109</v>
      </c>
      <c r="J218" s="36" t="s">
        <v>2790</v>
      </c>
      <c r="L218" t="s">
        <v>954</v>
      </c>
      <c r="M218" s="16" t="s">
        <v>1018</v>
      </c>
      <c r="N218" s="16" t="s">
        <v>583</v>
      </c>
      <c r="O218" s="7">
        <v>44936</v>
      </c>
      <c r="P218" s="7" t="s">
        <v>926</v>
      </c>
      <c r="Q218" s="18">
        <v>8</v>
      </c>
      <c r="R218" s="18">
        <v>2</v>
      </c>
      <c r="S218" s="18">
        <v>1</v>
      </c>
      <c r="T218" s="4">
        <f>DATE(AI$2,$Q218,1+(($R218-($S218&gt;=WEEKDAY(DATE(AI$2,$Q218,1))))*7)+($S218-WEEKDAY(DATE(AI$2,$Q218,1))))</f>
        <v>45879</v>
      </c>
      <c r="U218" s="4">
        <f>DATE(AJ$2,$Q218,1+(($R218-($S218&gt;=WEEKDAY(DATE(AJ$2,$Q218,1))))*7)+($S218-WEEKDAY(DATE(AJ$2,$Q218,1))))</f>
        <v>46243</v>
      </c>
      <c r="V218" s="20">
        <v>0</v>
      </c>
      <c r="W218" s="20">
        <v>2</v>
      </c>
      <c r="X218" s="4">
        <f ca="1">Y218-(W218-1)</f>
        <v>45878</v>
      </c>
      <c r="Y218" s="5">
        <f ca="1">IF(OR(T218+V218&lt;(NOW()-0.5),ISNUMBER(SEARCH("&lt;h4&gt;",K218))),U218+V218,T218+V218)</f>
        <v>45879</v>
      </c>
      <c r="Z218" t="str">
        <f ca="1">CONCATENATE(IF(OR(Y218=X218,ISBLANK(Y218)),TEXT(X218,"mmmm d"),CONCATENATE(TEXT(X218,"mmmm d"),"-",IF(TEXT(X218,"mmmm")=TEXT(Y218,"mmmm"),TEXT(Y218,"d"),TEXT(Y218,"mmmm d")))),", ",YEAR(Y218))</f>
        <v>August 9-10, 2025</v>
      </c>
      <c r="AA218" s="7">
        <f>O218</f>
        <v>44936</v>
      </c>
      <c r="AB218" s="14">
        <f>T218+V218-(W218-1)</f>
        <v>45878</v>
      </c>
      <c r="AC218" t="s">
        <v>1333</v>
      </c>
      <c r="AD218" s="23" t="str">
        <f ca="1">CONCATENATE("&lt;add-to-calendar-button  name=",CHAR(34),H218,CHAR(34),
IF(ISBLANK(M218),"",CONCATENATE("   location=",CHAR(34),RIGHT(M218,LEN(M218)-SEARCH("|",M218)-1),CHAR(34))),
"   description=",CHAR(34),IF(ISBLANK(I218),"",CONCATENATE(I218,"; ")),"shapenotesingings.com",CHAR(34),
"   options=",CHAR(34),"'Apple','Google','iCal','Outlook.com'",CHAR(34),"   styleLight=",CHAR(34),"--btn-background: #550000; --btn-text: #fff; --btn-shadow:#fff;",CHAR(34),
IF(W218=1,CONCATENATE(
"startDate=",CHAR(34),TEXT(G218,"yyyy-mm-dd"),CHAR(34),
"{endDate=",CHAR(34),TEXT(G218,"yyyy-mm-dd"),CHAR(34),
IF(OR(ISBLANK(AE218),ISBLANK(AF218)),"",(CONCATENATE(" startTime=",CHAR(34),TEXT(AE218,"hh:mm"),CHAR(34)," endTime=",CHAR(34),TEXT(AF218,"h:mm"),CHAR(34),
" timeZone=",CHAR(34),AG218,CHAR(34))))),
IF(W218=2,CONCATENATE(" dates='[{",
CHAR(34),"startDate",CHAR(34),":",CHAR(34),TEXT(G218,"yyyy-mm-dd"),CHAR(34),", ",
,CHAR(34),"endDate",CHAR(34),":",CHAR(34),TEXT(G218,"yyyy-mm-dd"),CHAR(34),
IF(OR(ISBLANK(AE218),ISBLANK(AF218)),"",(CONCATENATE(", ",CHAR(34),"startTime",CHAR(34),":",CHAR(34),TEXT(AE218,"hh:mm"),CHAR(34),", ",CHAR(34),"endTime",CHAR(34),":",CHAR(34),TEXT(AF218,"hh:mm"),CHAR(34),", ",CHAR(34),"timeZone",CHAR(34),":",CHAR(34),AG218,CHAR(34)))),"}, {",
,CHAR(34),"startDate",CHAR(34),":",CHAR(34),TEXT(G218+1,"yyyy-mm-dd"),CHAR(34),", ",
,CHAR(34),"endDate",CHAR(34),":",CHAR(34),TEXT(G218+W218-1,"yyyy-mm-dd"),CHAR(34),
IF(OR(ISBLANK(AE218),ISBLANK(AF218)),"",(CONCATENATE(", ",CHAR(34),"startTime",CHAR(34),":",CHAR(34),TEXT(AE218,"hh:mm"),CHAR(34),", ",CHAR(34),"endTime",CHAR(34),":",CHAR(34),TEXT(AF218,"hh:mm"),CHAR(34),", ",CHAR(34),"timeZone",CHAR(34),":",CHAR(34),AG218,CHAR(34)))),"}]'"),
CONCATENATE(
"{  startDate=",CHAR(34),TEXT(G218,"yyyy-mm-dd"),CHAR(34),
"  endDate=",CHAR(34),TEXT(G218+W218-1,"yyyy-mm-dd"),CHAR(34),"}"))),
" &gt;&lt;/add-to-calendar-button&gt;")</f>
        <v>&lt;add-to-calendar-button  name="East Texas Sacred Harp Convention"   location="Henderson Civic Center, 1500 Lake Forest Pkwy, Henderson, TX 75652"   description="9:30-3pm; shapenotesingings.com"   options="'Apple','Google','iCal','Outlook.com'"   styleLight="--btn-background: #550000; --btn-text: #fff; --btn-shadow:#fff;" dates='[{"startDate":"2025-08-09", "endDate":"2025-08-09", "startTime":"09:30", "endTime":"15:00", "timeZone":"America/Chicago"}, {"startDate":"2025-08-10", "endDate":"2025-08-10", "startTime":"09:30", "endTime":"15:00", "timeZone":"America/Chicago"}]' &gt;&lt;/add-to-calendar-button&gt;</v>
      </c>
      <c r="AE218" s="24">
        <v>0.39583333333333331</v>
      </c>
      <c r="AF218" s="24">
        <v>0.625</v>
      </c>
      <c r="AG218" s="25" t="s">
        <v>1533</v>
      </c>
    </row>
    <row r="219" spans="1:33" x14ac:dyDescent="0.3">
      <c r="A219" t="s">
        <v>8</v>
      </c>
      <c r="B219" t="s">
        <v>17</v>
      </c>
      <c r="C219" t="s">
        <v>1140</v>
      </c>
      <c r="D219" t="s">
        <v>31</v>
      </c>
      <c r="E219" t="s">
        <v>2178</v>
      </c>
      <c r="F219" t="s">
        <v>585</v>
      </c>
      <c r="G219" s="7">
        <f ca="1">X219</f>
        <v>45885</v>
      </c>
      <c r="H219" s="5" t="s">
        <v>1656</v>
      </c>
      <c r="I219" t="s">
        <v>1028</v>
      </c>
      <c r="J219" s="36" t="s">
        <v>2791</v>
      </c>
      <c r="L219" t="s">
        <v>2211</v>
      </c>
      <c r="M219" s="16" t="s">
        <v>714</v>
      </c>
      <c r="N219" s="16" t="s">
        <v>715</v>
      </c>
      <c r="O219" s="7">
        <v>45114</v>
      </c>
      <c r="P219" s="7" t="s">
        <v>1657</v>
      </c>
      <c r="Q219" s="18">
        <v>8</v>
      </c>
      <c r="R219" s="18">
        <v>3</v>
      </c>
      <c r="S219" s="18">
        <v>1</v>
      </c>
      <c r="T219" s="4">
        <f>DATE(AI$2,$Q219,1+(($R219-($S219&gt;=WEEKDAY(DATE(AI$2,$Q219,1))))*7)+($S219-WEEKDAY(DATE(AI$2,$Q219,1))))</f>
        <v>45886</v>
      </c>
      <c r="U219" s="4">
        <f>DATE(AJ$2,$Q219,1+(($R219-($S219&gt;=WEEKDAY(DATE(AJ$2,$Q219,1))))*7)+($S219-WEEKDAY(DATE(AJ$2,$Q219,1))))</f>
        <v>46250</v>
      </c>
      <c r="V219" s="20">
        <v>-1</v>
      </c>
      <c r="W219" s="20">
        <v>1</v>
      </c>
      <c r="X219" s="4">
        <f ca="1">Y219-(W219-1)</f>
        <v>45885</v>
      </c>
      <c r="Y219" s="5">
        <f ca="1">IF(OR(T219+V219&lt;(NOW()-0.5),ISNUMBER(SEARCH("&lt;h4&gt;",K219))),U219+V219,T219+V219)</f>
        <v>45885</v>
      </c>
      <c r="Z219" t="str">
        <f ca="1">CONCATENATE(IF(OR(Y219=X219,ISBLANK(Y219)),TEXT(X219,"mmmm d"),CONCATENATE(TEXT(X219,"mmmm d"),"-",IF(TEXT(X219,"mmmm")=TEXT(Y219,"mmmm"),TEXT(Y219,"d"),TEXT(Y219,"mmmm d")))),", ",YEAR(Y219))</f>
        <v>August 16, 2025</v>
      </c>
      <c r="AA219" s="7">
        <f>O219</f>
        <v>45114</v>
      </c>
      <c r="AB219" s="14">
        <f>T219+V219-(W219-1)</f>
        <v>45885</v>
      </c>
      <c r="AC219" t="s">
        <v>1658</v>
      </c>
      <c r="AD219" s="23" t="str">
        <f ca="1">CONCATENATE("&lt;add-to-calendar-button  name=",CHAR(34),H219,CHAR(34),
IF(ISBLANK(M219),"",CONCATENATE("   location=",CHAR(34),RIGHT(M219,LEN(M219)-SEARCH("|",M219)-1),CHAR(34))),
"   description=",CHAR(34),IF(ISBLANK(I219),"",CONCATENATE(I219,"; ")),"shapenotesingings.com",CHAR(34),
"   options=",CHAR(34),"'Apple','Google','iCal','Outlook.com'",CHAR(34),"   styleLight=",CHAR(34),"--btn-background: #550000; --btn-text: #fff; --btn-shadow:#fff;",CHAR(34),
IF(W219=1,CONCATENATE(
"startDate=",CHAR(34),TEXT(G219,"yyyy-mm-dd"),CHAR(34),
"{endDate=",CHAR(34),TEXT(G219,"yyyy-mm-dd"),CHAR(34),
IF(OR(ISBLANK(AE219),ISBLANK(AF219)),"",(CONCATENATE(" startTime=",CHAR(34),TEXT(AE219,"hh:mm"),CHAR(34)," endTime=",CHAR(34),TEXT(AF219,"h:mm"),CHAR(34),
" timeZone=",CHAR(34),AG219,CHAR(34))))),
IF(W219=2,CONCATENATE(" dates='[{",
CHAR(34),"startDate",CHAR(34),":",CHAR(34),TEXT(G219,"yyyy-mm-dd"),CHAR(34),", ",
,CHAR(34),"endDate",CHAR(34),":",CHAR(34),TEXT(G219,"yyyy-mm-dd"),CHAR(34),
IF(OR(ISBLANK(AE219),ISBLANK(AF219)),"",(CONCATENATE(", ",CHAR(34),"startTime",CHAR(34),":",CHAR(34),TEXT(AE219,"hh:mm"),CHAR(34),", ",CHAR(34),"endTime",CHAR(34),":",CHAR(34),TEXT(AF219,"hh:mm"),CHAR(34),", ",CHAR(34),"timeZone",CHAR(34),":",CHAR(34),AG219,CHAR(34)))),"}, {",
,CHAR(34),"startDate",CHAR(34),":",CHAR(34),TEXT(G219+1,"yyyy-mm-dd"),CHAR(34),", ",
,CHAR(34),"endDate",CHAR(34),":",CHAR(34),TEXT(G219+W219-1,"yyyy-mm-dd"),CHAR(34),
IF(OR(ISBLANK(AE219),ISBLANK(AF219)),"",(CONCATENATE(", ",CHAR(34),"startTime",CHAR(34),":",CHAR(34),TEXT(AE219,"hh:mm"),CHAR(34),", ",CHAR(34),"endTime",CHAR(34),":",CHAR(34),TEXT(AF219,"hh:mm"),CHAR(34),", ",CHAR(34),"timeZone",CHAR(34),":",CHAR(34),AG219,CHAR(34)))),"}]'"),
CONCATENATE(
"{  startDate=",CHAR(34),TEXT(G219,"yyyy-mm-dd"),CHAR(34),
"  endDate=",CHAR(34),TEXT(G219+W219-1,"yyyy-mm-dd"),CHAR(34),"}"))),
" &gt;&lt;/add-to-calendar-button&gt;")</f>
        <v>&lt;add-to-calendar-button  name="B.M. Smith &amp; Philip Denney Memorial Singing"   location="Emmaus Primitive Baptist Church, 2063 Oak Grove Church Rd, Carrollton, GA 30117"   description="10am; shapenotesingings.com"   options="'Apple','Google','iCal','Outlook.com'"   styleLight="--btn-background: #550000; --btn-text: #fff; --btn-shadow:#fff;"startDate="2025-08-16"{endDate="2025-08-16" startTime="10:00" endTime="15:00" timeZone="America/New_York" &gt;&lt;/add-to-calendar-button&gt;</v>
      </c>
      <c r="AE219" s="24">
        <v>0.41666666666666669</v>
      </c>
      <c r="AF219" s="24">
        <v>0.625</v>
      </c>
      <c r="AG219" s="25" t="s">
        <v>1532</v>
      </c>
    </row>
    <row r="220" spans="1:33" x14ac:dyDescent="0.3">
      <c r="A220" t="s">
        <v>8</v>
      </c>
      <c r="B220" t="s">
        <v>200</v>
      </c>
      <c r="C220" t="s">
        <v>395</v>
      </c>
      <c r="D220" t="s">
        <v>1621</v>
      </c>
      <c r="E220" t="s">
        <v>34</v>
      </c>
      <c r="F220" t="s">
        <v>588</v>
      </c>
      <c r="G220" s="7">
        <f ca="1">X220</f>
        <v>45885</v>
      </c>
      <c r="H220" s="5" t="s">
        <v>1625</v>
      </c>
      <c r="I220" t="s">
        <v>1109</v>
      </c>
      <c r="J220" s="36" t="s">
        <v>2843</v>
      </c>
      <c r="K220" t="s">
        <v>1622</v>
      </c>
      <c r="L220" t="s">
        <v>2212</v>
      </c>
      <c r="M220" s="16" t="s">
        <v>1623</v>
      </c>
      <c r="N220" s="16" t="s">
        <v>1626</v>
      </c>
      <c r="O220" s="7">
        <v>45083</v>
      </c>
      <c r="P220" s="7" t="s">
        <v>1982</v>
      </c>
      <c r="Q220" s="18">
        <v>8</v>
      </c>
      <c r="R220" s="18">
        <v>3</v>
      </c>
      <c r="S220" s="18">
        <v>1</v>
      </c>
      <c r="T220" s="4">
        <f>DATE(AI$2,$Q220,1+(($R220-($S220&gt;=WEEKDAY(DATE(AI$2,$Q220,1))))*7)+($S220-WEEKDAY(DATE(AI$2,$Q220,1))))</f>
        <v>45886</v>
      </c>
      <c r="U220" s="4">
        <f>DATE(AJ$2,$Q220,1+(($R220-($S220&gt;=WEEKDAY(DATE(AJ$2,$Q220,1))))*7)+($S220-WEEKDAY(DATE(AJ$2,$Q220,1))))</f>
        <v>46250</v>
      </c>
      <c r="V220" s="20">
        <v>0</v>
      </c>
      <c r="W220" s="20">
        <v>2</v>
      </c>
      <c r="X220" s="4">
        <f ca="1">Y220-(W220-1)</f>
        <v>45885</v>
      </c>
      <c r="Y220" s="5">
        <f ca="1">IF(OR(T220+V220&lt;(NOW()-0.5),ISNUMBER(SEARCH("&lt;h4&gt;",K220))),U220+V220,T220+V220)</f>
        <v>45886</v>
      </c>
      <c r="Z220" t="str">
        <f ca="1">CONCATENATE(IF(OR(Y220=X220,ISBLANK(Y220)),TEXT(X220,"mmmm d"),CONCATENATE(TEXT(X220,"mmmm d"),"-",IF(TEXT(X220,"mmmm")=TEXT(Y220,"mmmm"),TEXT(Y220,"d"),TEXT(Y220,"mmmm d")))),", ",YEAR(Y220))</f>
        <v>August 16-17, 2025</v>
      </c>
      <c r="AA220" s="7">
        <f>O220</f>
        <v>45083</v>
      </c>
      <c r="AB220" s="14">
        <f>T220+V220-(W220-1)</f>
        <v>45885</v>
      </c>
      <c r="AC220" t="s">
        <v>1624</v>
      </c>
      <c r="AD220" s="23" t="str">
        <f ca="1">CONCATENATE("&lt;add-to-calendar-button  name=",CHAR(34),H220,CHAR(34),
IF(ISBLANK(M220),"",CONCATENATE("   location=",CHAR(34),RIGHT(M220,LEN(M220)-SEARCH("|",M220)-1),CHAR(34))),
"   description=",CHAR(34),IF(ISBLANK(I220),"",CONCATENATE(I220,"; ")),"shapenotesingings.com",CHAR(34),
"   options=",CHAR(34),"'Apple','Google','iCal','Outlook.com'",CHAR(34),"   styleLight=",CHAR(34),"--btn-background: #550000; --btn-text: #fff; --btn-shadow:#fff;",CHAR(34),
IF(W220=1,CONCATENATE(
"startDate=",CHAR(34),TEXT(G220,"yyyy-mm-dd"),CHAR(34),
"{endDate=",CHAR(34),TEXT(G220,"yyyy-mm-dd"),CHAR(34),
IF(OR(ISBLANK(AE220),ISBLANK(AF220)),"",(CONCATENATE(" startTime=",CHAR(34),TEXT(AE220,"hh:mm"),CHAR(34)," endTime=",CHAR(34),TEXT(AF220,"h:mm"),CHAR(34),
" timeZone=",CHAR(34),AG220,CHAR(34))))),
IF(W220=2,CONCATENATE(" dates='[{",
CHAR(34),"startDate",CHAR(34),":",CHAR(34),TEXT(G220,"yyyy-mm-dd"),CHAR(34),", ",
,CHAR(34),"endDate",CHAR(34),":",CHAR(34),TEXT(G220,"yyyy-mm-dd"),CHAR(34),
IF(OR(ISBLANK(AE220),ISBLANK(AF220)),"",(CONCATENATE(", ",CHAR(34),"startTime",CHAR(34),":",CHAR(34),TEXT(AE220,"hh:mm"),CHAR(34),", ",CHAR(34),"endTime",CHAR(34),":",CHAR(34),TEXT(AF220,"hh:mm"),CHAR(34),", ",CHAR(34),"timeZone",CHAR(34),":",CHAR(34),AG220,CHAR(34)))),"}, {",
,CHAR(34),"startDate",CHAR(34),":",CHAR(34),TEXT(G220+1,"yyyy-mm-dd"),CHAR(34),", ",
,CHAR(34),"endDate",CHAR(34),":",CHAR(34),TEXT(G220+W220-1,"yyyy-mm-dd"),CHAR(34),
IF(OR(ISBLANK(AE220),ISBLANK(AF220)),"",(CONCATENATE(", ",CHAR(34),"startTime",CHAR(34),":",CHAR(34),TEXT(AE220,"hh:mm"),CHAR(34),", ",CHAR(34),"endTime",CHAR(34),":",CHAR(34),TEXT(AF220,"hh:mm"),CHAR(34),", ",CHAR(34),"timeZone",CHAR(34),":",CHAR(34),AG220,CHAR(34)))),"}]'"),
CONCATENATE(
"{  startDate=",CHAR(34),TEXT(G220,"yyyy-mm-dd"),CHAR(34),
"  endDate=",CHAR(34),TEXT(G220+W220-1,"yyyy-mm-dd"),CHAR(34),"}"))),
" &gt;&lt;/add-to-calendar-button&gt;")</f>
        <v>&lt;add-to-calendar-button  name="Mt Rainier and Willard Birthday Singings"   location="Enumclaw Senior Center, 1350 Cole St, Enumclaw, WA 98022"   description="9:30-3pm; shapenotesingings.com"   options="'Apple','Google','iCal','Outlook.com'"   styleLight="--btn-background: #550000; --btn-text: #fff; --btn-shadow:#fff;" dates='[{"startDate":"2025-08-16", "endDate":"2025-08-16"}, {"startDate":"2025-08-17", "endDate":"2025-08-17"}]' &gt;&lt;/add-to-calendar-button&gt;</v>
      </c>
      <c r="AG220" s="25" t="s">
        <v>1534</v>
      </c>
    </row>
    <row r="221" spans="1:33" x14ac:dyDescent="0.3">
      <c r="A221" t="s">
        <v>407</v>
      </c>
      <c r="B221" t="s">
        <v>408</v>
      </c>
      <c r="D221" t="s">
        <v>409</v>
      </c>
      <c r="E221" t="s">
        <v>2176</v>
      </c>
      <c r="F221" t="s">
        <v>588</v>
      </c>
      <c r="G221" s="7">
        <f ca="1">X221</f>
        <v>45885</v>
      </c>
      <c r="H221" s="5" t="s">
        <v>589</v>
      </c>
      <c r="I221" t="s">
        <v>1086</v>
      </c>
      <c r="J221" s="36" t="s">
        <v>2844</v>
      </c>
      <c r="K221" t="s">
        <v>1120</v>
      </c>
      <c r="L221" t="s">
        <v>2067</v>
      </c>
      <c r="M221" s="16" t="s">
        <v>822</v>
      </c>
      <c r="N221" s="16" t="s">
        <v>823</v>
      </c>
      <c r="O221" s="7">
        <v>44927</v>
      </c>
      <c r="P221" s="7" t="s">
        <v>938</v>
      </c>
      <c r="Q221" s="18">
        <v>8</v>
      </c>
      <c r="R221" s="18">
        <v>3</v>
      </c>
      <c r="S221" s="18">
        <v>1</v>
      </c>
      <c r="T221" s="4">
        <f>DATE(AI$2,$Q221,1+(($R221-($S221&gt;=WEEKDAY(DATE(AI$2,$Q221,1))))*7)+($S221-WEEKDAY(DATE(AI$2,$Q221,1))))</f>
        <v>45886</v>
      </c>
      <c r="U221" s="4">
        <f>DATE(AJ$2,$Q221,1+(($R221-($S221&gt;=WEEKDAY(DATE(AJ$2,$Q221,1))))*7)+($S221-WEEKDAY(DATE(AJ$2,$Q221,1))))</f>
        <v>46250</v>
      </c>
      <c r="V221" s="20">
        <v>0</v>
      </c>
      <c r="W221" s="20">
        <v>2</v>
      </c>
      <c r="X221" s="4">
        <f ca="1">Y221-(W221-1)</f>
        <v>45885</v>
      </c>
      <c r="Y221" s="5">
        <f ca="1">IF(OR(T221+V221&lt;(NOW()-0.5),ISNUMBER(SEARCH("&lt;h4&gt;",K221))),U221+V221,T221+V221)</f>
        <v>45886</v>
      </c>
      <c r="Z221" t="str">
        <f ca="1">CONCATENATE(IF(OR(Y221=X221,ISBLANK(Y221)),TEXT(X221,"mmmm d"),CONCATENATE(TEXT(X221,"mmmm d"),"-",IF(TEXT(X221,"mmmm")=TEXT(Y221,"mmmm"),TEXT(Y221,"d"),TEXT(Y221,"mmmm d")))),", ",YEAR(Y221))</f>
        <v>August 16-17, 2025</v>
      </c>
      <c r="AA221" s="7">
        <f>O221</f>
        <v>44927</v>
      </c>
      <c r="AB221" s="14">
        <f>T221+V221-(W221-1)</f>
        <v>45885</v>
      </c>
      <c r="AC221" t="s">
        <v>1336</v>
      </c>
      <c r="AD221" s="23" t="str">
        <f ca="1">CONCATENATE("&lt;add-to-calendar-button  name=",CHAR(34),H221,CHAR(34),
IF(ISBLANK(M221),"",CONCATENATE("   location=",CHAR(34),RIGHT(M221,LEN(M221)-SEARCH("|",M221)-1),CHAR(34))),
"   description=",CHAR(34),IF(ISBLANK(I221),"",CONCATENATE(I221,"; ")),"shapenotesingings.com",CHAR(34),
"   options=",CHAR(34),"'Apple','Google','iCal','Outlook.com'",CHAR(34),"   styleLight=",CHAR(34),"--btn-background: #550000; --btn-text: #fff; --btn-shadow:#fff;",CHAR(34),
IF(W221=1,CONCATENATE(
"startDate=",CHAR(34),TEXT(G221,"yyyy-mm-dd"),CHAR(34),
"{endDate=",CHAR(34),TEXT(G221,"yyyy-mm-dd"),CHAR(34),
IF(OR(ISBLANK(AE221),ISBLANK(AF221)),"",(CONCATENATE(" startTime=",CHAR(34),TEXT(AE221,"hh:mm"),CHAR(34)," endTime=",CHAR(34),TEXT(AF221,"h:mm"),CHAR(34),
" timeZone=",CHAR(34),AG221,CHAR(34))))),
IF(W221=2,CONCATENATE(" dates='[{",
CHAR(34),"startDate",CHAR(34),":",CHAR(34),TEXT(G221,"yyyy-mm-dd"),CHAR(34),", ",
,CHAR(34),"endDate",CHAR(34),":",CHAR(34),TEXT(G221,"yyyy-mm-dd"),CHAR(34),
IF(OR(ISBLANK(AE221),ISBLANK(AF221)),"",(CONCATENATE(", ",CHAR(34),"startTime",CHAR(34),":",CHAR(34),TEXT(AE221,"hh:mm"),CHAR(34),", ",CHAR(34),"endTime",CHAR(34),":",CHAR(34),TEXT(AF221,"hh:mm"),CHAR(34),", ",CHAR(34),"timeZone",CHAR(34),":",CHAR(34),AG221,CHAR(34)))),"}, {",
,CHAR(34),"startDate",CHAR(34),":",CHAR(34),TEXT(G221+1,"yyyy-mm-dd"),CHAR(34),", ",
,CHAR(34),"endDate",CHAR(34),":",CHAR(34),TEXT(G221+W221-1,"yyyy-mm-dd"),CHAR(34),
IF(OR(ISBLANK(AE221),ISBLANK(AF221)),"",(CONCATENATE(", ",CHAR(34),"startTime",CHAR(34),":",CHAR(34),TEXT(AE221,"hh:mm"),CHAR(34),", ",CHAR(34),"endTime",CHAR(34),":",CHAR(34),TEXT(AF221,"hh:mm"),CHAR(34),", ",CHAR(34),"timeZone",CHAR(34),":",CHAR(34),AG221,CHAR(34)))),"}]'"),
CONCATENATE(
"{  startDate=",CHAR(34),TEXT(G221,"yyyy-mm-dd"),CHAR(34),
"  endDate=",CHAR(34),TEXT(G221+W221-1,"yyyy-mm-dd"),CHAR(34),"}"))),
" &gt;&lt;/add-to-calendar-button&gt;")</f>
        <v>&lt;add-to-calendar-button  name="Berlin Singing Weekend"   location="Evangelische Herrnhuter Brüdergemeine, Kirchgasse 14, Berlin, 12043, Germany and Evangelisch-methodistische Christuskirche, Richard-Sorge-Straße 14/15, Berlin, 10249, Germany "   description="Saturday 10:30am, Sunday 1pm; shapenotesingings.com"   options="'Apple','Google','iCal','Outlook.com'"   styleLight="--btn-background: #550000; --btn-text: #fff; --btn-shadow:#fff;" dates='[{"startDate":"2025-08-16", "endDate":"2025-08-16"}, {"startDate":"2025-08-17", "endDate":"2025-08-17"}]' &gt;&lt;/add-to-calendar-button&gt;</v>
      </c>
      <c r="AG221" s="25" t="s">
        <v>1540</v>
      </c>
    </row>
    <row r="222" spans="1:33" x14ac:dyDescent="0.3">
      <c r="A222" t="s">
        <v>8</v>
      </c>
      <c r="B222" t="s">
        <v>11</v>
      </c>
      <c r="C222" t="s">
        <v>1134</v>
      </c>
      <c r="D222" t="s">
        <v>584</v>
      </c>
      <c r="E222" t="s">
        <v>34</v>
      </c>
      <c r="F222" t="s">
        <v>585</v>
      </c>
      <c r="G222" s="7">
        <f ca="1">X222</f>
        <v>45885</v>
      </c>
      <c r="H222" s="5" t="s">
        <v>587</v>
      </c>
      <c r="I222" t="s">
        <v>1028</v>
      </c>
      <c r="J222" s="36" t="s">
        <v>2845</v>
      </c>
      <c r="K222" t="s">
        <v>1119</v>
      </c>
      <c r="L222" t="s">
        <v>2223</v>
      </c>
      <c r="M222" s="16" t="s">
        <v>1019</v>
      </c>
      <c r="N222" s="16" t="s">
        <v>586</v>
      </c>
      <c r="O222" s="7">
        <v>44936</v>
      </c>
      <c r="P222" s="7" t="s">
        <v>926</v>
      </c>
      <c r="Q222" s="18">
        <v>8</v>
      </c>
      <c r="R222" s="18">
        <v>3</v>
      </c>
      <c r="S222" s="18">
        <v>1</v>
      </c>
      <c r="T222" s="4">
        <f>DATE(AI$2,$Q222,1+(($R222-($S222&gt;=WEEKDAY(DATE(AI$2,$Q222,1))))*7)+($S222-WEEKDAY(DATE(AI$2,$Q222,1))))</f>
        <v>45886</v>
      </c>
      <c r="U222" s="4">
        <f>DATE(AJ$2,$Q222,1+(($R222-($S222&gt;=WEEKDAY(DATE(AJ$2,$Q222,1))))*7)+($S222-WEEKDAY(DATE(AJ$2,$Q222,1))))</f>
        <v>46250</v>
      </c>
      <c r="V222" s="20">
        <v>-1</v>
      </c>
      <c r="W222" s="20">
        <v>1</v>
      </c>
      <c r="X222" s="4">
        <f ca="1">Y222-(W222-1)</f>
        <v>45885</v>
      </c>
      <c r="Y222" s="5">
        <f ca="1">IF(OR(T222+V222&lt;(NOW()-0.5),ISNUMBER(SEARCH("&lt;h4&gt;",K222))),U222+V222,T222+V222)</f>
        <v>45885</v>
      </c>
      <c r="Z222" t="str">
        <f ca="1">CONCATENATE(IF(OR(Y222=X222,ISBLANK(Y222)),TEXT(X222,"mmmm d"),CONCATENATE(TEXT(X222,"mmmm d"),"-",IF(TEXT(X222,"mmmm")=TEXT(Y222,"mmmm"),TEXT(Y222,"d"),TEXT(Y222,"mmmm d")))),", ",YEAR(Y222))</f>
        <v>August 16, 2025</v>
      </c>
      <c r="AA222" s="7">
        <f>O222</f>
        <v>44936</v>
      </c>
      <c r="AB222" s="14">
        <f>T222+V222-(W222-1)</f>
        <v>45885</v>
      </c>
      <c r="AC222" t="s">
        <v>1335</v>
      </c>
      <c r="AD222" s="23" t="str">
        <f ca="1">CONCATENATE("&lt;add-to-calendar-button  name=",CHAR(34),H222,CHAR(34),
IF(ISBLANK(M222),"",CONCATENATE("   location=",CHAR(34),RIGHT(M222,LEN(M222)-SEARCH("|",M222)-1),CHAR(34))),
"   description=",CHAR(34),IF(ISBLANK(I222),"",CONCATENATE(I222,"; ")),"shapenotesingings.com",CHAR(34),
"   options=",CHAR(34),"'Apple','Google','iCal','Outlook.com'",CHAR(34),"   styleLight=",CHAR(34),"--btn-background: #550000; --btn-text: #fff; --btn-shadow:#fff;",CHAR(34),
IF(W222=1,CONCATENATE(
"startDate=",CHAR(34),TEXT(G222,"yyyy-mm-dd"),CHAR(34),
"{endDate=",CHAR(34),TEXT(G222,"yyyy-mm-dd"),CHAR(34),
IF(OR(ISBLANK(AE222),ISBLANK(AF222)),"",(CONCATENATE(" startTime=",CHAR(34),TEXT(AE222,"hh:mm"),CHAR(34)," endTime=",CHAR(34),TEXT(AF222,"h:mm"),CHAR(34),
" timeZone=",CHAR(34),AG222,CHAR(34))))),
IF(W222=2,CONCATENATE(" dates='[{",
CHAR(34),"startDate",CHAR(34),":",CHAR(34),TEXT(G222,"yyyy-mm-dd"),CHAR(34),", ",
,CHAR(34),"endDate",CHAR(34),":",CHAR(34),TEXT(G222,"yyyy-mm-dd"),CHAR(34),
IF(OR(ISBLANK(AE222),ISBLANK(AF222)),"",(CONCATENATE(", ",CHAR(34),"startTime",CHAR(34),":",CHAR(34),TEXT(AE222,"hh:mm"),CHAR(34),", ",CHAR(34),"endTime",CHAR(34),":",CHAR(34),TEXT(AF222,"hh:mm"),CHAR(34),", ",CHAR(34),"timeZone",CHAR(34),":",CHAR(34),AG222,CHAR(34)))),"}, {",
,CHAR(34),"startDate",CHAR(34),":",CHAR(34),TEXT(G222+1,"yyyy-mm-dd"),CHAR(34),", ",
,CHAR(34),"endDate",CHAR(34),":",CHAR(34),TEXT(G222+W222-1,"yyyy-mm-dd"),CHAR(34),
IF(OR(ISBLANK(AE222),ISBLANK(AF222)),"",(CONCATENATE(", ",CHAR(34),"startTime",CHAR(34),":",CHAR(34),TEXT(AE222,"hh:mm"),CHAR(34),", ",CHAR(34),"endTime",CHAR(34),":",CHAR(34),TEXT(AF222,"hh:mm"),CHAR(34),", ",CHAR(34),"timeZone",CHAR(34),":",CHAR(34),AG222,CHAR(34)))),"}]'"),
CONCATENATE(
"{  startDate=",CHAR(34),TEXT(G222,"yyyy-mm-dd"),CHAR(34),
"  endDate=",CHAR(34),TEXT(G222+W222-1,"yyyy-mm-dd"),CHAR(34),"}"))),
" &gt;&lt;/add-to-calendar-button&gt;")</f>
        <v>&lt;add-to-calendar-button  name="Ramah Church Singing"   location="Ramah Primitive Baptist Church, Brushy Creek Rd and Conecuh County 7, Range AL"   description="10am; shapenotesingings.com"   options="'Apple','Google','iCal','Outlook.com'"   styleLight="--btn-background: #550000; --btn-text: #fff; --btn-shadow:#fff;"startDate="2025-08-16"{endDate="2025-08-16" startTime="10:00" endTime="15:00" timeZone="America/Chicago" &gt;&lt;/add-to-calendar-button&gt;</v>
      </c>
      <c r="AE222" s="24">
        <v>0.41666666666666669</v>
      </c>
      <c r="AF222" s="24">
        <v>0.625</v>
      </c>
      <c r="AG222" s="25" t="s">
        <v>1533</v>
      </c>
    </row>
    <row r="223" spans="1:33" x14ac:dyDescent="0.3">
      <c r="A223" t="s">
        <v>8</v>
      </c>
      <c r="B223" t="s">
        <v>273</v>
      </c>
      <c r="C223" t="s">
        <v>1160</v>
      </c>
      <c r="D223" t="s">
        <v>1482</v>
      </c>
      <c r="E223" t="s">
        <v>777</v>
      </c>
      <c r="F223" t="s">
        <v>590</v>
      </c>
      <c r="G223" s="7">
        <f ca="1">X223</f>
        <v>45886</v>
      </c>
      <c r="H223" s="5" t="s">
        <v>1485</v>
      </c>
      <c r="I223" t="s">
        <v>1459</v>
      </c>
      <c r="J223" s="36" t="s">
        <v>2613</v>
      </c>
      <c r="L223" t="s">
        <v>1448</v>
      </c>
      <c r="M223" s="16" t="s">
        <v>1487</v>
      </c>
      <c r="N223" s="16" t="s">
        <v>1488</v>
      </c>
      <c r="O223" s="7">
        <v>45012</v>
      </c>
      <c r="P223" s="7" t="s">
        <v>1509</v>
      </c>
      <c r="Q223" s="18">
        <v>8</v>
      </c>
      <c r="R223" s="18">
        <v>3</v>
      </c>
      <c r="S223" s="18">
        <v>1</v>
      </c>
      <c r="T223" s="4">
        <f>DATE(AI$2,$Q223,1+(($R223-($S223&gt;=WEEKDAY(DATE(AI$2,$Q223,1))))*7)+($S223-WEEKDAY(DATE(AI$2,$Q223,1))))</f>
        <v>45886</v>
      </c>
      <c r="U223" s="4">
        <f>DATE(AJ$2,$Q223,1+(($R223-($S223&gt;=WEEKDAY(DATE(AJ$2,$Q223,1))))*7)+($S223-WEEKDAY(DATE(AJ$2,$Q223,1))))</f>
        <v>46250</v>
      </c>
      <c r="V223" s="20">
        <v>0</v>
      </c>
      <c r="W223" s="20">
        <v>1</v>
      </c>
      <c r="X223" s="4">
        <f ca="1">Y223-(W223-1)</f>
        <v>45886</v>
      </c>
      <c r="Y223" s="5">
        <f ca="1">IF(OR(T223+V223&lt;(NOW()-0.5),ISNUMBER(SEARCH("&lt;h4&gt;",K223))),U223+V223,T223+V223)</f>
        <v>45886</v>
      </c>
      <c r="Z223" t="str">
        <f ca="1">CONCATENATE(IF(OR(Y223=X223,ISBLANK(Y223)),TEXT(X223,"mmmm d"),CONCATENATE(TEXT(X223,"mmmm d"),"-",IF(TEXT(X223,"mmmm")=TEXT(Y223,"mmmm"),TEXT(Y223,"d"),TEXT(Y223,"mmmm d")))),", ",YEAR(Y223))</f>
        <v>August 17, 2025</v>
      </c>
      <c r="AA223" s="7">
        <f>O223</f>
        <v>45012</v>
      </c>
      <c r="AB223" s="14">
        <f>T223+V223-(W223-1)</f>
        <v>45886</v>
      </c>
      <c r="AC223" t="s">
        <v>1486</v>
      </c>
      <c r="AD223" s="23" t="str">
        <f ca="1">CONCATENATE("&lt;add-to-calendar-button  name=",CHAR(34),H223,CHAR(34),
IF(ISBLANK(M223),"",CONCATENATE("   location=",CHAR(34),RIGHT(M223,LEN(M223)-SEARCH("|",M223)-1),CHAR(34))),
"   description=",CHAR(34),IF(ISBLANK(I223),"",CONCATENATE(I223,"; ")),"shapenotesingings.com",CHAR(34),
"   options=",CHAR(34),"'Apple','Google','iCal','Outlook.com'",CHAR(34),"   styleLight=",CHAR(34),"--btn-background: #550000; --btn-text: #fff; --btn-shadow:#fff;",CHAR(34),
IF(W223=1,CONCATENATE(
"startDate=",CHAR(34),TEXT(G223,"yyyy-mm-dd"),CHAR(34),
"{endDate=",CHAR(34),TEXT(G223,"yyyy-mm-dd"),CHAR(34),
IF(OR(ISBLANK(AE223),ISBLANK(AF223)),"",(CONCATENATE(" startTime=",CHAR(34),TEXT(AE223,"hh:mm"),CHAR(34)," endTime=",CHAR(34),TEXT(AF223,"h:mm"),CHAR(34),
" timeZone=",CHAR(34),AG223,CHAR(34))))),
IF(W223=2,CONCATENATE(" dates='[{",
CHAR(34),"startDate",CHAR(34),":",CHAR(34),TEXT(G223,"yyyy-mm-dd"),CHAR(34),", ",
,CHAR(34),"endDate",CHAR(34),":",CHAR(34),TEXT(G223,"yyyy-mm-dd"),CHAR(34),
IF(OR(ISBLANK(AE223),ISBLANK(AF223)),"",(CONCATENATE(", ",CHAR(34),"startTime",CHAR(34),":",CHAR(34),TEXT(AE223,"hh:mm"),CHAR(34),", ",CHAR(34),"endTime",CHAR(34),":",CHAR(34),TEXT(AF223,"hh:mm"),CHAR(34),", ",CHAR(34),"timeZone",CHAR(34),":",CHAR(34),AG223,CHAR(34)))),"}, {",
,CHAR(34),"startDate",CHAR(34),":",CHAR(34),TEXT(G223+1,"yyyy-mm-dd"),CHAR(34),", ",
,CHAR(34),"endDate",CHAR(34),":",CHAR(34),TEXT(G223+W223-1,"yyyy-mm-dd"),CHAR(34),
IF(OR(ISBLANK(AE223),ISBLANK(AF223)),"",(CONCATENATE(", ",CHAR(34),"startTime",CHAR(34),":",CHAR(34),TEXT(AE223,"hh:mm"),CHAR(34),", ",CHAR(34),"endTime",CHAR(34),":",CHAR(34),TEXT(AF223,"hh:mm"),CHAR(34),", ",CHAR(34),"timeZone",CHAR(34),":",CHAR(34),AG223,CHAR(34)))),"}]'"),
CONCATENATE(
"{  startDate=",CHAR(34),TEXT(G223,"yyyy-mm-dd"),CHAR(34),
"  endDate=",CHAR(34),TEXT(G223+W223-1,"yyyy-mm-dd"),CHAR(34),"}"))),
" &gt;&lt;/add-to-calendar-button&gt;")</f>
        <v>&lt;add-to-calendar-button  name="Cades Cove Primitive Baptist Church"   location="Cades Cove PBC, Primitive Baptist Church Rd, Townsend, TN 37882"   description="2pm; shapenotesingings.com"   options="'Apple','Google','iCal','Outlook.com'"   styleLight="--btn-background: #550000; --btn-text: #fff; --btn-shadow:#fff;"startDate="2025-08-17"{endDate="2025-08-17" &gt;&lt;/add-to-calendar-button&gt;</v>
      </c>
      <c r="AG223" s="25" t="s">
        <v>1532</v>
      </c>
    </row>
    <row r="224" spans="1:33" x14ac:dyDescent="0.3">
      <c r="A224" t="s">
        <v>8</v>
      </c>
      <c r="B224" t="s">
        <v>11</v>
      </c>
      <c r="C224" t="s">
        <v>1134</v>
      </c>
      <c r="D224" t="s">
        <v>594</v>
      </c>
      <c r="E224" t="s">
        <v>2178</v>
      </c>
      <c r="F224" t="s">
        <v>590</v>
      </c>
      <c r="G224" s="7">
        <f ca="1">X224</f>
        <v>45886</v>
      </c>
      <c r="H224" s="5" t="s">
        <v>2846</v>
      </c>
      <c r="I224" s="27" t="s">
        <v>1028</v>
      </c>
      <c r="J224" s="37" t="s">
        <v>2847</v>
      </c>
      <c r="L224" t="s">
        <v>977</v>
      </c>
      <c r="M224" s="16" t="s">
        <v>1804</v>
      </c>
      <c r="N224" s="16" t="s">
        <v>1805</v>
      </c>
      <c r="O224" s="7">
        <v>44936</v>
      </c>
      <c r="P224" s="7" t="s">
        <v>926</v>
      </c>
      <c r="Q224" s="18">
        <v>8</v>
      </c>
      <c r="R224" s="18">
        <v>3</v>
      </c>
      <c r="S224" s="18">
        <v>1</v>
      </c>
      <c r="T224" s="4">
        <f>DATE(AI$2,$Q224,1+(($R224-($S224&gt;=WEEKDAY(DATE(AI$2,$Q224,1))))*7)+($S224-WEEKDAY(DATE(AI$2,$Q224,1))))</f>
        <v>45886</v>
      </c>
      <c r="U224" s="4">
        <f>DATE(AJ$2,$Q224,1+(($R224-($S224&gt;=WEEKDAY(DATE(AJ$2,$Q224,1))))*7)+($S224-WEEKDAY(DATE(AJ$2,$Q224,1))))</f>
        <v>46250</v>
      </c>
      <c r="V224" s="20">
        <v>0</v>
      </c>
      <c r="W224" s="20">
        <v>1</v>
      </c>
      <c r="X224" s="4">
        <f ca="1">Y224-(W224-1)</f>
        <v>45886</v>
      </c>
      <c r="Y224" s="5">
        <f ca="1">IF(OR(T224+V224&lt;(NOW()-0.5),ISNUMBER(SEARCH("&lt;h4&gt;",K224))),U224+V224,T224+V224)</f>
        <v>45886</v>
      </c>
      <c r="Z224" t="str">
        <f ca="1">CONCATENATE(IF(OR(Y224=X224,ISBLANK(Y224)),TEXT(X224,"mmmm d"),CONCATENATE(TEXT(X224,"mmmm d"),"-",IF(TEXT(X224,"mmmm")=TEXT(Y224,"mmmm"),TEXT(Y224,"d"),TEXT(Y224,"mmmm d")))),", ",YEAR(Y224))</f>
        <v>August 17, 2025</v>
      </c>
      <c r="AA224" s="7">
        <f>O224</f>
        <v>44936</v>
      </c>
      <c r="AB224" s="14">
        <f>T224+V224-(W224-1)</f>
        <v>45886</v>
      </c>
      <c r="AC224" t="s">
        <v>1338</v>
      </c>
      <c r="AD224" s="23" t="str">
        <f ca="1">CONCATENATE("&lt;add-to-calendar-button  name=",CHAR(34),H224,CHAR(34),
IF(ISBLANK(M224),"",CONCATENATE("   location=",CHAR(34),RIGHT(M224,LEN(M224)-SEARCH("|",M224)-1),CHAR(34))),
"   description=",CHAR(34),IF(ISBLANK(I224),"",CONCATENATE(I224,"; ")),"shapenotesingings.com",CHAR(34),
"   options=",CHAR(34),"'Apple','Google','iCal','Outlook.com'",CHAR(34),"   styleLight=",CHAR(34),"--btn-background: #550000; --btn-text: #fff; --btn-shadow:#fff;",CHAR(34),
IF(W224=1,CONCATENATE(
"startDate=",CHAR(34),TEXT(G224,"yyyy-mm-dd"),CHAR(34),
"{endDate=",CHAR(34),TEXT(G224,"yyyy-mm-dd"),CHAR(34),
IF(OR(ISBLANK(AE224),ISBLANK(AF224)),"",(CONCATENATE(" startTime=",CHAR(34),TEXT(AE224,"hh:mm"),CHAR(34)," endTime=",CHAR(34),TEXT(AF224,"h:mm"),CHAR(34),
" timeZone=",CHAR(34),AG224,CHAR(34))))),
IF(W224=2,CONCATENATE(" dates='[{",
CHAR(34),"startDate",CHAR(34),":",CHAR(34),TEXT(G224,"yyyy-mm-dd"),CHAR(34),", ",
,CHAR(34),"endDate",CHAR(34),":",CHAR(34),TEXT(G224,"yyyy-mm-dd"),CHAR(34),
IF(OR(ISBLANK(AE224),ISBLANK(AF224)),"",(CONCATENATE(", ",CHAR(34),"startTime",CHAR(34),":",CHAR(34),TEXT(AE224,"hh:mm"),CHAR(34),", ",CHAR(34),"endTime",CHAR(34),":",CHAR(34),TEXT(AF224,"hh:mm"),CHAR(34),", ",CHAR(34),"timeZone",CHAR(34),":",CHAR(34),AG224,CHAR(34)))),"}, {",
,CHAR(34),"startDate",CHAR(34),":",CHAR(34),TEXT(G224+1,"yyyy-mm-dd"),CHAR(34),", ",
,CHAR(34),"endDate",CHAR(34),":",CHAR(34),TEXT(G224+W224-1,"yyyy-mm-dd"),CHAR(34),
IF(OR(ISBLANK(AE224),ISBLANK(AF224)),"",(CONCATENATE(", ",CHAR(34),"startTime",CHAR(34),":",CHAR(34),TEXT(AE224,"hh:mm"),CHAR(34),", ",CHAR(34),"endTime",CHAR(34),":",CHAR(34),TEXT(AF224,"hh:mm"),CHAR(34),", ",CHAR(34),"timeZone",CHAR(34),":",CHAR(34),AG224,CHAR(34)))),"}]'"),
CONCATENATE(
"{  startDate=",CHAR(34),TEXT(G224,"yyyy-mm-dd"),CHAR(34),
"  endDate=",CHAR(34),TEXT(G224+W224-1,"yyyy-mm-dd"),CHAR(34),"}"))),
" &gt;&lt;/add-to-calendar-button&gt;")</f>
        <v>&lt;add-to-calendar-button  name="Emma Beasley, Belton Beasley, and Phillip Lee III Memorial"   location="Concord Primitive Baptist Church, 575 County Highway 173, Winfield, AL 35594 - 33.94417263347147, -87.79405531185712"   description="10am; shapenotesingings.com"   options="'Apple','Google','iCal','Outlook.com'"   styleLight="--btn-background: #550000; --btn-text: #fff; --btn-shadow:#fff;"startDate="2025-08-17"{endDate="2025-08-17" &gt;&lt;/add-to-calendar-button&gt;</v>
      </c>
      <c r="AG224" s="25" t="s">
        <v>1533</v>
      </c>
    </row>
    <row r="225" spans="1:33" x14ac:dyDescent="0.3">
      <c r="A225" t="s">
        <v>8</v>
      </c>
      <c r="B225" t="s">
        <v>17</v>
      </c>
      <c r="C225" t="s">
        <v>1140</v>
      </c>
      <c r="D225" t="s">
        <v>421</v>
      </c>
      <c r="E225" t="s">
        <v>2178</v>
      </c>
      <c r="F225" t="s">
        <v>590</v>
      </c>
      <c r="G225" s="7">
        <f ca="1">X225</f>
        <v>45886</v>
      </c>
      <c r="H225" s="5" t="s">
        <v>2224</v>
      </c>
      <c r="I225" t="s">
        <v>1028</v>
      </c>
      <c r="J225" s="36" t="s">
        <v>2848</v>
      </c>
      <c r="L225" t="s">
        <v>2220</v>
      </c>
      <c r="M225" s="16" t="s">
        <v>1020</v>
      </c>
      <c r="N225" s="16" t="s">
        <v>595</v>
      </c>
      <c r="O225" s="7">
        <v>45523</v>
      </c>
      <c r="P225" s="7" t="s">
        <v>2225</v>
      </c>
      <c r="Q225" s="18">
        <v>8</v>
      </c>
      <c r="R225" s="18">
        <v>3</v>
      </c>
      <c r="S225" s="18">
        <v>1</v>
      </c>
      <c r="T225" s="4">
        <f>DATE(AI$2,$Q225,1+(($R225-($S225&gt;=WEEKDAY(DATE(AI$2,$Q225,1))))*7)+($S225-WEEKDAY(DATE(AI$2,$Q225,1))))</f>
        <v>45886</v>
      </c>
      <c r="U225" s="4">
        <f>DATE(AJ$2,$Q225,1+(($R225-($S225&gt;=WEEKDAY(DATE(AJ$2,$Q225,1))))*7)+($S225-WEEKDAY(DATE(AJ$2,$Q225,1))))</f>
        <v>46250</v>
      </c>
      <c r="V225" s="20">
        <v>0</v>
      </c>
      <c r="W225" s="20">
        <v>1</v>
      </c>
      <c r="X225" s="4">
        <f ca="1">Y225-(W225-1)</f>
        <v>45886</v>
      </c>
      <c r="Y225" s="5">
        <f ca="1">IF(OR(T225+V225&lt;(NOW()-0.5),ISNUMBER(SEARCH("&lt;h4&gt;",K225))),U225+V225,T225+V225)</f>
        <v>45886</v>
      </c>
      <c r="Z225" t="str">
        <f ca="1">CONCATENATE(IF(OR(Y225=X225,ISBLANK(Y225)),TEXT(X225,"mmmm d"),CONCATENATE(TEXT(X225,"mmmm d"),"-",IF(TEXT(X225,"mmmm")=TEXT(Y225,"mmmm"),TEXT(Y225,"d"),TEXT(Y225,"mmmm d")))),", ",YEAR(Y225))</f>
        <v>August 17, 2025</v>
      </c>
      <c r="AA225" s="7">
        <f>O225</f>
        <v>45523</v>
      </c>
      <c r="AB225" s="14">
        <f>T225+V225-(W225-1)</f>
        <v>45886</v>
      </c>
      <c r="AC225" t="s">
        <v>1339</v>
      </c>
      <c r="AD225" s="23" t="str">
        <f ca="1">CONCATENATE("&lt;add-to-calendar-button  name=",CHAR(34),H225,CHAR(34),
IF(ISBLANK(M225),"",CONCATENATE("   location=",CHAR(34),RIGHT(M225,LEN(M225)-SEARCH("|",M225)-1),CHAR(34))),
"   description=",CHAR(34),IF(ISBLANK(I225),"",CONCATENATE(I225,"; ")),"shapenotesingings.com",CHAR(34),
"   options=",CHAR(34),"'Apple','Google','iCal','Outlook.com'",CHAR(34),"   styleLight=",CHAR(34),"--btn-background: #550000; --btn-text: #fff; --btn-shadow:#fff;",CHAR(34),
IF(W225=1,CONCATENATE(
"startDate=",CHAR(34),TEXT(G225,"yyyy-mm-dd"),CHAR(34),
"{endDate=",CHAR(34),TEXT(G225,"yyyy-mm-dd"),CHAR(34),
IF(OR(ISBLANK(AE225),ISBLANK(AF225)),"",(CONCATENATE(" startTime=",CHAR(34),TEXT(AE225,"hh:mm"),CHAR(34)," endTime=",CHAR(34),TEXT(AF225,"h:mm"),CHAR(34),
" timeZone=",CHAR(34),AG225,CHAR(34))))),
IF(W225=2,CONCATENATE(" dates='[{",
CHAR(34),"startDate",CHAR(34),":",CHAR(34),TEXT(G225,"yyyy-mm-dd"),CHAR(34),", ",
,CHAR(34),"endDate",CHAR(34),":",CHAR(34),TEXT(G225,"yyyy-mm-dd"),CHAR(34),
IF(OR(ISBLANK(AE225),ISBLANK(AF225)),"",(CONCATENATE(", ",CHAR(34),"startTime",CHAR(34),":",CHAR(34),TEXT(AE225,"hh:mm"),CHAR(34),", ",CHAR(34),"endTime",CHAR(34),":",CHAR(34),TEXT(AF225,"hh:mm"),CHAR(34),", ",CHAR(34),"timeZone",CHAR(34),":",CHAR(34),AG225,CHAR(34)))),"}, {",
,CHAR(34),"startDate",CHAR(34),":",CHAR(34),TEXT(G225+1,"yyyy-mm-dd"),CHAR(34),", ",
,CHAR(34),"endDate",CHAR(34),":",CHAR(34),TEXT(G225+W225-1,"yyyy-mm-dd"),CHAR(34),
IF(OR(ISBLANK(AE225),ISBLANK(AF225)),"",(CONCATENATE(", ",CHAR(34),"startTime",CHAR(34),":",CHAR(34),TEXT(AE225,"hh:mm"),CHAR(34),", ",CHAR(34),"endTime",CHAR(34),":",CHAR(34),TEXT(AF225,"hh:mm"),CHAR(34),", ",CHAR(34),"timeZone",CHAR(34),":",CHAR(34),AG225,CHAR(34)))),"}]'"),
CONCATENATE(
"{  startDate=",CHAR(34),TEXT(G225,"yyyy-mm-dd"),CHAR(34),
"  endDate=",CHAR(34),TEXT(G225+W225-1,"yyyy-mm-dd"),CHAR(34),"}"))),
" &gt;&lt;/add-to-calendar-button&gt;")</f>
        <v>&lt;add-to-calendar-button  name="Mt. Pisgah/Cedar Creek Singing"   location="Mount Pisgah Primitive Baptist Church, 1753 Evergreen Rd, Sylvester, GA 31791"   description="10am; shapenotesingings.com"   options="'Apple','Google','iCal','Outlook.com'"   styleLight="--btn-background: #550000; --btn-text: #fff; --btn-shadow:#fff;"startDate="2025-08-17"{endDate="2025-08-17" startTime="10:00" endTime="15:00" timeZone="America/New_York" &gt;&lt;/add-to-calendar-button&gt;</v>
      </c>
      <c r="AE225" s="24">
        <v>0.41666666666666669</v>
      </c>
      <c r="AF225" s="24">
        <v>0.625</v>
      </c>
      <c r="AG225" s="25" t="s">
        <v>1532</v>
      </c>
    </row>
    <row r="226" spans="1:33" x14ac:dyDescent="0.3">
      <c r="A226" t="s">
        <v>79</v>
      </c>
      <c r="B226" t="s">
        <v>599</v>
      </c>
      <c r="C226" t="s">
        <v>1155</v>
      </c>
      <c r="D226" t="s">
        <v>602</v>
      </c>
      <c r="E226" t="s">
        <v>2176</v>
      </c>
      <c r="F226" t="s">
        <v>1896</v>
      </c>
      <c r="G226" s="7">
        <f ca="1">X226</f>
        <v>45891</v>
      </c>
      <c r="H226" s="5" t="s">
        <v>1895</v>
      </c>
      <c r="I226" t="s">
        <v>1039</v>
      </c>
      <c r="J226" s="36" t="s">
        <v>2849</v>
      </c>
      <c r="K226" t="s">
        <v>1898</v>
      </c>
      <c r="L226" t="s">
        <v>2213</v>
      </c>
      <c r="M226" s="16" t="s">
        <v>1900</v>
      </c>
      <c r="N226" s="16" t="s">
        <v>1897</v>
      </c>
      <c r="O226" s="7">
        <v>45309</v>
      </c>
      <c r="P226" s="7" t="s">
        <v>1899</v>
      </c>
      <c r="Q226" s="18">
        <v>8</v>
      </c>
      <c r="R226" s="18">
        <v>4</v>
      </c>
      <c r="S226" s="18">
        <v>1</v>
      </c>
      <c r="T226" s="4">
        <f>DATE(AI$2,$Q226,1+(($R226-($S226&gt;=WEEKDAY(DATE(AI$2,$Q226,1))))*7)+($S226-WEEKDAY(DATE(AI$2,$Q226,1))))</f>
        <v>45893</v>
      </c>
      <c r="U226" s="4">
        <f>DATE(AJ$2,$Q226,1+(($R226-($S226&gt;=WEEKDAY(DATE(AJ$2,$Q226,1))))*7)+($S226-WEEKDAY(DATE(AJ$2,$Q226,1))))</f>
        <v>46257</v>
      </c>
      <c r="V226" s="20">
        <v>0</v>
      </c>
      <c r="W226" s="20">
        <v>3</v>
      </c>
      <c r="X226" s="4">
        <f ca="1">Y226-(W226-1)</f>
        <v>45891</v>
      </c>
      <c r="Y226" s="5">
        <f ca="1">IF(OR(T226+V226&lt;(NOW()-0.5),ISNUMBER(SEARCH("&lt;h4&gt;",K226))),U226+V226,T226+V226)</f>
        <v>45893</v>
      </c>
      <c r="Z226" t="str">
        <f ca="1">CONCATENATE(IF(OR(Y226=X226,ISBLANK(Y226)),TEXT(X226,"mmmm d"),CONCATENATE(TEXT(X226,"mmmm d"),"-",IF(TEXT(X226,"mmmm")=TEXT(Y226,"mmmm"),TEXT(Y226,"d"),TEXT(Y226,"mmmm d")))),", ",YEAR(Y226))</f>
        <v>August 22-24, 2025</v>
      </c>
      <c r="AA226" s="7">
        <f>O226</f>
        <v>45309</v>
      </c>
      <c r="AB226" s="14">
        <f>T226+V226-(W226-1)</f>
        <v>45891</v>
      </c>
      <c r="AC226" t="s">
        <v>1340</v>
      </c>
      <c r="AD226" s="23" t="str">
        <f ca="1">CONCATENATE("&lt;add-to-calendar-button  name=",CHAR(34),H226,CHAR(34),
IF(ISBLANK(M226),"",CONCATENATE("   location=",CHAR(34),RIGHT(M226,LEN(M226)-SEARCH("|",M226)-1),CHAR(34))),
"   description=",CHAR(34),IF(ISBLANK(I226),"",CONCATENATE(I226,"; ")),"shapenotesingings.com",CHAR(34),
"   options=",CHAR(34),"'Apple','Google','iCal','Outlook.com'",CHAR(34),"   styleLight=",CHAR(34),"--btn-background: #550000; --btn-text: #fff; --btn-shadow:#fff;",CHAR(34),
IF(W226=1,CONCATENATE(
"startDate=",CHAR(34),TEXT(G226,"yyyy-mm-dd"),CHAR(34),
"{endDate=",CHAR(34),TEXT(G226,"yyyy-mm-dd"),CHAR(34),
IF(OR(ISBLANK(AE226),ISBLANK(AF226)),"",(CONCATENATE(" startTime=",CHAR(34),TEXT(AE226,"hh:mm"),CHAR(34)," endTime=",CHAR(34),TEXT(AF226,"h:mm"),CHAR(34),
" timeZone=",CHAR(34),AG226,CHAR(34))))),
IF(W226=2,CONCATENATE(" dates='[{",
CHAR(34),"startDate",CHAR(34),":",CHAR(34),TEXT(G226,"yyyy-mm-dd"),CHAR(34),", ",
,CHAR(34),"endDate",CHAR(34),":",CHAR(34),TEXT(G226,"yyyy-mm-dd"),CHAR(34),
IF(OR(ISBLANK(AE226),ISBLANK(AF226)),"",(CONCATENATE(", ",CHAR(34),"startTime",CHAR(34),":",CHAR(34),TEXT(AE226,"hh:mm"),CHAR(34),", ",CHAR(34),"endTime",CHAR(34),":",CHAR(34),TEXT(AF226,"hh:mm"),CHAR(34),", ",CHAR(34),"timeZone",CHAR(34),":",CHAR(34),AG226,CHAR(34)))),"}, {",
,CHAR(34),"startDate",CHAR(34),":",CHAR(34),TEXT(G226+1,"yyyy-mm-dd"),CHAR(34),", ",
,CHAR(34),"endDate",CHAR(34),":",CHAR(34),TEXT(G226+W226-1,"yyyy-mm-dd"),CHAR(34),
IF(OR(ISBLANK(AE226),ISBLANK(AF226)),"",(CONCATENATE(", ",CHAR(34),"startTime",CHAR(34),":",CHAR(34),TEXT(AE226,"hh:mm"),CHAR(34),", ",CHAR(34),"endTime",CHAR(34),":",CHAR(34),TEXT(AF226,"hh:mm"),CHAR(34),", ",CHAR(34),"timeZone",CHAR(34),":",CHAR(34),AG226,CHAR(34)))),"}]'"),
CONCATENATE(
"{  startDate=",CHAR(34),TEXT(G226,"yyyy-mm-dd"),CHAR(34),
"  endDate=",CHAR(34),TEXT(G226+W226-1,"yyyy-mm-dd"),CHAR(34),"}"))),
" &gt;&lt;/add-to-calendar-button&gt;")</f>
        <v>&lt;add-to-calendar-button  name="Central Ontario Convention"   location="Fri/Sat: Friends House, 60 Lowther Ave, Toronto, ON M5R 1C7, Canada    and    Sun: Detweiler Meetinghouse, 3445 Roseville Rd, Ayr, ON N0B 1E0, Canada (Sun)"   description="10am-3:30pm; shapenotesingings.com"   options="'Apple','Google','iCal','Outlook.com'"   styleLight="--btn-background: #550000; --btn-text: #fff; --btn-shadow:#fff;"{  startDate="2025-08-22"  endDate="2025-08-24"} &gt;&lt;/add-to-calendar-button&gt;</v>
      </c>
      <c r="AE226" s="24">
        <v>0.41666666666666669</v>
      </c>
      <c r="AF226" s="24">
        <v>0.64583333333333337</v>
      </c>
      <c r="AG226" s="25" t="s">
        <v>1542</v>
      </c>
    </row>
    <row r="227" spans="1:33" x14ac:dyDescent="0.3">
      <c r="A227" t="s">
        <v>8</v>
      </c>
      <c r="B227" t="s">
        <v>11</v>
      </c>
      <c r="C227" t="s">
        <v>1134</v>
      </c>
      <c r="D227" t="s">
        <v>245</v>
      </c>
      <c r="E227" t="s">
        <v>34</v>
      </c>
      <c r="F227" t="s">
        <v>605</v>
      </c>
      <c r="G227" s="7">
        <f ca="1">X227</f>
        <v>45892</v>
      </c>
      <c r="H227" s="5" t="s">
        <v>247</v>
      </c>
      <c r="I227" t="s">
        <v>1028</v>
      </c>
      <c r="L227" t="s">
        <v>2221</v>
      </c>
      <c r="M227" s="16" t="s">
        <v>248</v>
      </c>
      <c r="N227" s="16" t="s">
        <v>249</v>
      </c>
      <c r="O227" s="7">
        <v>45157</v>
      </c>
      <c r="P227" s="7" t="s">
        <v>1700</v>
      </c>
      <c r="Q227" s="18">
        <v>8</v>
      </c>
      <c r="R227" s="18">
        <v>4</v>
      </c>
      <c r="S227" s="18">
        <v>1</v>
      </c>
      <c r="T227" s="4">
        <f>DATE(AI$2,$Q227,1+(($R227-($S227&gt;=WEEKDAY(DATE(AI$2,$Q227,1))))*7)+($S227-WEEKDAY(DATE(AI$2,$Q227,1))))</f>
        <v>45893</v>
      </c>
      <c r="U227" s="4">
        <f>DATE(AJ$2,$Q227,1+(($R227-($S227&gt;=WEEKDAY(DATE(AJ$2,$Q227,1))))*7)+($S227-WEEKDAY(DATE(AJ$2,$Q227,1))))</f>
        <v>46257</v>
      </c>
      <c r="V227" s="20">
        <v>-1</v>
      </c>
      <c r="W227" s="20">
        <v>1</v>
      </c>
      <c r="X227" s="4">
        <f ca="1">Y227-(W227-1)</f>
        <v>45892</v>
      </c>
      <c r="Y227" s="5">
        <f ca="1">IF(OR(T227+V227&lt;(NOW()-0.5),ISNUMBER(SEARCH("&lt;h4&gt;",K227))),U227+V227,T227+V227)</f>
        <v>45892</v>
      </c>
      <c r="Z227" t="str">
        <f ca="1">CONCATENATE(IF(OR(Y227=X227,ISBLANK(Y227)),TEXT(X227,"mmmm d"),CONCATENATE(TEXT(X227,"mmmm d"),"-",IF(TEXT(X227,"mmmm")=TEXT(Y227,"mmmm"),TEXT(Y227,"d"),TEXT(Y227,"mmmm d")))),", ",YEAR(Y227))</f>
        <v>August 23, 2025</v>
      </c>
      <c r="AA227" s="7">
        <f>O227</f>
        <v>45157</v>
      </c>
      <c r="AB227" s="14">
        <f>T227+V227-(W227-1)</f>
        <v>45892</v>
      </c>
      <c r="AC227" t="s">
        <v>1232</v>
      </c>
      <c r="AD227" s="23" t="str">
        <f ca="1">CONCATENATE("&lt;add-to-calendar-button  name=",CHAR(34),H227,CHAR(34),
IF(ISBLANK(M227),"",CONCATENATE("   location=",CHAR(34),RIGHT(M227,LEN(M227)-SEARCH("|",M227)-1),CHAR(34))),
"   description=",CHAR(34),IF(ISBLANK(I227),"",CONCATENATE(I227,"; ")),"shapenotesingings.com",CHAR(34),
"   options=",CHAR(34),"'Apple','Google','iCal','Outlook.com'",CHAR(34),"   styleLight=",CHAR(34),"--btn-background: #550000; --btn-text: #fff; --btn-shadow:#fff;",CHAR(34),
IF(W227=1,CONCATENATE(
"startDate=",CHAR(34),TEXT(G227,"yyyy-mm-dd"),CHAR(34),
"{endDate=",CHAR(34),TEXT(G227,"yyyy-mm-dd"),CHAR(34),
IF(OR(ISBLANK(AE227),ISBLANK(AF227)),"",(CONCATENATE(" startTime=",CHAR(34),TEXT(AE227,"hh:mm"),CHAR(34)," endTime=",CHAR(34),TEXT(AF227,"h:mm"),CHAR(34),
" timeZone=",CHAR(34),AG227,CHAR(34))))),
IF(W227=2,CONCATENATE(" dates='[{",
CHAR(34),"startDate",CHAR(34),":",CHAR(34),TEXT(G227,"yyyy-mm-dd"),CHAR(34),", ",
,CHAR(34),"endDate",CHAR(34),":",CHAR(34),TEXT(G227,"yyyy-mm-dd"),CHAR(34),
IF(OR(ISBLANK(AE227),ISBLANK(AF227)),"",(CONCATENATE(", ",CHAR(34),"startTime",CHAR(34),":",CHAR(34),TEXT(AE227,"hh:mm"),CHAR(34),", ",CHAR(34),"endTime",CHAR(34),":",CHAR(34),TEXT(AF227,"hh:mm"),CHAR(34),", ",CHAR(34),"timeZone",CHAR(34),":",CHAR(34),AG227,CHAR(34)))),"}, {",
,CHAR(34),"startDate",CHAR(34),":",CHAR(34),TEXT(G227+1,"yyyy-mm-dd"),CHAR(34),", ",
,CHAR(34),"endDate",CHAR(34),":",CHAR(34),TEXT(G227+W227-1,"yyyy-mm-dd"),CHAR(34),
IF(OR(ISBLANK(AE227),ISBLANK(AF227)),"",(CONCATENATE(", ",CHAR(34),"startTime",CHAR(34),":",CHAR(34),TEXT(AE227,"hh:mm"),CHAR(34),", ",CHAR(34),"endTime",CHAR(34),":",CHAR(34),TEXT(AF227,"hh:mm"),CHAR(34),", ",CHAR(34),"timeZone",CHAR(34),":",CHAR(34),AG227,CHAR(34)))),"}]'"),
CONCATENATE(
"{  startDate=",CHAR(34),TEXT(G227,"yyyy-mm-dd"),CHAR(34),
"  endDate=",CHAR(34),TEXT(G227+W227-1,"yyyy-mm-dd"),CHAR(34),"}"))),
" &gt;&lt;/add-to-calendar-button&gt;")</f>
        <v>&lt;add-to-calendar-button  name="Enon Singing"   location="31.171289157952558, -86.39219295290548, Enon Baptist Church, Cravey Bridge Rd, Andalusia AL"   description="10am; shapenotesingings.com"   options="'Apple','Google','iCal','Outlook.com'"   styleLight="--btn-background: #550000; --btn-text: #fff; --btn-shadow:#fff;"startDate="2025-08-23"{endDate="2025-08-23" startTime="10:00" endTime="15:00" timeZone="America/Chicago" &gt;&lt;/add-to-calendar-button&gt;</v>
      </c>
      <c r="AE227" s="24">
        <v>0.41666666666666669</v>
      </c>
      <c r="AF227" s="24">
        <v>0.625</v>
      </c>
      <c r="AG227" s="25" t="s">
        <v>1533</v>
      </c>
    </row>
    <row r="228" spans="1:33" x14ac:dyDescent="0.3">
      <c r="A228" t="s">
        <v>8</v>
      </c>
      <c r="B228" t="s">
        <v>102</v>
      </c>
      <c r="C228" t="s">
        <v>1064</v>
      </c>
      <c r="D228" t="s">
        <v>2146</v>
      </c>
      <c r="E228" t="s">
        <v>2178</v>
      </c>
      <c r="F228" t="s">
        <v>605</v>
      </c>
      <c r="G228" s="7">
        <f ca="1">X228</f>
        <v>45892</v>
      </c>
      <c r="H228" s="5" t="s">
        <v>2147</v>
      </c>
      <c r="I228" t="s">
        <v>1028</v>
      </c>
      <c r="J228" s="36" t="s">
        <v>2850</v>
      </c>
      <c r="L228" t="s">
        <v>2151</v>
      </c>
      <c r="M228" s="16" t="s">
        <v>2148</v>
      </c>
      <c r="N228" s="16" t="s">
        <v>2149</v>
      </c>
      <c r="O228" s="7">
        <v>45467</v>
      </c>
      <c r="P228" s="7" t="s">
        <v>2150</v>
      </c>
      <c r="Q228" s="18">
        <v>8</v>
      </c>
      <c r="R228" s="18">
        <v>4</v>
      </c>
      <c r="S228" s="18">
        <v>1</v>
      </c>
      <c r="T228" s="4">
        <f>DATE(AI$2,$Q228,1+(($R228-($S228&gt;=WEEKDAY(DATE(AI$2,$Q228,1))))*7)+($S228-WEEKDAY(DATE(AI$2,$Q228,1))))</f>
        <v>45893</v>
      </c>
      <c r="U228" s="4">
        <f>DATE(AJ$2,$Q228,1+(($R228-($S228&gt;=WEEKDAY(DATE(AJ$2,$Q228,1))))*7)+($S228-WEEKDAY(DATE(AJ$2,$Q228,1))))</f>
        <v>46257</v>
      </c>
      <c r="V228" s="20">
        <v>-1</v>
      </c>
      <c r="W228" s="20">
        <v>1</v>
      </c>
      <c r="X228" s="4">
        <f ca="1">Y228-(W228-1)</f>
        <v>45892</v>
      </c>
      <c r="Y228" s="5">
        <f ca="1">IF(OR(T228+V228&lt;(NOW()-0.5),ISNUMBER(SEARCH("&lt;h4&gt;",K228))),U228+V228,T228+V228)</f>
        <v>45892</v>
      </c>
      <c r="Z228" t="str">
        <f ca="1">CONCATENATE(IF(OR(Y228=X228,ISBLANK(Y228)),TEXT(X228,"mmmm d"),CONCATENATE(TEXT(X228,"mmmm d"),"-",IF(TEXT(X228,"mmmm")=TEXT(Y228,"mmmm"),TEXT(Y228,"d"),TEXT(Y228,"mmmm d")))),", ",YEAR(Y228))</f>
        <v>August 23, 2025</v>
      </c>
      <c r="AA228" s="7">
        <f>O228</f>
        <v>45467</v>
      </c>
      <c r="AB228" s="14">
        <f>T228+V228-(W228-1)</f>
        <v>45892</v>
      </c>
      <c r="AC228" t="s">
        <v>1232</v>
      </c>
      <c r="AD228" s="23" t="str">
        <f ca="1">CONCATENATE("&lt;add-to-calendar-button  name=",CHAR(34),H228,CHAR(34),
IF(ISBLANK(M228),"",CONCATENATE("   location=",CHAR(34),RIGHT(M228,LEN(M228)-SEARCH("|",M228)-1),CHAR(34))),
"   description=",CHAR(34),IF(ISBLANK(I228),"",CONCATENATE(I228,"; ")),"shapenotesingings.com",CHAR(34),
"   options=",CHAR(34),"'Apple','Google','iCal','Outlook.com'",CHAR(34),"   styleLight=",CHAR(34),"--btn-background: #550000; --btn-text: #fff; --btn-shadow:#fff;",CHAR(34),
IF(W228=1,CONCATENATE(
"startDate=",CHAR(34),TEXT(G228,"yyyy-mm-dd"),CHAR(34),
"{endDate=",CHAR(34),TEXT(G228,"yyyy-mm-dd"),CHAR(34),
IF(OR(ISBLANK(AE228),ISBLANK(AF228)),"",(CONCATENATE(" startTime=",CHAR(34),TEXT(AE228,"hh:mm"),CHAR(34)," endTime=",CHAR(34),TEXT(AF228,"h:mm"),CHAR(34),
" timeZone=",CHAR(34),AG228,CHAR(34))))),
IF(W228=2,CONCATENATE(" dates='[{",
CHAR(34),"startDate",CHAR(34),":",CHAR(34),TEXT(G228,"yyyy-mm-dd"),CHAR(34),", ",
,CHAR(34),"endDate",CHAR(34),":",CHAR(34),TEXT(G228,"yyyy-mm-dd"),CHAR(34),
IF(OR(ISBLANK(AE228),ISBLANK(AF228)),"",(CONCATENATE(", ",CHAR(34),"startTime",CHAR(34),":",CHAR(34),TEXT(AE228,"hh:mm"),CHAR(34),", ",CHAR(34),"endTime",CHAR(34),":",CHAR(34),TEXT(AF228,"hh:mm"),CHAR(34),", ",CHAR(34),"timeZone",CHAR(34),":",CHAR(34),AG228,CHAR(34)))),"}, {",
,CHAR(34),"startDate",CHAR(34),":",CHAR(34),TEXT(G228+1,"yyyy-mm-dd"),CHAR(34),", ",
,CHAR(34),"endDate",CHAR(34),":",CHAR(34),TEXT(G228+W228-1,"yyyy-mm-dd"),CHAR(34),
IF(OR(ISBLANK(AE228),ISBLANK(AF228)),"",(CONCATENATE(", ",CHAR(34),"startTime",CHAR(34),":",CHAR(34),TEXT(AE228,"hh:mm"),CHAR(34),", ",CHAR(34),"endTime",CHAR(34),":",CHAR(34),TEXT(AF228,"hh:mm"),CHAR(34),", ",CHAR(34),"timeZone",CHAR(34),":",CHAR(34),AG228,CHAR(34)))),"}]'"),
CONCATENATE(
"{  startDate=",CHAR(34),TEXT(G228,"yyyy-mm-dd"),CHAR(34),
"  endDate=",CHAR(34),TEXT(G228+W228-1,"yyyy-mm-dd"),CHAR(34),"}"))),
" &gt;&lt;/add-to-calendar-button&gt;")</f>
        <v>&lt;add-to-calendar-button  name="Cocoa Beach All-Day Singing"   location="Lutheran Church of the Resurrection, 525 Minutemen Causeway, Cocoa Beach, FL 32931"   description="10am; shapenotesingings.com"   options="'Apple','Google','iCal','Outlook.com'"   styleLight="--btn-background: #550000; --btn-text: #fff; --btn-shadow:#fff;"startDate="2025-08-23"{endDate="2025-08-23" startTime="09:30" endTime="15:00" timeZone="America/New_York" &gt;&lt;/add-to-calendar-button&gt;</v>
      </c>
      <c r="AE228" s="24">
        <v>0.39583333333333331</v>
      </c>
      <c r="AF228" s="24">
        <v>0.625</v>
      </c>
      <c r="AG228" s="25" t="s">
        <v>1532</v>
      </c>
    </row>
    <row r="229" spans="1:33" x14ac:dyDescent="0.3">
      <c r="A229" t="s">
        <v>8</v>
      </c>
      <c r="B229" t="s">
        <v>11</v>
      </c>
      <c r="C229" t="s">
        <v>1134</v>
      </c>
      <c r="D229" t="s">
        <v>12</v>
      </c>
      <c r="E229" t="s">
        <v>2178</v>
      </c>
      <c r="F229" t="s">
        <v>596</v>
      </c>
      <c r="G229" s="7">
        <f ca="1">X229</f>
        <v>45892</v>
      </c>
      <c r="H229" s="5" t="s">
        <v>606</v>
      </c>
      <c r="I229" t="s">
        <v>1040</v>
      </c>
      <c r="J229" s="36" t="s">
        <v>2851</v>
      </c>
      <c r="L229" t="s">
        <v>978</v>
      </c>
      <c r="M229" s="16" t="s">
        <v>1021</v>
      </c>
      <c r="N229" s="16" t="s">
        <v>127</v>
      </c>
      <c r="O229" s="7">
        <v>44936</v>
      </c>
      <c r="P229" s="7" t="s">
        <v>926</v>
      </c>
      <c r="Q229" s="18">
        <v>8</v>
      </c>
      <c r="R229" s="18">
        <v>4</v>
      </c>
      <c r="S229" s="18">
        <v>1</v>
      </c>
      <c r="T229" s="4">
        <f>DATE(AI$2,$Q229,1+(($R229-($S229&gt;=WEEKDAY(DATE(AI$2,$Q229,1))))*7)+($S229-WEEKDAY(DATE(AI$2,$Q229,1))))</f>
        <v>45893</v>
      </c>
      <c r="U229" s="4">
        <f>DATE(AJ$2,$Q229,1+(($R229-($S229&gt;=WEEKDAY(DATE(AJ$2,$Q229,1))))*7)+($S229-WEEKDAY(DATE(AJ$2,$Q229,1))))</f>
        <v>46257</v>
      </c>
      <c r="V229" s="20">
        <v>0</v>
      </c>
      <c r="W229" s="20">
        <v>2</v>
      </c>
      <c r="X229" s="4">
        <f ca="1">Y229-(W229-1)</f>
        <v>45892</v>
      </c>
      <c r="Y229" s="5">
        <f ca="1">IF(OR(T229+V229&lt;(NOW()-0.5),ISNUMBER(SEARCH("&lt;h4&gt;",K229))),U229+V229,T229+V229)</f>
        <v>45893</v>
      </c>
      <c r="Z229" t="str">
        <f ca="1">CONCATENATE(IF(OR(Y229=X229,ISBLANK(Y229)),TEXT(X229,"mmmm d"),CONCATENATE(TEXT(X229,"mmmm d"),"-",IF(TEXT(X229,"mmmm")=TEXT(Y229,"mmmm"),TEXT(Y229,"d"),TEXT(Y229,"mmmm d")))),", ",YEAR(Y229))</f>
        <v>August 23-24, 2025</v>
      </c>
      <c r="AA229" s="7">
        <f>O229</f>
        <v>44936</v>
      </c>
      <c r="AB229" s="14">
        <f>T229+V229-(W229-1)</f>
        <v>45892</v>
      </c>
      <c r="AC229" t="s">
        <v>1341</v>
      </c>
      <c r="AD229" s="23" t="str">
        <f ca="1">CONCATENATE("&lt;add-to-calendar-button  name=",CHAR(34),H229,CHAR(34),
IF(ISBLANK(M229),"",CONCATENATE("   location=",CHAR(34),RIGHT(M229,LEN(M229)-SEARCH("|",M229)-1),CHAR(34))),
"   description=",CHAR(34),IF(ISBLANK(I229),"",CONCATENATE(I229,"; ")),"shapenotesingings.com",CHAR(34),
"   options=",CHAR(34),"'Apple','Google','iCal','Outlook.com'",CHAR(34),"   styleLight=",CHAR(34),"--btn-background: #550000; --btn-text: #fff; --btn-shadow:#fff;",CHAR(34),
IF(W229=1,CONCATENATE(
"startDate=",CHAR(34),TEXT(G229,"yyyy-mm-dd"),CHAR(34),
"{endDate=",CHAR(34),TEXT(G229,"yyyy-mm-dd"),CHAR(34),
IF(OR(ISBLANK(AE229),ISBLANK(AF229)),"",(CONCATENATE(" startTime=",CHAR(34),TEXT(AE229,"hh:mm"),CHAR(34)," endTime=",CHAR(34),TEXT(AF229,"h:mm"),CHAR(34),
" timeZone=",CHAR(34),AG229,CHAR(34))))),
IF(W229=2,CONCATENATE(" dates='[{",
CHAR(34),"startDate",CHAR(34),":",CHAR(34),TEXT(G229,"yyyy-mm-dd"),CHAR(34),", ",
,CHAR(34),"endDate",CHAR(34),":",CHAR(34),TEXT(G229,"yyyy-mm-dd"),CHAR(34),
IF(OR(ISBLANK(AE229),ISBLANK(AF229)),"",(CONCATENATE(", ",CHAR(34),"startTime",CHAR(34),":",CHAR(34),TEXT(AE229,"hh:mm"),CHAR(34),", ",CHAR(34),"endTime",CHAR(34),":",CHAR(34),TEXT(AF229,"hh:mm"),CHAR(34),", ",CHAR(34),"timeZone",CHAR(34),":",CHAR(34),AG229,CHAR(34)))),"}, {",
,CHAR(34),"startDate",CHAR(34),":",CHAR(34),TEXT(G229+1,"yyyy-mm-dd"),CHAR(34),", ",
,CHAR(34),"endDate",CHAR(34),":",CHAR(34),TEXT(G229+W229-1,"yyyy-mm-dd"),CHAR(34),
IF(OR(ISBLANK(AE229),ISBLANK(AF229)),"",(CONCATENATE(", ",CHAR(34),"startTime",CHAR(34),":",CHAR(34),TEXT(AE229,"hh:mm"),CHAR(34),", ",CHAR(34),"endTime",CHAR(34),":",CHAR(34),TEXT(AF229,"hh:mm"),CHAR(34),", ",CHAR(34),"timeZone",CHAR(34),":",CHAR(34),AG229,CHAR(34)))),"}]'"),
CONCATENATE(
"{  startDate=",CHAR(34),TEXT(G229,"yyyy-mm-dd"),CHAR(34),
"  endDate=",CHAR(34),TEXT(G229+W229-1,"yyyy-mm-dd"),CHAR(34),"}"))),
" &gt;&lt;/add-to-calendar-button&gt;")</f>
        <v>&lt;add-to-calendar-button  name="Lookout Mountain Convention"   location="34.218083185834935, -85.8574255146684, Pine Grove Church, Collinsville AL 35961"   description="9:30am; shapenotesingings.com"   options="'Apple','Google','iCal','Outlook.com'"   styleLight="--btn-background: #550000; --btn-text: #fff; --btn-shadow:#fff;" dates='[{"startDate":"2025-08-23", "endDate":"2025-08-23", "startTime":"09:30", "endTime":"15:00", "timeZone":"America/Chicago"}, {"startDate":"2025-08-24", "endDate":"2025-08-24", "startTime":"09:30", "endTime":"15:00", "timeZone":"America/Chicago"}]' &gt;&lt;/add-to-calendar-button&gt;</v>
      </c>
      <c r="AE229" s="24">
        <v>0.39583333333333331</v>
      </c>
      <c r="AF229" s="24">
        <v>0.625</v>
      </c>
      <c r="AG229" s="25" t="s">
        <v>1533</v>
      </c>
    </row>
    <row r="230" spans="1:33" x14ac:dyDescent="0.3">
      <c r="A230" t="s">
        <v>8</v>
      </c>
      <c r="B230" t="s">
        <v>250</v>
      </c>
      <c r="C230" t="s">
        <v>1152</v>
      </c>
      <c r="D230" t="s">
        <v>601</v>
      </c>
      <c r="E230" t="s">
        <v>2190</v>
      </c>
      <c r="F230" t="s">
        <v>596</v>
      </c>
      <c r="G230" s="7">
        <f ca="1">X230</f>
        <v>45892</v>
      </c>
      <c r="H230" s="5" t="s">
        <v>600</v>
      </c>
      <c r="I230" t="s">
        <v>1028</v>
      </c>
      <c r="J230" s="36" t="s">
        <v>2852</v>
      </c>
      <c r="L230" t="s">
        <v>2227</v>
      </c>
      <c r="M230" s="16" t="s">
        <v>603</v>
      </c>
      <c r="N230" s="16" t="s">
        <v>604</v>
      </c>
      <c r="O230" s="7">
        <v>44936</v>
      </c>
      <c r="P230" s="7" t="s">
        <v>926</v>
      </c>
      <c r="Q230" s="18">
        <v>8</v>
      </c>
      <c r="R230" s="18">
        <v>4</v>
      </c>
      <c r="S230" s="18">
        <v>1</v>
      </c>
      <c r="T230" s="4">
        <f>DATE(AI$2,$Q230,1+(($R230-($S230&gt;=WEEKDAY(DATE(AI$2,$Q230,1))))*7)+($S230-WEEKDAY(DATE(AI$2,$Q230,1))))</f>
        <v>45893</v>
      </c>
      <c r="U230" s="4">
        <f>DATE(AJ$2,$Q230,1+(($R230-($S230&gt;=WEEKDAY(DATE(AJ$2,$Q230,1))))*7)+($S230-WEEKDAY(DATE(AJ$2,$Q230,1))))</f>
        <v>46257</v>
      </c>
      <c r="V230" s="20">
        <v>0</v>
      </c>
      <c r="W230" s="20">
        <v>2</v>
      </c>
      <c r="X230" s="4">
        <f ca="1">Y230-(W230-1)</f>
        <v>45892</v>
      </c>
      <c r="Y230" s="5">
        <f ca="1">IF(OR(T230+V230&lt;(NOW()-0.5),ISNUMBER(SEARCH("&lt;h4&gt;",K230))),U230+V230,T230+V230)</f>
        <v>45893</v>
      </c>
      <c r="Z230" t="str">
        <f ca="1">CONCATENATE(IF(OR(Y230=X230,ISBLANK(Y230)),TEXT(X230,"mmmm d"),CONCATENATE(TEXT(X230,"mmmm d"),"-",IF(TEXT(X230,"mmmm")=TEXT(Y230,"mmmm"),TEXT(Y230,"d"),TEXT(Y230,"mmmm d")))),", ",YEAR(Y230))</f>
        <v>August 23-24, 2025</v>
      </c>
      <c r="AA230" s="7">
        <f>O230</f>
        <v>44936</v>
      </c>
      <c r="AB230" s="14">
        <f>T230+V230-(W230-1)</f>
        <v>45892</v>
      </c>
      <c r="AC230" t="s">
        <v>1343</v>
      </c>
      <c r="AD230" s="23" t="str">
        <f ca="1">CONCATENATE("&lt;add-to-calendar-button  name=",CHAR(34),H230,CHAR(34),
IF(ISBLANK(M230),"",CONCATENATE("   location=",CHAR(34),RIGHT(M230,LEN(M230)-SEARCH("|",M230)-1),CHAR(34))),
"   description=",CHAR(34),IF(ISBLANK(I230),"",CONCATENATE(I230,"; ")),"shapenotesingings.com",CHAR(34),
"   options=",CHAR(34),"'Apple','Google','iCal','Outlook.com'",CHAR(34),"   styleLight=",CHAR(34),"--btn-background: #550000; --btn-text: #fff; --btn-shadow:#fff;",CHAR(34),
IF(W230=1,CONCATENATE(
"startDate=",CHAR(34),TEXT(G230,"yyyy-mm-dd"),CHAR(34),
"{endDate=",CHAR(34),TEXT(G230,"yyyy-mm-dd"),CHAR(34),
IF(OR(ISBLANK(AE230),ISBLANK(AF230)),"",(CONCATENATE(" startTime=",CHAR(34),TEXT(AE230,"hh:mm"),CHAR(34)," endTime=",CHAR(34),TEXT(AF230,"h:mm"),CHAR(34),
" timeZone=",CHAR(34),AG230,CHAR(34))))),
IF(W230=2,CONCATENATE(" dates='[{",
CHAR(34),"startDate",CHAR(34),":",CHAR(34),TEXT(G230,"yyyy-mm-dd"),CHAR(34),", ",
,CHAR(34),"endDate",CHAR(34),":",CHAR(34),TEXT(G230,"yyyy-mm-dd"),CHAR(34),
IF(OR(ISBLANK(AE230),ISBLANK(AF230)),"",(CONCATENATE(", ",CHAR(34),"startTime",CHAR(34),":",CHAR(34),TEXT(AE230,"hh:mm"),CHAR(34),", ",CHAR(34),"endTime",CHAR(34),":",CHAR(34),TEXT(AF230,"hh:mm"),CHAR(34),", ",CHAR(34),"timeZone",CHAR(34),":",CHAR(34),AG230,CHAR(34)))),"}, {",
,CHAR(34),"startDate",CHAR(34),":",CHAR(34),TEXT(G230+1,"yyyy-mm-dd"),CHAR(34),", ",
,CHAR(34),"endDate",CHAR(34),":",CHAR(34),TEXT(G230+W230-1,"yyyy-mm-dd"),CHAR(34),
IF(OR(ISBLANK(AE230),ISBLANK(AF230)),"",(CONCATENATE(", ",CHAR(34),"startTime",CHAR(34),":",CHAR(34),TEXT(AE230,"hh:mm"),CHAR(34),", ",CHAR(34),"endTime",CHAR(34),":",CHAR(34),TEXT(AF230,"hh:mm"),CHAR(34),", ",CHAR(34),"timeZone",CHAR(34),":",CHAR(34),AG230,CHAR(34)))),"}]'"),
CONCATENATE(
"{  startDate=",CHAR(34),TEXT(G230,"yyyy-mm-dd"),CHAR(34),
"  endDate=",CHAR(34),TEXT(G230+W230-1,"yyyy-mm-dd"),CHAR(34),"}"))),
" &gt;&lt;/add-to-calendar-button&gt;")</f>
        <v>&lt;add-to-calendar-button  name="Mississippi State Convention"   location="Antioch Primitive Baptist Church, 6931 MS-21, Forest, MS 39074"   description="10am; shapenotesingings.com"   options="'Apple','Google','iCal','Outlook.com'"   styleLight="--btn-background: #550000; --btn-text: #fff; --btn-shadow:#fff;" dates='[{"startDate":"2025-08-23", "endDate":"2025-08-23", "startTime":"10:00", "endTime":"15:00", "timeZone":"America/Chicago"}, {"startDate":"2025-08-24", "endDate":"2025-08-24", "startTime":"10:00", "endTime":"15:00", "timeZone":"America/Chicago"}]' &gt;&lt;/add-to-calendar-button&gt;</v>
      </c>
      <c r="AE230" s="24">
        <v>0.41666666666666669</v>
      </c>
      <c r="AF230" s="24">
        <v>0.625</v>
      </c>
      <c r="AG230" s="25" t="s">
        <v>1533</v>
      </c>
    </row>
    <row r="231" spans="1:33" ht="13.8" customHeight="1" x14ac:dyDescent="0.3">
      <c r="A231" t="s">
        <v>8</v>
      </c>
      <c r="B231" t="s">
        <v>151</v>
      </c>
      <c r="C231" t="s">
        <v>1137</v>
      </c>
      <c r="D231" t="s">
        <v>152</v>
      </c>
      <c r="E231" t="s">
        <v>2178</v>
      </c>
      <c r="F231" t="s">
        <v>596</v>
      </c>
      <c r="G231" s="7">
        <f ca="1">X231</f>
        <v>45892</v>
      </c>
      <c r="H231" s="5" t="s">
        <v>597</v>
      </c>
      <c r="I231" t="s">
        <v>1121</v>
      </c>
      <c r="J231" s="36" t="s">
        <v>2853</v>
      </c>
      <c r="L231" t="s">
        <v>979</v>
      </c>
      <c r="M231" s="16" t="s">
        <v>149</v>
      </c>
      <c r="N231" s="16" t="s">
        <v>150</v>
      </c>
      <c r="O231" s="7">
        <v>44936</v>
      </c>
      <c r="P231" s="7" t="s">
        <v>926</v>
      </c>
      <c r="Q231" s="18">
        <v>8</v>
      </c>
      <c r="R231" s="18">
        <v>4</v>
      </c>
      <c r="S231" s="18">
        <v>1</v>
      </c>
      <c r="T231" s="4">
        <f>DATE(AI$2,$Q231,1+(($R231-($S231&gt;=WEEKDAY(DATE(AI$2,$Q231,1))))*7)+($S231-WEEKDAY(DATE(AI$2,$Q231,1))))</f>
        <v>45893</v>
      </c>
      <c r="U231" s="4">
        <f>DATE(AJ$2,$Q231,1+(($R231-($S231&gt;=WEEKDAY(DATE(AJ$2,$Q231,1))))*7)+($S231-WEEKDAY(DATE(AJ$2,$Q231,1))))</f>
        <v>46257</v>
      </c>
      <c r="V231" s="20">
        <v>0</v>
      </c>
      <c r="W231" s="20">
        <v>2</v>
      </c>
      <c r="X231" s="4">
        <f ca="1">Y231-(W231-1)</f>
        <v>45892</v>
      </c>
      <c r="Y231" s="5">
        <f ca="1">IF(OR(T231+V231&lt;(NOW()-0.5),ISNUMBER(SEARCH("&lt;h4&gt;",K231))),U231+V231,T231+V231)</f>
        <v>45893</v>
      </c>
      <c r="Z231" t="str">
        <f ca="1">CONCATENATE(IF(OR(Y231=X231,ISBLANK(Y231)),TEXT(X231,"mmmm d"),CONCATENATE(TEXT(X231,"mmmm d"),"-",IF(TEXT(X231,"mmmm")=TEXT(Y231,"mmmm"),TEXT(Y231,"d"),TEXT(Y231,"mmmm d")))),", ",YEAR(Y231))</f>
        <v>August 23-24, 2025</v>
      </c>
      <c r="AA231" s="7">
        <f>O231</f>
        <v>44936</v>
      </c>
      <c r="AB231" s="14">
        <f>T231+V231-(W231-1)</f>
        <v>45892</v>
      </c>
      <c r="AC231" t="s">
        <v>1342</v>
      </c>
      <c r="AD231" s="23" t="str">
        <f ca="1">CONCATENATE("&lt;add-to-calendar-button  name=",CHAR(34),H231,CHAR(34),
IF(ISBLANK(M231),"",CONCATENATE("   location=",CHAR(34),RIGHT(M231,LEN(M231)-SEARCH("|",M231)-1),CHAR(34))),
"   description=",CHAR(34),IF(ISBLANK(I231),"",CONCATENATE(I231,"; ")),"shapenotesingings.com",CHAR(34),
"   options=",CHAR(34),"'Apple','Google','iCal','Outlook.com'",CHAR(34),"   styleLight=",CHAR(34),"--btn-background: #550000; --btn-text: #fff; --btn-shadow:#fff;",CHAR(34),
IF(W231=1,CONCATENATE(
"startDate=",CHAR(34),TEXT(G231,"yyyy-mm-dd"),CHAR(34),
"{endDate=",CHAR(34),TEXT(G231,"yyyy-mm-dd"),CHAR(34),
IF(OR(ISBLANK(AE231),ISBLANK(AF231)),"",(CONCATENATE(" startTime=",CHAR(34),TEXT(AE231,"hh:mm"),CHAR(34)," endTime=",CHAR(34),TEXT(AF231,"h:mm"),CHAR(34),
" timeZone=",CHAR(34),AG231,CHAR(34))))),
IF(W231=2,CONCATENATE(" dates='[{",
CHAR(34),"startDate",CHAR(34),":",CHAR(34),TEXT(G231,"yyyy-mm-dd"),CHAR(34),", ",
,CHAR(34),"endDate",CHAR(34),":",CHAR(34),TEXT(G231,"yyyy-mm-dd"),CHAR(34),
IF(OR(ISBLANK(AE231),ISBLANK(AF231)),"",(CONCATENATE(", ",CHAR(34),"startTime",CHAR(34),":",CHAR(34),TEXT(AE231,"hh:mm"),CHAR(34),", ",CHAR(34),"endTime",CHAR(34),":",CHAR(34),TEXT(AF231,"hh:mm"),CHAR(34),", ",CHAR(34),"timeZone",CHAR(34),":",CHAR(34),AG231,CHAR(34)))),"}, {",
,CHAR(34),"startDate",CHAR(34),":",CHAR(34),TEXT(G231+1,"yyyy-mm-dd"),CHAR(34),", ",
,CHAR(34),"endDate",CHAR(34),":",CHAR(34),TEXT(G231+W231-1,"yyyy-mm-dd"),CHAR(34),
IF(OR(ISBLANK(AE231),ISBLANK(AF231)),"",(CONCATENATE(", ",CHAR(34),"startTime",CHAR(34),":",CHAR(34),TEXT(AE231,"hh:mm"),CHAR(34),", ",CHAR(34),"endTime",CHAR(34),":",CHAR(34),TEXT(AF231,"hh:mm"),CHAR(34),", ",CHAR(34),"timeZone",CHAR(34),":",CHAR(34),AG231,CHAR(34)))),"}]'"),
CONCATENATE(
"{  startDate=",CHAR(34),TEXT(G231,"yyyy-mm-dd"),CHAR(34),
"  endDate=",CHAR(34),TEXT(G231+W231-1,"yyyy-mm-dd"),CHAR(34),"}"))),
" &gt;&lt;/add-to-calendar-button&gt;")</f>
        <v>&lt;add-to-calendar-button  name="Palo Alto Singing, Marian Bush Memorial"   location="Unitarian Universalist Church of Palo Alto, 505 E Charleston Rd, Palo Alto, CA 94306"   description="Saturday 10am-4pm, Sunday 1pm-4pm; shapenotesingings.com"   options="'Apple','Google','iCal','Outlook.com'"   styleLight="--btn-background: #550000; --btn-text: #fff; --btn-shadow:#fff;" dates='[{"startDate":"2025-08-23", "endDate":"2025-08-23", "startTime":"10:00", "endTime":"15:30", "timeZone":"America/Los_Angeles"}, {"startDate":"2025-08-24", "endDate":"2025-08-24", "startTime":"10:00", "endTime":"15:30", "timeZone":"America/Los_Angeles"}]' &gt;&lt;/add-to-calendar-button&gt;</v>
      </c>
      <c r="AE231" s="24">
        <v>0.41666666666666669</v>
      </c>
      <c r="AF231" s="24">
        <v>0.64583333333333337</v>
      </c>
      <c r="AG231" s="25" t="s">
        <v>1534</v>
      </c>
    </row>
    <row r="232" spans="1:33" x14ac:dyDescent="0.3">
      <c r="A232" t="s">
        <v>8</v>
      </c>
      <c r="B232" t="s">
        <v>291</v>
      </c>
      <c r="C232" t="s">
        <v>1163</v>
      </c>
      <c r="D232" t="s">
        <v>1603</v>
      </c>
      <c r="E232" t="s">
        <v>2176</v>
      </c>
      <c r="F232" t="s">
        <v>605</v>
      </c>
      <c r="G232" s="7">
        <f ca="1">X232</f>
        <v>45892</v>
      </c>
      <c r="H232" s="5" t="s">
        <v>598</v>
      </c>
      <c r="I232" t="s">
        <v>1039</v>
      </c>
      <c r="J232" s="36" t="s">
        <v>2854</v>
      </c>
      <c r="K232" t="s">
        <v>2100</v>
      </c>
      <c r="L232" t="s">
        <v>2099</v>
      </c>
      <c r="M232" s="16" t="s">
        <v>1601</v>
      </c>
      <c r="N232" s="16" t="s">
        <v>1602</v>
      </c>
      <c r="O232" s="7">
        <v>45437</v>
      </c>
      <c r="P232" s="7" t="s">
        <v>2101</v>
      </c>
      <c r="Q232" s="18">
        <v>8</v>
      </c>
      <c r="R232" s="18">
        <v>4</v>
      </c>
      <c r="S232" s="18">
        <v>1</v>
      </c>
      <c r="T232" s="4">
        <f>DATE(AI$2,$Q232,1+(($R232-($S232&gt;=WEEKDAY(DATE(AI$2,$Q232,1))))*7)+($S232-WEEKDAY(DATE(AI$2,$Q232,1))))</f>
        <v>45893</v>
      </c>
      <c r="U232" s="4">
        <f>DATE(AJ$2,$Q232,1+(($R232-($S232&gt;=WEEKDAY(DATE(AJ$2,$Q232,1))))*7)+($S232-WEEKDAY(DATE(AJ$2,$Q232,1))))</f>
        <v>46257</v>
      </c>
      <c r="V232" s="20">
        <v>-1</v>
      </c>
      <c r="W232" s="20">
        <v>1</v>
      </c>
      <c r="X232" s="4">
        <f ca="1">Y232-(W232-1)</f>
        <v>45892</v>
      </c>
      <c r="Y232" s="5">
        <f ca="1">IF(OR(T232+V232&lt;(NOW()-0.5),ISNUMBER(SEARCH("&lt;h4&gt;",K232))),U232+V232,T232+V232)</f>
        <v>45892</v>
      </c>
      <c r="Z232" t="str">
        <f ca="1">CONCATENATE(IF(OR(Y232=X232,ISBLANK(Y232)),TEXT(X232,"mmmm d"),CONCATENATE(TEXT(X232,"mmmm d"),"-",IF(TEXT(X232,"mmmm")=TEXT(Y232,"mmmm"),TEXT(Y232,"d"),TEXT(Y232,"mmmm d")))),", ",YEAR(Y232))</f>
        <v>August 23, 2025</v>
      </c>
      <c r="AA232" s="7">
        <f>O232</f>
        <v>45437</v>
      </c>
      <c r="AB232" s="14">
        <f>T232+V232-(W232-1)</f>
        <v>45892</v>
      </c>
      <c r="AC232" t="s">
        <v>1604</v>
      </c>
      <c r="AD232" s="23" t="str">
        <f ca="1">CONCATENATE("&lt;add-to-calendar-button  name=",CHAR(34),H232,CHAR(34),
IF(ISBLANK(M232),"",CONCATENATE("   location=",CHAR(34),RIGHT(M232,LEN(M232)-SEARCH("|",M232)-1),CHAR(34))),
"   description=",CHAR(34),IF(ISBLANK(I232),"",CONCATENATE(I232,"; ")),"shapenotesingings.com",CHAR(34),
"   options=",CHAR(34),"'Apple','Google','iCal','Outlook.com'",CHAR(34),"   styleLight=",CHAR(34),"--btn-background: #550000; --btn-text: #fff; --btn-shadow:#fff;",CHAR(34),
IF(W232=1,CONCATENATE(
"startDate=",CHAR(34),TEXT(G232,"yyyy-mm-dd"),CHAR(34),
"{endDate=",CHAR(34),TEXT(G232,"yyyy-mm-dd"),CHAR(34),
IF(OR(ISBLANK(AE232),ISBLANK(AF232)),"",(CONCATENATE(" startTime=",CHAR(34),TEXT(AE232,"hh:mm"),CHAR(34)," endTime=",CHAR(34),TEXT(AF232,"h:mm"),CHAR(34),
" timeZone=",CHAR(34),AG232,CHAR(34))))),
IF(W232=2,CONCATENATE(" dates='[{",
CHAR(34),"startDate",CHAR(34),":",CHAR(34),TEXT(G232,"yyyy-mm-dd"),CHAR(34),", ",
,CHAR(34),"endDate",CHAR(34),":",CHAR(34),TEXT(G232,"yyyy-mm-dd"),CHAR(34),
IF(OR(ISBLANK(AE232),ISBLANK(AF232)),"",(CONCATENATE(", ",CHAR(34),"startTime",CHAR(34),":",CHAR(34),TEXT(AE232,"hh:mm"),CHAR(34),", ",CHAR(34),"endTime",CHAR(34),":",CHAR(34),TEXT(AF232,"hh:mm"),CHAR(34),", ",CHAR(34),"timeZone",CHAR(34),":",CHAR(34),AG232,CHAR(34)))),"}, {",
,CHAR(34),"startDate",CHAR(34),":",CHAR(34),TEXT(G232+1,"yyyy-mm-dd"),CHAR(34),", ",
,CHAR(34),"endDate",CHAR(34),":",CHAR(34),TEXT(G232+W232-1,"yyyy-mm-dd"),CHAR(34),
IF(OR(ISBLANK(AE232),ISBLANK(AF232)),"",(CONCATENATE(", ",CHAR(34),"startTime",CHAR(34),":",CHAR(34),TEXT(AE232,"hh:mm"),CHAR(34),", ",CHAR(34),"endTime",CHAR(34),":",CHAR(34),TEXT(AF232,"hh:mm"),CHAR(34),", ",CHAR(34),"timeZone",CHAR(34),":",CHAR(34),AG232,CHAR(34)))),"}]'"),
CONCATENATE(
"{  startDate=",CHAR(34),TEXT(G232,"yyyy-mm-dd"),CHAR(34),
"  endDate=",CHAR(34),TEXT(G232+W232-1,"yyyy-mm-dd"),CHAR(34),"}"))),
" &gt;&lt;/add-to-calendar-button&gt;")</f>
        <v>&lt;add-to-calendar-button  name="Floyd County All-Day Singing"   location="Springhouse Community School, 144 Silver Maple Ln NE, Pilot, VA 24138"   description="10am-3:30pm; shapenotesingings.com"   options="'Apple','Google','iCal','Outlook.com'"   styleLight="--btn-background: #550000; --btn-text: #fff; --btn-shadow:#fff;"startDate="2025-08-23"{endDate="2025-08-23" startTime="10:00" endTime="15:30" timeZone="America/New_York" &gt;&lt;/add-to-calendar-button&gt;</v>
      </c>
      <c r="AE232" s="24">
        <v>0.41666666666666669</v>
      </c>
      <c r="AF232" s="24">
        <v>0.64583333333333337</v>
      </c>
      <c r="AG232" s="25" t="s">
        <v>1532</v>
      </c>
    </row>
    <row r="233" spans="1:33" x14ac:dyDescent="0.3">
      <c r="A233" t="s">
        <v>824</v>
      </c>
      <c r="B233" t="s">
        <v>825</v>
      </c>
      <c r="D233" t="s">
        <v>826</v>
      </c>
      <c r="E233" t="s">
        <v>2177</v>
      </c>
      <c r="F233" t="s">
        <v>596</v>
      </c>
      <c r="G233" s="7">
        <f ca="1">X233</f>
        <v>45892</v>
      </c>
      <c r="H233" s="5" t="s">
        <v>827</v>
      </c>
      <c r="I233" t="s">
        <v>1684</v>
      </c>
      <c r="J233" s="36" t="s">
        <v>2855</v>
      </c>
      <c r="K233" t="s">
        <v>2169</v>
      </c>
      <c r="L233" t="s">
        <v>2480</v>
      </c>
      <c r="M233" s="16" t="s">
        <v>2242</v>
      </c>
      <c r="N233" s="16" t="s">
        <v>2243</v>
      </c>
      <c r="O233" s="7">
        <v>45531</v>
      </c>
      <c r="P233" s="7" t="s">
        <v>946</v>
      </c>
      <c r="Q233" s="18">
        <v>8</v>
      </c>
      <c r="R233" s="18">
        <v>4</v>
      </c>
      <c r="S233" s="18">
        <v>1</v>
      </c>
      <c r="T233" s="4">
        <f>DATE(AI$2,$Q233,1+(($R233-($S233&gt;=WEEKDAY(DATE(AI$2,$Q233,1))))*7)+($S233-WEEKDAY(DATE(AI$2,$Q233,1))))</f>
        <v>45893</v>
      </c>
      <c r="U233" s="4">
        <f>DATE(AJ$2,$Q233,1+(($R233-($S233&gt;=WEEKDAY(DATE(AJ$2,$Q233,1))))*7)+($S233-WEEKDAY(DATE(AJ$2,$Q233,1))))</f>
        <v>46257</v>
      </c>
      <c r="V233" s="20">
        <v>0</v>
      </c>
      <c r="W233" s="20">
        <v>2</v>
      </c>
      <c r="X233" s="4">
        <f ca="1">Y233-(W233-1)</f>
        <v>45892</v>
      </c>
      <c r="Y233" s="5">
        <f ca="1">IF(OR(T233+V233&lt;(NOW()-0.5),ISNUMBER(SEARCH("&lt;h4&gt;",K233))),U233+V233,T233+V233)</f>
        <v>45893</v>
      </c>
      <c r="Z233" t="str">
        <f ca="1">CONCATENATE(IF(OR(Y233=X233,ISBLANK(Y233)),TEXT(X233,"mmmm d"),CONCATENATE(TEXT(X233,"mmmm d"),"-",IF(TEXT(X233,"mmmm")=TEXT(Y233,"mmmm"),TEXT(Y233,"d"),TEXT(Y233,"mmmm d")))),", ",YEAR(Y233))</f>
        <v>August 23-24, 2025</v>
      </c>
      <c r="AA233" s="7">
        <f>O233</f>
        <v>45531</v>
      </c>
      <c r="AB233" s="14">
        <f>T233+V233-(W233-1)</f>
        <v>45892</v>
      </c>
      <c r="AC233" t="s">
        <v>2244</v>
      </c>
      <c r="AD233" s="23" t="str">
        <f ca="1">CONCATENATE("&lt;add-to-calendar-button  name=",CHAR(34),H233,CHAR(34),
IF(ISBLANK(M233),"",CONCATENATE("   location=",CHAR(34),RIGHT(M233,LEN(M233)-SEARCH("|",M233)-1),CHAR(34))),
"   description=",CHAR(34),IF(ISBLANK(I233),"",CONCATENATE(I233,"; ")),"shapenotesingings.com",CHAR(34),
"   options=",CHAR(34),"'Apple','Google','iCal','Outlook.com'",CHAR(34),"   styleLight=",CHAR(34),"--btn-background: #550000; --btn-text: #fff; --btn-shadow:#fff;",CHAR(34),
IF(W233=1,CONCATENATE(
"startDate=",CHAR(34),TEXT(G233,"yyyy-mm-dd"),CHAR(34),
"{endDate=",CHAR(34),TEXT(G233,"yyyy-mm-dd"),CHAR(34),
IF(OR(ISBLANK(AE233),ISBLANK(AF233)),"",(CONCATENATE(" startTime=",CHAR(34),TEXT(AE233,"hh:mm"),CHAR(34)," endTime=",CHAR(34),TEXT(AF233,"h:mm"),CHAR(34),
" timeZone=",CHAR(34),AG233,CHAR(34))))),
IF(W233=2,CONCATENATE(" dates='[{",
CHAR(34),"startDate",CHAR(34),":",CHAR(34),TEXT(G233,"yyyy-mm-dd"),CHAR(34),", ",
,CHAR(34),"endDate",CHAR(34),":",CHAR(34),TEXT(G233,"yyyy-mm-dd"),CHAR(34),
IF(OR(ISBLANK(AE233),ISBLANK(AF233)),"",(CONCATENATE(", ",CHAR(34),"startTime",CHAR(34),":",CHAR(34),TEXT(AE233,"hh:mm"),CHAR(34),", ",CHAR(34),"endTime",CHAR(34),":",CHAR(34),TEXT(AF233,"hh:mm"),CHAR(34),", ",CHAR(34),"timeZone",CHAR(34),":",CHAR(34),AG233,CHAR(34)))),"}, {",
,CHAR(34),"startDate",CHAR(34),":",CHAR(34),TEXT(G233+1,"yyyy-mm-dd"),CHAR(34),", ",
,CHAR(34),"endDate",CHAR(34),":",CHAR(34),TEXT(G233+W233-1,"yyyy-mm-dd"),CHAR(34),
IF(OR(ISBLANK(AE233),ISBLANK(AF233)),"",(CONCATENATE(", ",CHAR(34),"startTime",CHAR(34),":",CHAR(34),TEXT(AE233,"hh:mm"),CHAR(34),", ",CHAR(34),"endTime",CHAR(34),":",CHAR(34),TEXT(AF233,"hh:mm"),CHAR(34),", ",CHAR(34),"timeZone",CHAR(34),":",CHAR(34),AG233,CHAR(34)))),"}]'"),
CONCATENATE(
"{  startDate=",CHAR(34),TEXT(G233,"yyyy-mm-dd"),CHAR(34),
"  endDate=",CHAR(34),TEXT(G233+W233-1,"yyyy-mm-dd"),CHAR(34),"}"))),
" &gt;&lt;/add-to-calendar-button&gt;")</f>
        <v>&lt;add-to-calendar-button  name="Cork Singing"   location="Saint Fin Barre’s Cathedral Hall, 9 Dean Street
Cork, T12 P3Y8, Ireland "   description="10am-4:30pm; shapenotesingings.com"   options="'Apple','Google','iCal','Outlook.com'"   styleLight="--btn-background: #550000; --btn-text: #fff; --btn-shadow:#fff;" dates='[{"startDate":"2025-08-23", "endDate":"2025-08-23", "startTime":"10:00", "endTime":"16:30", "timeZone":"Europe/London"}, {"startDate":"2025-08-24", "endDate":"2025-08-24", "startTime":"10:00", "endTime":"16:30", "timeZone":"Europe/London"}]' &gt;&lt;/add-to-calendar-button&gt;</v>
      </c>
      <c r="AE233" s="24">
        <v>0.41666666666666669</v>
      </c>
      <c r="AF233" s="24">
        <v>0.6875</v>
      </c>
      <c r="AG233" s="25" t="s">
        <v>1535</v>
      </c>
    </row>
    <row r="234" spans="1:33" x14ac:dyDescent="0.3">
      <c r="A234" t="s">
        <v>8</v>
      </c>
      <c r="B234" t="s">
        <v>17</v>
      </c>
      <c r="C234" t="s">
        <v>1140</v>
      </c>
      <c r="D234" t="s">
        <v>792</v>
      </c>
      <c r="E234" t="s">
        <v>1435</v>
      </c>
      <c r="F234" t="s">
        <v>793</v>
      </c>
      <c r="G234" s="7">
        <f ca="1">X234</f>
        <v>45893</v>
      </c>
      <c r="H234" s="5" t="s">
        <v>794</v>
      </c>
      <c r="I234" t="s">
        <v>1028</v>
      </c>
      <c r="J234" s="36" t="s">
        <v>2615</v>
      </c>
      <c r="L234" t="s">
        <v>986</v>
      </c>
      <c r="M234" s="16" t="s">
        <v>795</v>
      </c>
      <c r="N234" s="16" t="s">
        <v>796</v>
      </c>
      <c r="O234" s="7">
        <v>44927</v>
      </c>
      <c r="P234" s="7" t="s">
        <v>934</v>
      </c>
      <c r="Q234" s="18">
        <v>8</v>
      </c>
      <c r="R234" s="18">
        <v>4</v>
      </c>
      <c r="S234" s="18">
        <v>1</v>
      </c>
      <c r="T234" s="4">
        <f>DATE(AI$2,$Q234,1+(($R234-($S234&gt;=WEEKDAY(DATE(AI$2,$Q234,1))))*7)+($S234-WEEKDAY(DATE(AI$2,$Q234,1))))</f>
        <v>45893</v>
      </c>
      <c r="U234" s="4">
        <f>DATE(AJ$2,$Q234,1+(($R234-($S234&gt;=WEEKDAY(DATE(AJ$2,$Q234,1))))*7)+($S234-WEEKDAY(DATE(AJ$2,$Q234,1))))</f>
        <v>46257</v>
      </c>
      <c r="V234" s="20">
        <v>0</v>
      </c>
      <c r="W234" s="20">
        <v>1</v>
      </c>
      <c r="X234" s="4">
        <f ca="1">Y234-(W234-1)</f>
        <v>45893</v>
      </c>
      <c r="Y234" s="5">
        <f ca="1">IF(OR(T234+V234&lt;(NOW()-0.5),ISNUMBER(SEARCH("&lt;h4&gt;",K234))),U234+V234,T234+V234)</f>
        <v>45893</v>
      </c>
      <c r="Z234" t="str">
        <f ca="1">CONCATENATE(IF(OR(Y234=X234,ISBLANK(Y234)),TEXT(X234,"mmmm d"),CONCATENATE(TEXT(X234,"mmmm d"),"-",IF(TEXT(X234,"mmmm")=TEXT(Y234,"mmmm"),TEXT(Y234,"d"),TEXT(Y234,"mmmm d")))),", ",YEAR(Y234))</f>
        <v>August 24, 2025</v>
      </c>
      <c r="AA234" s="7">
        <f>O234</f>
        <v>44927</v>
      </c>
      <c r="AB234" s="14">
        <f>T234+V234-(W234-1)</f>
        <v>45893</v>
      </c>
      <c r="AC234" t="s">
        <v>1344</v>
      </c>
      <c r="AD234" s="23" t="str">
        <f ca="1">CONCATENATE("&lt;add-to-calendar-button  name=",CHAR(34),H234,CHAR(34),
IF(ISBLANK(M234),"",CONCATENATE("   location=",CHAR(34),RIGHT(M234,LEN(M234)-SEARCH("|",M234)-1),CHAR(34))),
"   description=",CHAR(34),IF(ISBLANK(I234),"",CONCATENATE(I234,"; ")),"shapenotesingings.com",CHAR(34),
"   options=",CHAR(34),"'Apple','Google','iCal','Outlook.com'",CHAR(34),"   styleLight=",CHAR(34),"--btn-background: #550000; --btn-text: #fff; --btn-shadow:#fff;",CHAR(34),
IF(W234=1,CONCATENATE(
"startDate=",CHAR(34),TEXT(G234,"yyyy-mm-dd"),CHAR(34),
"{endDate=",CHAR(34),TEXT(G234,"yyyy-mm-dd"),CHAR(34),
IF(OR(ISBLANK(AE234),ISBLANK(AF234)),"",(CONCATENATE(" startTime=",CHAR(34),TEXT(AE234,"hh:mm"),CHAR(34)," endTime=",CHAR(34),TEXT(AF234,"h:mm"),CHAR(34),
" timeZone=",CHAR(34),AG234,CHAR(34))))),
IF(W234=2,CONCATENATE(" dates='[{",
CHAR(34),"startDate",CHAR(34),":",CHAR(34),TEXT(G234,"yyyy-mm-dd"),CHAR(34),", ",
,CHAR(34),"endDate",CHAR(34),":",CHAR(34),TEXT(G234,"yyyy-mm-dd"),CHAR(34),
IF(OR(ISBLANK(AE234),ISBLANK(AF234)),"",(CONCATENATE(", ",CHAR(34),"startTime",CHAR(34),":",CHAR(34),TEXT(AE234,"hh:mm"),CHAR(34),", ",CHAR(34),"endTime",CHAR(34),":",CHAR(34),TEXT(AF234,"hh:mm"),CHAR(34),", ",CHAR(34),"timeZone",CHAR(34),":",CHAR(34),AG234,CHAR(34)))),"}, {",
,CHAR(34),"startDate",CHAR(34),":",CHAR(34),TEXT(G234+1,"yyyy-mm-dd"),CHAR(34),", ",
,CHAR(34),"endDate",CHAR(34),":",CHAR(34),TEXT(G234+W234-1,"yyyy-mm-dd"),CHAR(34),
IF(OR(ISBLANK(AE234),ISBLANK(AF234)),"",(CONCATENATE(", ",CHAR(34),"startTime",CHAR(34),":",CHAR(34),TEXT(AE234,"hh:mm"),CHAR(34),", ",CHAR(34),"endTime",CHAR(34),":",CHAR(34),TEXT(AF234,"hh:mm"),CHAR(34),", ",CHAR(34),"timeZone",CHAR(34),":",CHAR(34),AG234,CHAR(34)))),"}]'"),
CONCATENATE(
"{  startDate=",CHAR(34),TEXT(G234,"yyyy-mm-dd"),CHAR(34),
"  endDate=",CHAR(34),TEXT(G234+W234-1,"yyyy-mm-dd"),CHAR(34),"}"))),
" &gt;&lt;/add-to-calendar-button&gt;")</f>
        <v>&lt;add-to-calendar-button  name="Tickanetly Primitive Baptist Church Singing"   location="Tickanetley Primitive Baptist Church, 122 Tickanetley Rd, Ellijay, GA 30536"   description="10am; shapenotesingings.com"   options="'Apple','Google','iCal','Outlook.com'"   styleLight="--btn-background: #550000; --btn-text: #fff; --btn-shadow:#fff;"startDate="2025-08-24"{endDate="2025-08-24" startTime="10:00" endTime="15:00" timeZone="America/New_York" &gt;&lt;/add-to-calendar-button&gt;</v>
      </c>
      <c r="AE234" s="24">
        <v>0.41666666666666669</v>
      </c>
      <c r="AF234" s="24">
        <v>0.625</v>
      </c>
      <c r="AG234" s="25" t="s">
        <v>1532</v>
      </c>
    </row>
    <row r="235" spans="1:33" x14ac:dyDescent="0.3">
      <c r="A235" t="s">
        <v>8</v>
      </c>
      <c r="B235" t="s">
        <v>176</v>
      </c>
      <c r="C235" t="s">
        <v>1157</v>
      </c>
      <c r="D235" t="s">
        <v>610</v>
      </c>
      <c r="E235" t="s">
        <v>2178</v>
      </c>
      <c r="F235" t="s">
        <v>889</v>
      </c>
      <c r="G235" s="7">
        <f ca="1">X235</f>
        <v>45899</v>
      </c>
      <c r="H235" s="5" t="s">
        <v>1653</v>
      </c>
      <c r="I235" t="s">
        <v>1039</v>
      </c>
      <c r="J235" s="36" t="s">
        <v>2856</v>
      </c>
      <c r="L235" t="s">
        <v>2158</v>
      </c>
      <c r="M235" s="16" t="s">
        <v>611</v>
      </c>
      <c r="N235" s="16" t="s">
        <v>612</v>
      </c>
      <c r="O235" s="7">
        <v>44936</v>
      </c>
      <c r="P235" s="7" t="s">
        <v>926</v>
      </c>
      <c r="Q235" s="18">
        <v>9</v>
      </c>
      <c r="R235" s="18">
        <v>1</v>
      </c>
      <c r="S235" s="18">
        <v>2</v>
      </c>
      <c r="T235" s="4">
        <f>DATE(AI$2,$Q235,1+(($R235-($S235&gt;=WEEKDAY(DATE(AI$2,$Q235,1))))*7)+($S235-WEEKDAY(DATE(AI$2,$Q235,1))))</f>
        <v>45901</v>
      </c>
      <c r="U235" s="4">
        <f>DATE(AJ$2,$Q235,1+(($R235-($S235&gt;=WEEKDAY(DATE(AJ$2,$Q235,1))))*7)+($S235-WEEKDAY(DATE(AJ$2,$Q235,1))))</f>
        <v>46272</v>
      </c>
      <c r="V235" s="20">
        <v>-2</v>
      </c>
      <c r="W235" s="20">
        <v>1</v>
      </c>
      <c r="X235" s="4">
        <f ca="1">Y235-(W235-1)</f>
        <v>45899</v>
      </c>
      <c r="Y235" s="5">
        <f ca="1">IF(OR(T235+V235&lt;(NOW()-0.5),ISNUMBER(SEARCH("&lt;h4&gt;",K235))),U235+V235,T235+V235)</f>
        <v>45899</v>
      </c>
      <c r="Z235" t="str">
        <f ca="1">CONCATENATE(IF(OR(Y235=X235,ISBLANK(Y235)),TEXT(X235,"mmmm d"),CONCATENATE(TEXT(X235,"mmmm d"),"-",IF(TEXT(X235,"mmmm")=TEXT(Y235,"mmmm"),TEXT(Y235,"d"),TEXT(Y235,"mmmm d")))),", ",YEAR(Y235))</f>
        <v>August 30, 2025</v>
      </c>
      <c r="AA235" s="7">
        <f>O235</f>
        <v>44936</v>
      </c>
      <c r="AB235" s="14">
        <f>T235+V235-(W235-1)</f>
        <v>45899</v>
      </c>
      <c r="AC235" t="s">
        <v>1349</v>
      </c>
      <c r="AD235" s="23" t="str">
        <f ca="1">CONCATENATE("&lt;add-to-calendar-button  name=",CHAR(34),H235,CHAR(34),
IF(ISBLANK(M235),"",CONCATENATE("   location=",CHAR(34),RIGHT(M235,LEN(M235)-SEARCH("|",M235)-1),CHAR(34))),
"   description=",CHAR(34),IF(ISBLANK(I235),"",CONCATENATE(I235,"; ")),"shapenotesingings.com",CHAR(34),
"   options=",CHAR(34),"'Apple','Google','iCal','Outlook.com'",CHAR(34),"   styleLight=",CHAR(34),"--btn-background: #550000; --btn-text: #fff; --btn-shadow:#fff;",CHAR(34),
IF(W235=1,CONCATENATE(
"startDate=",CHAR(34),TEXT(G235,"yyyy-mm-dd"),CHAR(34),
"{endDate=",CHAR(34),TEXT(G235,"yyyy-mm-dd"),CHAR(34),
IF(OR(ISBLANK(AE235),ISBLANK(AF235)),"",(CONCATENATE(" startTime=",CHAR(34),TEXT(AE235,"hh:mm"),CHAR(34)," endTime=",CHAR(34),TEXT(AF235,"h:mm"),CHAR(34),
" timeZone=",CHAR(34),AG235,CHAR(34))))),
IF(W235=2,CONCATENATE(" dates='[{",
CHAR(34),"startDate",CHAR(34),":",CHAR(34),TEXT(G235,"yyyy-mm-dd"),CHAR(34),", ",
,CHAR(34),"endDate",CHAR(34),":",CHAR(34),TEXT(G235,"yyyy-mm-dd"),CHAR(34),
IF(OR(ISBLANK(AE235),ISBLANK(AF235)),"",(CONCATENATE(", ",CHAR(34),"startTime",CHAR(34),":",CHAR(34),TEXT(AE235,"hh:mm"),CHAR(34),", ",CHAR(34),"endTime",CHAR(34),":",CHAR(34),TEXT(AF235,"hh:mm"),CHAR(34),", ",CHAR(34),"timeZone",CHAR(34),":",CHAR(34),AG235,CHAR(34)))),"}, {",
,CHAR(34),"startDate",CHAR(34),":",CHAR(34),TEXT(G235+1,"yyyy-mm-dd"),CHAR(34),", ",
,CHAR(34),"endDate",CHAR(34),":",CHAR(34),TEXT(G235+W235-1,"yyyy-mm-dd"),CHAR(34),
IF(OR(ISBLANK(AE235),ISBLANK(AF235)),"",(CONCATENATE(", ",CHAR(34),"startTime",CHAR(34),":",CHAR(34),TEXT(AE235,"hh:mm"),CHAR(34),", ",CHAR(34),"endTime",CHAR(34),":",CHAR(34),TEXT(AF235,"hh:mm"),CHAR(34),", ",CHAR(34),"timeZone",CHAR(34),":",CHAR(34),AG235,CHAR(34)))),"}]'"),
CONCATENATE(
"{  startDate=",CHAR(34),TEXT(G235,"yyyy-mm-dd"),CHAR(34),
"  endDate=",CHAR(34),TEXT(G235+W235-1,"yyyy-mm-dd"),CHAR(34),"}"))),
" &gt;&lt;/add-to-calendar-button&gt;")</f>
        <v>&lt;add-to-calendar-button  name="Maidencreek All-Day Singing"   location="Maiden Creek Friends Meeting, 27 W Shore Dr, Hamburg, PA 19526"   description="10am-3:30pm; shapenotesingings.com"   options="'Apple','Google','iCal','Outlook.com'"   styleLight="--btn-background: #550000; --btn-text: #fff; --btn-shadow:#fff;"startDate="2025-08-30"{endDate="2025-08-30" startTime="10:00" endTime="15:30" timeZone="America/New_York" &gt;&lt;/add-to-calendar-button&gt;</v>
      </c>
      <c r="AE235" s="24">
        <v>0.41666666666666669</v>
      </c>
      <c r="AF235" s="24">
        <v>0.64583333333333337</v>
      </c>
      <c r="AG235" s="25" t="s">
        <v>1532</v>
      </c>
    </row>
    <row r="236" spans="1:33" x14ac:dyDescent="0.3">
      <c r="A236" t="s">
        <v>8</v>
      </c>
      <c r="B236" t="s">
        <v>151</v>
      </c>
      <c r="C236" t="s">
        <v>1137</v>
      </c>
      <c r="D236" t="s">
        <v>2448</v>
      </c>
      <c r="E236" t="s">
        <v>2183</v>
      </c>
      <c r="F236" t="str">
        <f ca="1">CONCATENATE(TEXT(G236,"mmm"),", 5th Sun after July 4th and Sat before")</f>
        <v>Aug, 5th Sun after July 4th and Sat before</v>
      </c>
      <c r="G236" s="7">
        <f ca="1">X236</f>
        <v>45899</v>
      </c>
      <c r="H236" s="5" t="s">
        <v>558</v>
      </c>
      <c r="I236" s="27" t="s">
        <v>1028</v>
      </c>
      <c r="J236" s="37" t="s">
        <v>2857</v>
      </c>
      <c r="K236" t="s">
        <v>2288</v>
      </c>
      <c r="L236" t="s">
        <v>2174</v>
      </c>
      <c r="M236" s="16" t="s">
        <v>2449</v>
      </c>
      <c r="O236" s="7">
        <v>45644</v>
      </c>
      <c r="P236" s="7" t="s">
        <v>2450</v>
      </c>
      <c r="Q236" s="18">
        <f>MONTH(T236)</f>
        <v>8</v>
      </c>
      <c r="T236" s="4">
        <f>_xlfn.MINIFS(AI$10:AI$22,AI$10:AI$22,"&gt;"&amp;DATE(AI$2,7,4))</f>
        <v>45900</v>
      </c>
      <c r="U236" s="4">
        <f>_xlfn.MINIFS(AJ$10:AJ$22,AJ$10:AJ$22,"&gt;"&amp;DATE(AJ$2,7,4))</f>
        <v>46264</v>
      </c>
      <c r="V236" s="20">
        <v>0</v>
      </c>
      <c r="W236" s="20">
        <v>2</v>
      </c>
      <c r="X236" s="4">
        <f ca="1">Y236-(W236-1)</f>
        <v>45899</v>
      </c>
      <c r="Y236" s="5">
        <f ca="1">IF(OR(T236+V236&lt;(NOW()-0.5),ISNUMBER(SEARCH("&lt;h4&gt;",K236))),U236+V236,T236+V236)</f>
        <v>45900</v>
      </c>
      <c r="Z236" t="str">
        <f ca="1">CONCATENATE(IF(OR(Y236=X236,ISBLANK(Y236)),TEXT(X236,"mmmm d"),CONCATENATE(TEXT(X236,"mmmm d"),"-",IF(TEXT(X236,"mmmm")=TEXT(Y236,"mmmm"),TEXT(Y236,"d"),TEXT(Y236,"mmmm d")))),", ",YEAR(Y236))</f>
        <v>August 30-31, 2025</v>
      </c>
      <c r="AA236" s="7">
        <f>O236</f>
        <v>45644</v>
      </c>
      <c r="AB236" s="14">
        <f>T236+V236-(W236-1)</f>
        <v>45899</v>
      </c>
      <c r="AD236" s="23" t="str">
        <f ca="1">CONCATENATE("&lt;add-to-calendar-button  name=",CHAR(34),H236,CHAR(34),
IF(ISBLANK(M236),"",CONCATENATE("   location=",CHAR(34),RIGHT(M236,LEN(M236)-SEARCH("|",M236)-1),CHAR(34))),
"   description=",CHAR(34),IF(ISBLANK(I236),"",CONCATENATE(I236,"; ")),"shapenotesingings.com",CHAR(34),
"   options=",CHAR(34),"'Apple','Google','iCal','Outlook.com'",CHAR(34),"   styleLight=",CHAR(34),"--btn-background: #550000; --btn-text: #fff; --btn-shadow:#fff;",CHAR(34),
IF(W236=1,CONCATENATE(
"startDate=",CHAR(34),TEXT(G236,"yyyy-mm-dd"),CHAR(34),
"{endDate=",CHAR(34),TEXT(G236,"yyyy-mm-dd"),CHAR(34),
IF(OR(ISBLANK(AE236),ISBLANK(AF236)),"",(CONCATENATE(" startTime=",CHAR(34),TEXT(AE236,"hh:mm"),CHAR(34)," endTime=",CHAR(34),TEXT(AF236,"h:mm"),CHAR(34),
" timeZone=",CHAR(34),AG236,CHAR(34))))),
IF(W236=2,CONCATENATE(" dates='[{",
CHAR(34),"startDate",CHAR(34),":",CHAR(34),TEXT(G236,"yyyy-mm-dd"),CHAR(34),", ",
,CHAR(34),"endDate",CHAR(34),":",CHAR(34),TEXT(G236,"yyyy-mm-dd"),CHAR(34),
IF(OR(ISBLANK(AE236),ISBLANK(AF236)),"",(CONCATENATE(", ",CHAR(34),"startTime",CHAR(34),":",CHAR(34),TEXT(AE236,"hh:mm"),CHAR(34),", ",CHAR(34),"endTime",CHAR(34),":",CHAR(34),TEXT(AF236,"hh:mm"),CHAR(34),", ",CHAR(34),"timeZone",CHAR(34),":",CHAR(34),AG236,CHAR(34)))),"}, {",
,CHAR(34),"startDate",CHAR(34),":",CHAR(34),TEXT(G236+1,"yyyy-mm-dd"),CHAR(34),", ",
,CHAR(34),"endDate",CHAR(34),":",CHAR(34),TEXT(G236+W236-1,"yyyy-mm-dd"),CHAR(34),
IF(OR(ISBLANK(AE236),ISBLANK(AF236)),"",(CONCATENATE(", ",CHAR(34),"startTime",CHAR(34),":",CHAR(34),TEXT(AE236,"hh:mm"),CHAR(34),", ",CHAR(34),"endTime",CHAR(34),":",CHAR(34),TEXT(AF236,"hh:mm"),CHAR(34),", ",CHAR(34),"timeZone",CHAR(34),":",CHAR(34),AG236,CHAR(34)))),"}]'"),
CONCATENATE(
"{  startDate=",CHAR(34),TEXT(G236,"yyyy-mm-dd"),CHAR(34),
"  endDate=",CHAR(34),TEXT(G236+W236-1,"yyyy-mm-dd"),CHAR(34),"}"))),
" &gt;&lt;/add-to-calendar-button&gt;")</f>
        <v>&lt;add-to-calendar-button  name="Young People's Singing"   location="2025 TBA in Los Angeles"   description="10am; shapenotesingings.com"   options="'Apple','Google','iCal','Outlook.com'"   styleLight="--btn-background: #550000; --btn-text: #fff; --btn-shadow:#fff;" dates='[{"startDate":"2025-08-30", "endDate":"2025-08-30", "startTime":"09:30", "endTime":"15:00", "timeZone":"America/Los_Angeles"}, {"startDate":"2025-08-31", "endDate":"2025-08-31", "startTime":"09:30", "endTime":"15:00", "timeZone":"America/Los_Angeles"}]' &gt;&lt;/add-to-calendar-button&gt;</v>
      </c>
      <c r="AE236" s="24">
        <v>0.39583333333333331</v>
      </c>
      <c r="AF236" s="24">
        <v>0.625</v>
      </c>
      <c r="AG236" s="25" t="s">
        <v>1534</v>
      </c>
    </row>
    <row r="237" spans="1:33" x14ac:dyDescent="0.3">
      <c r="A237" t="s">
        <v>8</v>
      </c>
      <c r="B237" t="s">
        <v>40</v>
      </c>
      <c r="C237" t="s">
        <v>1161</v>
      </c>
      <c r="D237" t="s">
        <v>834</v>
      </c>
      <c r="E237" t="s">
        <v>34</v>
      </c>
      <c r="F237" t="str">
        <f ca="1">CONCATENATE(TEXT(G237,"mmm"),", 1st Sun &amp; Sat Before")</f>
        <v>Aug, 1st Sun &amp; Sat Before</v>
      </c>
      <c r="G237" s="7">
        <f ca="1">X237</f>
        <v>45899</v>
      </c>
      <c r="H237" s="5" t="s">
        <v>106</v>
      </c>
      <c r="I237" t="s">
        <v>1040</v>
      </c>
      <c r="J237" s="36" t="s">
        <v>2858</v>
      </c>
      <c r="L237" t="s">
        <v>2346</v>
      </c>
      <c r="M237" s="16" t="s">
        <v>832</v>
      </c>
      <c r="N237" s="16" t="s">
        <v>833</v>
      </c>
      <c r="O237" s="7">
        <v>45433</v>
      </c>
      <c r="P237" s="7" t="s">
        <v>2088</v>
      </c>
      <c r="Q237" s="18">
        <f>MONTH(T237)</f>
        <v>8</v>
      </c>
      <c r="T237" s="4">
        <f>_xlfn.MAXIFS(AI$10:AI$22,AI$10:AI$22,"&lt;"&amp;DATE(AI$2,11,1))</f>
        <v>45900</v>
      </c>
      <c r="U237" s="4">
        <f>_xlfn.MAXIFS(AJ$10:AJ$22,AJ$10:AJ$22,"&lt;"&amp;DATE(AJ$2,11,1))</f>
        <v>46264</v>
      </c>
      <c r="V237" s="20">
        <v>0</v>
      </c>
      <c r="W237" s="20">
        <v>2</v>
      </c>
      <c r="X237" s="4">
        <f ca="1">Y237-(W237-1)</f>
        <v>45899</v>
      </c>
      <c r="Y237" s="5">
        <f ca="1">IF(OR(T237+V237&lt;(NOW()-0.5),ISNUMBER(SEARCH("&lt;h4&gt;",K237))),U237+V237,T237+V237)</f>
        <v>45900</v>
      </c>
      <c r="Z237" t="str">
        <f ca="1">CONCATENATE(IF(OR(Y237=X237,ISBLANK(Y237)),TEXT(X237,"mmmm d"),CONCATENATE(TEXT(X237,"mmmm d"),"-",IF(TEXT(X237,"mmmm")=TEXT(Y237,"mmmm"),TEXT(Y237,"d"),TEXT(Y237,"mmmm d")))),", ",YEAR(Y237))</f>
        <v>August 30-31, 2025</v>
      </c>
      <c r="AA237" s="7">
        <f>O237</f>
        <v>45433</v>
      </c>
      <c r="AB237" s="14">
        <f>T237+V237-(W237-1)</f>
        <v>45899</v>
      </c>
      <c r="AC237" t="s">
        <v>1379</v>
      </c>
      <c r="AD237" s="23" t="str">
        <f ca="1">CONCATENATE("&lt;add-to-calendar-button  name=",CHAR(34),H237,CHAR(34),
IF(ISBLANK(M237),"",CONCATENATE("   location=",CHAR(34),RIGHT(M237,LEN(M237)-SEARCH("|",M237)-1),CHAR(34))),
"   description=",CHAR(34),IF(ISBLANK(I237),"",CONCATENATE(I237,"; ")),"shapenotesingings.com",CHAR(34),
"   options=",CHAR(34),"'Apple','Google','iCal','Outlook.com'",CHAR(34),"   styleLight=",CHAR(34),"--btn-background: #550000; --btn-text: #fff; --btn-shadow:#fff;",CHAR(34),
IF(W237=1,CONCATENATE(
"startDate=",CHAR(34),TEXT(G237,"yyyy-mm-dd"),CHAR(34),
"{endDate=",CHAR(34),TEXT(G237,"yyyy-mm-dd"),CHAR(34),
IF(OR(ISBLANK(AE237),ISBLANK(AF237)),"",(CONCATENATE(" startTime=",CHAR(34),TEXT(AE237,"hh:mm"),CHAR(34)," endTime=",CHAR(34),TEXT(AF237,"h:mm"),CHAR(34),
" timeZone=",CHAR(34),AG237,CHAR(34))))),
IF(W237=2,CONCATENATE(" dates='[{",
CHAR(34),"startDate",CHAR(34),":",CHAR(34),TEXT(G237,"yyyy-mm-dd"),CHAR(34),", ",
,CHAR(34),"endDate",CHAR(34),":",CHAR(34),TEXT(G237,"yyyy-mm-dd"),CHAR(34),
IF(OR(ISBLANK(AE237),ISBLANK(AF237)),"",(CONCATENATE(", ",CHAR(34),"startTime",CHAR(34),":",CHAR(34),TEXT(AE237,"hh:mm"),CHAR(34),", ",CHAR(34),"endTime",CHAR(34),":",CHAR(34),TEXT(AF237,"hh:mm"),CHAR(34),", ",CHAR(34),"timeZone",CHAR(34),":",CHAR(34),AG237,CHAR(34)))),"}, {",
,CHAR(34),"startDate",CHAR(34),":",CHAR(34),TEXT(G237+1,"yyyy-mm-dd"),CHAR(34),", ",
,CHAR(34),"endDate",CHAR(34),":",CHAR(34),TEXT(G237+W237-1,"yyyy-mm-dd"),CHAR(34),
IF(OR(ISBLANK(AE237),ISBLANK(AF237)),"",(CONCATENATE(", ",CHAR(34),"startTime",CHAR(34),":",CHAR(34),TEXT(AE237,"hh:mm"),CHAR(34),", ",CHAR(34),"endTime",CHAR(34),":",CHAR(34),TEXT(AF237,"hh:mm"),CHAR(34),", ",CHAR(34),"timeZone",CHAR(34),":",CHAR(34),AG237,CHAR(34)))),"}]'"),
CONCATENATE(
"{  startDate=",CHAR(34),TEXT(G237,"yyyy-mm-dd"),CHAR(34),
"  endDate=",CHAR(34),TEXT(G237+W237-1,"yyyy-mm-dd"),CHAR(34),"}"))),
" &gt;&lt;/add-to-calendar-button&gt;")</f>
        <v>&lt;add-to-calendar-button  name="Southwest Texas Convention, Fall Session"   location="Jarrell Memorial Park Community Center, 1651 CR 305, Jarrell, Texas"   description="9:30am; shapenotesingings.com"   options="'Apple','Google','iCal','Outlook.com'"   styleLight="--btn-background: #550000; --btn-text: #fff; --btn-shadow:#fff;" dates='[{"startDate":"2025-08-30", "endDate":"2025-08-30", "startTime":"09:30", "endTime":"15:00", "timeZone":"America/Chicago"}, {"startDate":"2025-08-31", "endDate":"2025-08-31", "startTime":"09:30", "endTime":"15:00", "timeZone":"America/Chicago"}]' &gt;&lt;/add-to-calendar-button&gt;</v>
      </c>
      <c r="AE237" s="24">
        <v>0.39583333333333331</v>
      </c>
      <c r="AF237" s="24">
        <v>0.625</v>
      </c>
      <c r="AG237" s="25" t="s">
        <v>1533</v>
      </c>
    </row>
    <row r="238" spans="1:33" x14ac:dyDescent="0.3">
      <c r="A238" t="s">
        <v>8</v>
      </c>
      <c r="B238" t="s">
        <v>36</v>
      </c>
      <c r="C238" t="s">
        <v>1142</v>
      </c>
      <c r="D238" t="s">
        <v>618</v>
      </c>
      <c r="E238" t="s">
        <v>2178</v>
      </c>
      <c r="F238" t="s">
        <v>890</v>
      </c>
      <c r="G238" s="7">
        <f ca="1">X238</f>
        <v>45900</v>
      </c>
      <c r="H238" s="5" t="s">
        <v>617</v>
      </c>
      <c r="I238" t="s">
        <v>1124</v>
      </c>
      <c r="J238" s="36" t="s">
        <v>2859</v>
      </c>
      <c r="L238" t="s">
        <v>980</v>
      </c>
      <c r="M238" s="16" t="s">
        <v>615</v>
      </c>
      <c r="N238" s="16" t="s">
        <v>616</v>
      </c>
      <c r="O238" s="7">
        <v>44936</v>
      </c>
      <c r="P238" s="7" t="s">
        <v>926</v>
      </c>
      <c r="Q238" s="18">
        <v>9</v>
      </c>
      <c r="R238" s="18">
        <v>1</v>
      </c>
      <c r="S238" s="18">
        <v>2</v>
      </c>
      <c r="T238" s="4">
        <f>DATE(AI$2,$Q238,1+(($R238-($S238&gt;=WEEKDAY(DATE(AI$2,$Q238,1))))*7)+($S238-WEEKDAY(DATE(AI$2,$Q238,1))))</f>
        <v>45901</v>
      </c>
      <c r="U238" s="4">
        <f>DATE(AJ$2,$Q238,1+(($R238-($S238&gt;=WEEKDAY(DATE(AJ$2,$Q238,1))))*7)+($S238-WEEKDAY(DATE(AJ$2,$Q238,1))))</f>
        <v>46272</v>
      </c>
      <c r="V238" s="20">
        <v>-1</v>
      </c>
      <c r="W238" s="20">
        <v>1</v>
      </c>
      <c r="X238" s="4">
        <f ca="1">Y238-(W238-1)</f>
        <v>45900</v>
      </c>
      <c r="Y238" s="5">
        <f ca="1">IF(OR(T238+V238&lt;(NOW()-0.5),ISNUMBER(SEARCH("&lt;h4&gt;",K238))),U238+V238,T238+V238)</f>
        <v>45900</v>
      </c>
      <c r="Z238" t="str">
        <f ca="1">CONCATENATE(IF(OR(Y238=X238,ISBLANK(Y238)),TEXT(X238,"mmmm d"),CONCATENATE(TEXT(X238,"mmmm d"),"-",IF(TEXT(X238,"mmmm")=TEXT(Y238,"mmmm"),TEXT(Y238,"d"),TEXT(Y238,"mmmm d")))),", ",YEAR(Y238))</f>
        <v>August 31, 2025</v>
      </c>
      <c r="AA238" s="7">
        <f>O238</f>
        <v>44936</v>
      </c>
      <c r="AB238" s="14">
        <f>T238+V238-(W238-1)</f>
        <v>45900</v>
      </c>
      <c r="AC238" t="s">
        <v>1351</v>
      </c>
      <c r="AD238" s="23" t="str">
        <f ca="1">CONCATENATE("&lt;add-to-calendar-button  name=",CHAR(34),H238,CHAR(34),
IF(ISBLANK(M238),"",CONCATENATE("   location=",CHAR(34),RIGHT(M238,LEN(M238)-SEARCH("|",M238)-1),CHAR(34))),
"   description=",CHAR(34),IF(ISBLANK(I238),"",CONCATENATE(I238,"; ")),"shapenotesingings.com",CHAR(34),
"   options=",CHAR(34),"'Apple','Google','iCal','Outlook.com'",CHAR(34),"   styleLight=",CHAR(34),"--btn-background: #550000; --btn-text: #fff; --btn-shadow:#fff;",CHAR(34),
IF(W238=1,CONCATENATE(
"startDate=",CHAR(34),TEXT(G238,"yyyy-mm-dd"),CHAR(34),
"{endDate=",CHAR(34),TEXT(G238,"yyyy-mm-dd"),CHAR(34),
IF(OR(ISBLANK(AE238),ISBLANK(AF238)),"",(CONCATENATE(" startTime=",CHAR(34),TEXT(AE238,"hh:mm"),CHAR(34)," endTime=",CHAR(34),TEXT(AF238,"h:mm"),CHAR(34),
" timeZone=",CHAR(34),AG238,CHAR(34))))),
IF(W238=2,CONCATENATE(" dates='[{",
CHAR(34),"startDate",CHAR(34),":",CHAR(34),TEXT(G238,"yyyy-mm-dd"),CHAR(34),", ",
,CHAR(34),"endDate",CHAR(34),":",CHAR(34),TEXT(G238,"yyyy-mm-dd"),CHAR(34),
IF(OR(ISBLANK(AE238),ISBLANK(AF238)),"",(CONCATENATE(", ",CHAR(34),"startTime",CHAR(34),":",CHAR(34),TEXT(AE238,"hh:mm"),CHAR(34),", ",CHAR(34),"endTime",CHAR(34),":",CHAR(34),TEXT(AF238,"hh:mm"),CHAR(34),", ",CHAR(34),"timeZone",CHAR(34),":",CHAR(34),AG238,CHAR(34)))),"}, {",
,CHAR(34),"startDate",CHAR(34),":",CHAR(34),TEXT(G238+1,"yyyy-mm-dd"),CHAR(34),", ",
,CHAR(34),"endDate",CHAR(34),":",CHAR(34),TEXT(G238+W238-1,"yyyy-mm-dd"),CHAR(34),
IF(OR(ISBLANK(AE238),ISBLANK(AF238)),"",(CONCATENATE(", ",CHAR(34),"startTime",CHAR(34),":",CHAR(34),TEXT(AE238,"hh:mm"),CHAR(34),", ",CHAR(34),"endTime",CHAR(34),":",CHAR(34),TEXT(AF238,"hh:mm"),CHAR(34),", ",CHAR(34),"timeZone",CHAR(34),":",CHAR(34),AG238,CHAR(34)))),"}]'"),
CONCATENATE(
"{  startDate=",CHAR(34),TEXT(G238,"yyyy-mm-dd"),CHAR(34),
"  endDate=",CHAR(34),TEXT(G238+W238-1,"yyyy-mm-dd"),CHAR(34),"}"))),
" &gt;&lt;/add-to-calendar-button&gt;")</f>
        <v>&lt;add-to-calendar-button  name="Fox Valley Folk Festival Singing"   location="Island Park, Geneva IL 60134"   description="11:30am; shapenotesingings.com"   options="'Apple','Google','iCal','Outlook.com'"   styleLight="--btn-background: #550000; --btn-text: #fff; --btn-shadow:#fff;"startDate="2025-08-31"{endDate="2025-08-31" &gt;&lt;/add-to-calendar-button&gt;</v>
      </c>
      <c r="AG238" s="25" t="s">
        <v>1533</v>
      </c>
    </row>
    <row r="239" spans="1:33" x14ac:dyDescent="0.3">
      <c r="A239" t="s">
        <v>8</v>
      </c>
      <c r="B239" t="s">
        <v>102</v>
      </c>
      <c r="C239" t="s">
        <v>1064</v>
      </c>
      <c r="D239" t="s">
        <v>2521</v>
      </c>
      <c r="E239" t="s">
        <v>34</v>
      </c>
      <c r="F239" t="str">
        <f ca="1">CONCATENATE(TEXT(G239,"mmm"),", Every 5th Sunday")</f>
        <v>Aug, Every 5th Sunday</v>
      </c>
      <c r="G239" s="7">
        <f ca="1">X239</f>
        <v>45900</v>
      </c>
      <c r="H239" s="5" t="s">
        <v>103</v>
      </c>
      <c r="I239" t="s">
        <v>1030</v>
      </c>
      <c r="K239" t="s">
        <v>1031</v>
      </c>
      <c r="L239" t="s">
        <v>2234</v>
      </c>
      <c r="M239" s="16" t="s">
        <v>2519</v>
      </c>
      <c r="N239" s="16" t="s">
        <v>2520</v>
      </c>
      <c r="O239" s="7">
        <v>44936</v>
      </c>
      <c r="P239" s="7" t="s">
        <v>926</v>
      </c>
      <c r="Q239" s="18">
        <f>MONTH(T239)</f>
        <v>8</v>
      </c>
      <c r="T239" s="4">
        <f>AI$25</f>
        <v>45900</v>
      </c>
      <c r="U239" s="4">
        <f>AJ$25</f>
        <v>46264</v>
      </c>
      <c r="V239" s="20">
        <v>0</v>
      </c>
      <c r="W239" s="20">
        <v>1</v>
      </c>
      <c r="X239" s="4">
        <f ca="1">Y239-(W239-1)</f>
        <v>45900</v>
      </c>
      <c r="Y239" s="5">
        <f ca="1">IF(OR(T239+V239&lt;(NOW()-0.5),ISNUMBER(SEARCH("&lt;h4&gt;",K239))),U239+V239,T239+V239)</f>
        <v>45900</v>
      </c>
      <c r="Z239" t="str">
        <f ca="1">CONCATENATE(IF(OR(Y239=X239,ISBLANK(Y239)),TEXT(X239,"mmmm d"),CONCATENATE(TEXT(X239,"mmmm d"),"-",IF(TEXT(X239,"mmmm")=TEXT(Y239,"mmmm"),TEXT(Y239,"d"),TEXT(Y239,"mmmm d")))),", ",YEAR(Y239))</f>
        <v>August 31, 2025</v>
      </c>
      <c r="AA239" s="7">
        <f>O239</f>
        <v>44936</v>
      </c>
      <c r="AB239" s="14">
        <f>T239+V239-(W239-1)</f>
        <v>45900</v>
      </c>
      <c r="AC239" t="s">
        <v>1326</v>
      </c>
      <c r="AD239" s="23" t="str">
        <f ca="1">CONCATENATE("&lt;add-to-calendar-button  name=",CHAR(34),H239,CHAR(34),
IF(ISBLANK(M239),"",CONCATENATE("   location=",CHAR(34),RIGHT(M239,LEN(M239)-SEARCH("|",M239)-1),CHAR(34))),
"   description=",CHAR(34),IF(ISBLANK(I239),"",CONCATENATE(I239,"; ")),"shapenotesingings.com",CHAR(34),
"   options=",CHAR(34),"'Apple','Google','iCal','Outlook.com'",CHAR(34),"   styleLight=",CHAR(34),"--btn-background: #550000; --btn-text: #fff; --btn-shadow:#fff;",CHAR(34),
IF(W239=1,CONCATENATE(
"startDate=",CHAR(34),TEXT(G239,"yyyy-mm-dd"),CHAR(34),
"{endDate=",CHAR(34),TEXT(G239,"yyyy-mm-dd"),CHAR(34),
IF(OR(ISBLANK(AE239),ISBLANK(AF239)),"",(CONCATENATE(" startTime=",CHAR(34),TEXT(AE239,"hh:mm"),CHAR(34)," endTime=",CHAR(34),TEXT(AF239,"h:mm"),CHAR(34),
" timeZone=",CHAR(34),AG239,CHAR(34))))),
IF(W239=2,CONCATENATE(" dates='[{",
CHAR(34),"startDate",CHAR(34),":",CHAR(34),TEXT(G239,"yyyy-mm-dd"),CHAR(34),", ",
,CHAR(34),"endDate",CHAR(34),":",CHAR(34),TEXT(G239,"yyyy-mm-dd"),CHAR(34),
IF(OR(ISBLANK(AE239),ISBLANK(AF239)),"",(CONCATENATE(", ",CHAR(34),"startTime",CHAR(34),":",CHAR(34),TEXT(AE239,"hh:mm"),CHAR(34),", ",CHAR(34),"endTime",CHAR(34),":",CHAR(34),TEXT(AF239,"hh:mm"),CHAR(34),", ",CHAR(34),"timeZone",CHAR(34),":",CHAR(34),AG239,CHAR(34)))),"}, {",
,CHAR(34),"startDate",CHAR(34),":",CHAR(34),TEXT(G239+1,"yyyy-mm-dd"),CHAR(34),", ",
,CHAR(34),"endDate",CHAR(34),":",CHAR(34),TEXT(G239+W239-1,"yyyy-mm-dd"),CHAR(34),
IF(OR(ISBLANK(AE239),ISBLANK(AF239)),"",(CONCATENATE(", ",CHAR(34),"startTime",CHAR(34),":",CHAR(34),TEXT(AE239,"hh:mm"),CHAR(34),", ",CHAR(34),"endTime",CHAR(34),":",CHAR(34),TEXT(AF239,"hh:mm"),CHAR(34),", ",CHAR(34),"timeZone",CHAR(34),":",CHAR(34),AG239,CHAR(34)))),"}]'"),
CONCATENATE(
"{  startDate=",CHAR(34),TEXT(G239,"yyyy-mm-dd"),CHAR(34),
"  endDate=",CHAR(34),TEXT(G239+W239-1,"yyyy-mm-dd"),CHAR(34),"}"))),
" &gt;&lt;/add-to-calendar-button&gt;")</f>
        <v>&lt;add-to-calendar-button  name="Bethlehem PBC 5th Sunday Singing"   location="Bethlehem Primitive Baptist Church, 17385 Bethlehem Rd, Mulberry, FL 33547"   description="10:00am; shapenotesingings.com"   options="'Apple','Google','iCal','Outlook.com'"   styleLight="--btn-background: #550000; --btn-text: #fff; --btn-shadow:#fff;"startDate="2025-08-31"{endDate="2025-08-31" &gt;&lt;/add-to-calendar-button&gt;</v>
      </c>
      <c r="AG239" s="25" t="s">
        <v>1532</v>
      </c>
    </row>
    <row r="240" spans="1:33" x14ac:dyDescent="0.3">
      <c r="A240" t="s">
        <v>8</v>
      </c>
      <c r="B240" t="s">
        <v>11</v>
      </c>
      <c r="C240" t="s">
        <v>1134</v>
      </c>
      <c r="D240" t="s">
        <v>92</v>
      </c>
      <c r="E240" t="s">
        <v>2178</v>
      </c>
      <c r="F240" t="str">
        <f ca="1">CONCATENATE(TEXT(G240,"mmm"),", First 5th Sun after July 4th")</f>
        <v>Aug, First 5th Sun after July 4th</v>
      </c>
      <c r="G240" s="7">
        <f ca="1">X240</f>
        <v>45900</v>
      </c>
      <c r="H240" s="5" t="s">
        <v>109</v>
      </c>
      <c r="I240" t="s">
        <v>1040</v>
      </c>
      <c r="J240" s="36" t="s">
        <v>2860</v>
      </c>
      <c r="K240" t="s">
        <v>1117</v>
      </c>
      <c r="L240" t="s">
        <v>2282</v>
      </c>
      <c r="M240" s="16" t="s">
        <v>110</v>
      </c>
      <c r="N240" s="16" t="s">
        <v>138</v>
      </c>
      <c r="O240" s="7">
        <v>44936</v>
      </c>
      <c r="P240" s="7" t="s">
        <v>926</v>
      </c>
      <c r="Q240" s="18">
        <f>MONTH(T240)</f>
        <v>8</v>
      </c>
      <c r="T240" s="4">
        <f>_xlfn.MINIFS(AI$10:AI$22,AI$10:AI$22,"&gt;"&amp;DATE(AI$2,7,4))</f>
        <v>45900</v>
      </c>
      <c r="U240" s="4">
        <f>_xlfn.MINIFS(AJ$10:AJ$22,AJ$10:AJ$22,"&gt;"&amp;DATE(AJ$2,7,4))</f>
        <v>46264</v>
      </c>
      <c r="V240" s="20">
        <v>0</v>
      </c>
      <c r="W240" s="20">
        <v>1</v>
      </c>
      <c r="X240" s="4">
        <f ca="1">Y240-(W240-1)</f>
        <v>45900</v>
      </c>
      <c r="Y240" s="5">
        <f ca="1">IF(OR(T240+V240&lt;(NOW()-0.5),ISNUMBER(SEARCH("&lt;h4&gt;",K240))),U240+V240,T240+V240)</f>
        <v>45900</v>
      </c>
      <c r="Z240" t="str">
        <f ca="1">CONCATENATE(IF(OR(Y240=X240,ISBLANK(Y240)),TEXT(X240,"mmmm d"),CONCATENATE(TEXT(X240,"mmmm d"),"-",IF(TEXT(X240,"mmmm")=TEXT(Y240,"mmmm"),TEXT(Y240,"d"),TEXT(Y240,"mmmm d")))),", ",YEAR(Y240))</f>
        <v>August 31, 2025</v>
      </c>
      <c r="AA240" s="7">
        <f>O240</f>
        <v>44936</v>
      </c>
      <c r="AB240" s="14">
        <f>T240+V240-(W240-1)</f>
        <v>45900</v>
      </c>
      <c r="AC240" t="s">
        <v>1325</v>
      </c>
      <c r="AD240" s="23" t="str">
        <f ca="1">CONCATENATE("&lt;add-to-calendar-button  name=",CHAR(34),H240,CHAR(34),
IF(ISBLANK(M240),"",CONCATENATE("   location=",CHAR(34),RIGHT(M240,LEN(M240)-SEARCH("|",M240)-1),CHAR(34))),
"   description=",CHAR(34),IF(ISBLANK(I240),"",CONCATENATE(I240,"; ")),"shapenotesingings.com",CHAR(34),
"   options=",CHAR(34),"'Apple','Google','iCal','Outlook.com'",CHAR(34),"   styleLight=",CHAR(34),"--btn-background: #550000; --btn-text: #fff; --btn-shadow:#fff;",CHAR(34),
IF(W240=1,CONCATENATE(
"startDate=",CHAR(34),TEXT(G240,"yyyy-mm-dd"),CHAR(34),
"{endDate=",CHAR(34),TEXT(G240,"yyyy-mm-dd"),CHAR(34),
IF(OR(ISBLANK(AE240),ISBLANK(AF240)),"",(CONCATENATE(" startTime=",CHAR(34),TEXT(AE240,"hh:mm"),CHAR(34)," endTime=",CHAR(34),TEXT(AF240,"h:mm"),CHAR(34),
" timeZone=",CHAR(34),AG240,CHAR(34))))),
IF(W240=2,CONCATENATE(" dates='[{",
CHAR(34),"startDate",CHAR(34),":",CHAR(34),TEXT(G240,"yyyy-mm-dd"),CHAR(34),", ",
,CHAR(34),"endDate",CHAR(34),":",CHAR(34),TEXT(G240,"yyyy-mm-dd"),CHAR(34),
IF(OR(ISBLANK(AE240),ISBLANK(AF240)),"",(CONCATENATE(", ",CHAR(34),"startTime",CHAR(34),":",CHAR(34),TEXT(AE240,"hh:mm"),CHAR(34),", ",CHAR(34),"endTime",CHAR(34),":",CHAR(34),TEXT(AF240,"hh:mm"),CHAR(34),", ",CHAR(34),"timeZone",CHAR(34),":",CHAR(34),AG240,CHAR(34)))),"}, {",
,CHAR(34),"startDate",CHAR(34),":",CHAR(34),TEXT(G240+1,"yyyy-mm-dd"),CHAR(34),", ",
,CHAR(34),"endDate",CHAR(34),":",CHAR(34),TEXT(G240+W240-1,"yyyy-mm-dd"),CHAR(34),
IF(OR(ISBLANK(AE240),ISBLANK(AF240)),"",(CONCATENATE(", ",CHAR(34),"startTime",CHAR(34),":",CHAR(34),TEXT(AE240,"hh:mm"),CHAR(34),", ",CHAR(34),"endTime",CHAR(34),":",CHAR(34),TEXT(AF240,"hh:mm"),CHAR(34),", ",CHAR(34),"timeZone",CHAR(34),":",CHAR(34),AG240,CHAR(34)))),"}]'"),
CONCATENATE(
"{  startDate=",CHAR(34),TEXT(G240,"yyyy-mm-dd"),CHAR(34),
"  endDate=",CHAR(34),TEXT(G240+W240-1,"yyyy-mm-dd"),CHAR(34),"}"))),
" &gt;&lt;/add-to-calendar-button&gt;")</f>
        <v>&lt;add-to-calendar-button  name="Lacy Memorial Singing"   location="Fuller Cemetery, Ider, AL 35981"   description="9:30am; shapenotesingings.com"   options="'Apple','Google','iCal','Outlook.com'"   styleLight="--btn-background: #550000; --btn-text: #fff; --btn-shadow:#fff;"startDate="2025-08-31"{endDate="2025-08-31" startTime="09:30" endTime="15:00" timeZone="America/Chicago" &gt;&lt;/add-to-calendar-button&gt;</v>
      </c>
      <c r="AE240" s="24">
        <v>0.39583333333333331</v>
      </c>
      <c r="AF240" s="24">
        <v>0.625</v>
      </c>
      <c r="AG240" s="25" t="s">
        <v>1533</v>
      </c>
    </row>
    <row r="241" spans="1:33" x14ac:dyDescent="0.3">
      <c r="A241" t="s">
        <v>8</v>
      </c>
      <c r="B241" t="s">
        <v>11</v>
      </c>
      <c r="C241" t="s">
        <v>1134</v>
      </c>
      <c r="D241" t="s">
        <v>85</v>
      </c>
      <c r="E241" t="s">
        <v>2178</v>
      </c>
      <c r="F241" t="s">
        <v>887</v>
      </c>
      <c r="G241" s="7">
        <f ca="1">X241</f>
        <v>45901</v>
      </c>
      <c r="H241" s="5" t="s">
        <v>1882</v>
      </c>
      <c r="I241" t="s">
        <v>1040</v>
      </c>
      <c r="J241" s="36" t="s">
        <v>2861</v>
      </c>
      <c r="K241" t="s">
        <v>1125</v>
      </c>
      <c r="L241" t="s">
        <v>976</v>
      </c>
      <c r="M241" s="16" t="s">
        <v>86</v>
      </c>
      <c r="N241" s="16" t="s">
        <v>141</v>
      </c>
      <c r="O241" s="7">
        <v>45305</v>
      </c>
      <c r="P241" s="7" t="s">
        <v>1885</v>
      </c>
      <c r="Q241" s="18">
        <v>9</v>
      </c>
      <c r="R241" s="18">
        <v>1</v>
      </c>
      <c r="S241" s="18">
        <v>2</v>
      </c>
      <c r="T241" s="4">
        <f>DATE(AI$2,$Q241,1+(($R241-($S241&gt;=WEEKDAY(DATE(AI$2,$Q241,1))))*7)+($S241-WEEKDAY(DATE(AI$2,$Q241,1))))</f>
        <v>45901</v>
      </c>
      <c r="U241" s="4">
        <f>DATE(AJ$2,$Q241,1+(($R241-($S241&gt;=WEEKDAY(DATE(AJ$2,$Q241,1))))*7)+($S241-WEEKDAY(DATE(AJ$2,$Q241,1))))</f>
        <v>46272</v>
      </c>
      <c r="V241" s="20">
        <v>0</v>
      </c>
      <c r="W241" s="20">
        <v>1</v>
      </c>
      <c r="X241" s="4">
        <f ca="1">Y241-(W241-1)</f>
        <v>45901</v>
      </c>
      <c r="Y241" s="5">
        <f ca="1">IF(OR(T241+V241&lt;(NOW()-0.5),ISNUMBER(SEARCH("&lt;h4&gt;",K241))),U241+V241,T241+V241)</f>
        <v>45901</v>
      </c>
      <c r="Z241" t="str">
        <f ca="1">CONCATENATE(IF(OR(Y241=X241,ISBLANK(Y241)),TEXT(X241,"mmmm d"),CONCATENATE(TEXT(X241,"mmmm d"),"-",IF(TEXT(X241,"mmmm")=TEXT(Y241,"mmmm"),TEXT(Y241,"d"),TEXT(Y241,"mmmm d")))),", ",YEAR(Y241))</f>
        <v>September 1, 2025</v>
      </c>
      <c r="AA241" s="7">
        <f>O241</f>
        <v>45305</v>
      </c>
      <c r="AB241" s="14">
        <f>T241+V241-(W241-1)</f>
        <v>45901</v>
      </c>
      <c r="AC241" t="s">
        <v>1352</v>
      </c>
      <c r="AD241" s="23" t="str">
        <f ca="1">CONCATENATE("&lt;add-to-calendar-button  name=",CHAR(34),H241,CHAR(34),
IF(ISBLANK(M241),"",CONCATENATE("   location=",CHAR(34),RIGHT(M241,LEN(M241)-SEARCH("|",M241)-1),CHAR(34))),
"   description=",CHAR(34),IF(ISBLANK(I241),"",CONCATENATE(I241,"; ")),"shapenotesingings.com",CHAR(34),
"   options=",CHAR(34),"'Apple','Google','iCal','Outlook.com'",CHAR(34),"   styleLight=",CHAR(34),"--btn-background: #550000; --btn-text: #fff; --btn-shadow:#fff;",CHAR(34),
IF(W241=1,CONCATENATE(
"startDate=",CHAR(34),TEXT(G241,"yyyy-mm-dd"),CHAR(34),
"{endDate=",CHAR(34),TEXT(G241,"yyyy-mm-dd"),CHAR(34),
IF(OR(ISBLANK(AE241),ISBLANK(AF241)),"",(CONCATENATE(" startTime=",CHAR(34),TEXT(AE241,"hh:mm"),CHAR(34)," endTime=",CHAR(34),TEXT(AF241,"h:mm"),CHAR(34),
" timeZone=",CHAR(34),AG241,CHAR(34))))),
IF(W241=2,CONCATENATE(" dates='[{",
CHAR(34),"startDate",CHAR(34),":",CHAR(34),TEXT(G241,"yyyy-mm-dd"),CHAR(34),", ",
,CHAR(34),"endDate",CHAR(34),":",CHAR(34),TEXT(G241,"yyyy-mm-dd"),CHAR(34),
IF(OR(ISBLANK(AE241),ISBLANK(AF241)),"",(CONCATENATE(", ",CHAR(34),"startTime",CHAR(34),":",CHAR(34),TEXT(AE241,"hh:mm"),CHAR(34),", ",CHAR(34),"endTime",CHAR(34),":",CHAR(34),TEXT(AF241,"hh:mm"),CHAR(34),", ",CHAR(34),"timeZone",CHAR(34),":",CHAR(34),AG241,CHAR(34)))),"}, {",
,CHAR(34),"startDate",CHAR(34),":",CHAR(34),TEXT(G241+1,"yyyy-mm-dd"),CHAR(34),", ",
,CHAR(34),"endDate",CHAR(34),":",CHAR(34),TEXT(G241+W241-1,"yyyy-mm-dd"),CHAR(34),
IF(OR(ISBLANK(AE241),ISBLANK(AF241)),"",(CONCATENATE(", ",CHAR(34),"startTime",CHAR(34),":",CHAR(34),TEXT(AE241,"hh:mm"),CHAR(34),", ",CHAR(34),"endTime",CHAR(34),":",CHAR(34),TEXT(AF241,"hh:mm"),CHAR(34),", ",CHAR(34),"timeZone",CHAR(34),":",CHAR(34),AG241,CHAR(34)))),"}]'"),
CONCATENATE(
"{  startDate=",CHAR(34),TEXT(G241,"yyyy-mm-dd"),CHAR(34),
"  endDate=",CHAR(34),TEXT(G241+W241-1,"yyyy-mm-dd"),CHAR(34),"}"))),
" &gt;&lt;/add-to-calendar-button&gt;")</f>
        <v>&lt;add-to-calendar-button  name="Shoal Creek Labor Day Singing and Cleburne County Singing"   location="Shoal Creek Baptist Church, Talladega National Forest"   description="9:30am; shapenotesingings.com"   options="'Apple','Google','iCal','Outlook.com'"   styleLight="--btn-background: #550000; --btn-text: #fff; --btn-shadow:#fff;"startDate="2025-09-01"{endDate="2025-09-01" startTime="09:30" endTime="15:00" timeZone="America/Chicago" &gt;&lt;/add-to-calendar-button&gt;</v>
      </c>
      <c r="AE241" s="24">
        <v>0.39583333333333331</v>
      </c>
      <c r="AF241" s="24">
        <v>0.625</v>
      </c>
      <c r="AG241" s="25" t="s">
        <v>1533</v>
      </c>
    </row>
    <row r="242" spans="1:33" x14ac:dyDescent="0.3">
      <c r="A242" t="s">
        <v>8</v>
      </c>
      <c r="B242" t="s">
        <v>114</v>
      </c>
      <c r="C242" t="s">
        <v>1153</v>
      </c>
      <c r="D242" t="s">
        <v>878</v>
      </c>
      <c r="E242" t="s">
        <v>781</v>
      </c>
      <c r="F242" t="s">
        <v>888</v>
      </c>
      <c r="G242" s="7">
        <f ca="1">X242</f>
        <v>45906</v>
      </c>
      <c r="H242" s="5" t="s">
        <v>881</v>
      </c>
      <c r="I242" t="s">
        <v>1122</v>
      </c>
      <c r="J242" s="36" t="s">
        <v>2616</v>
      </c>
      <c r="K242" t="s">
        <v>1123</v>
      </c>
      <c r="L242" t="s">
        <v>1732</v>
      </c>
      <c r="M242" s="16" t="s">
        <v>879</v>
      </c>
      <c r="N242" s="16" t="s">
        <v>880</v>
      </c>
      <c r="O242" s="7">
        <v>44927</v>
      </c>
      <c r="P242" s="7" t="s">
        <v>934</v>
      </c>
      <c r="Q242" s="18">
        <v>9</v>
      </c>
      <c r="R242" s="18">
        <v>1</v>
      </c>
      <c r="S242" s="18">
        <v>1</v>
      </c>
      <c r="T242" s="4">
        <f>DATE(AI$2,$Q242,1+(($R242-($S242&gt;=WEEKDAY(DATE(AI$2,$Q242,1))))*7)+($S242-WEEKDAY(DATE(AI$2,$Q242,1))))</f>
        <v>45907</v>
      </c>
      <c r="U242" s="4">
        <f>DATE(AJ$2,$Q242,1+(($R242-($S242&gt;=WEEKDAY(DATE(AJ$2,$Q242,1))))*7)+($S242-WEEKDAY(DATE(AJ$2,$Q242,1))))</f>
        <v>46271</v>
      </c>
      <c r="V242" s="20">
        <v>-1</v>
      </c>
      <c r="W242" s="20">
        <v>1</v>
      </c>
      <c r="X242" s="4">
        <f ca="1">Y242-(W242-1)</f>
        <v>45906</v>
      </c>
      <c r="Y242" s="5">
        <f ca="1">IF(OR(T242+V242&lt;(NOW()-0.5),ISNUMBER(SEARCH("&lt;h4&gt;",K242))),U242+V242,T242+V242)</f>
        <v>45906</v>
      </c>
      <c r="Z242" t="str">
        <f ca="1">CONCATENATE(IF(OR(Y242=X242,ISBLANK(Y242)),TEXT(X242,"mmmm d"),CONCATENATE(TEXT(X242,"mmmm d"),"-",IF(TEXT(X242,"mmmm")=TEXT(Y242,"mmmm"),TEXT(Y242,"d"),TEXT(Y242,"mmmm d")))),", ",YEAR(Y242))</f>
        <v>September 6, 2025</v>
      </c>
      <c r="AA242" s="7">
        <f>O242</f>
        <v>44927</v>
      </c>
      <c r="AB242" s="14">
        <f>T242+V242-(W242-1)</f>
        <v>45906</v>
      </c>
      <c r="AC242" t="s">
        <v>1348</v>
      </c>
      <c r="AD242" s="23" t="str">
        <f ca="1">CONCATENATE("&lt;add-to-calendar-button  name=",CHAR(34),H242,CHAR(34),
IF(ISBLANK(M242),"",CONCATENATE("   location=",CHAR(34),RIGHT(M242,LEN(M242)-SEARCH("|",M242)-1),CHAR(34))),
"   description=",CHAR(34),IF(ISBLANK(I242),"",CONCATENATE(I242,"; ")),"shapenotesingings.com",CHAR(34),
"   options=",CHAR(34),"'Apple','Google','iCal','Outlook.com'",CHAR(34),"   styleLight=",CHAR(34),"--btn-background: #550000; --btn-text: #fff; --btn-shadow:#fff;",CHAR(34),
IF(W242=1,CONCATENATE(
"startDate=",CHAR(34),TEXT(G242,"yyyy-mm-dd"),CHAR(34),
"{endDate=",CHAR(34),TEXT(G242,"yyyy-mm-dd"),CHAR(34),
IF(OR(ISBLANK(AE242),ISBLANK(AF242)),"",(CONCATENATE(" startTime=",CHAR(34),TEXT(AE242,"hh:mm"),CHAR(34)," endTime=",CHAR(34),TEXT(AF242,"h:mm"),CHAR(34),
" timeZone=",CHAR(34),AG242,CHAR(34))))),
IF(W242=2,CONCATENATE(" dates='[{",
CHAR(34),"startDate",CHAR(34),":",CHAR(34),TEXT(G242,"yyyy-mm-dd"),CHAR(34),", ",
,CHAR(34),"endDate",CHAR(34),":",CHAR(34),TEXT(G242,"yyyy-mm-dd"),CHAR(34),
IF(OR(ISBLANK(AE242),ISBLANK(AF242)),"",(CONCATENATE(", ",CHAR(34),"startTime",CHAR(34),":",CHAR(34),TEXT(AE242,"hh:mm"),CHAR(34),", ",CHAR(34),"endTime",CHAR(34),":",CHAR(34),TEXT(AF242,"hh:mm"),CHAR(34),", ",CHAR(34),"timeZone",CHAR(34),":",CHAR(34),AG242,CHAR(34)))),"}, {",
,CHAR(34),"startDate",CHAR(34),":",CHAR(34),TEXT(G242+1,"yyyy-mm-dd"),CHAR(34),", ",
,CHAR(34),"endDate",CHAR(34),":",CHAR(34),TEXT(G242+W242-1,"yyyy-mm-dd"),CHAR(34),
IF(OR(ISBLANK(AE242),ISBLANK(AF242)),"",(CONCATENATE(", ",CHAR(34),"startTime",CHAR(34),":",CHAR(34),TEXT(AE242,"hh:mm"),CHAR(34),", ",CHAR(34),"endTime",CHAR(34),":",CHAR(34),TEXT(AF242,"hh:mm"),CHAR(34),", ",CHAR(34),"timeZone",CHAR(34),":",CHAR(34),AG242,CHAR(34)))),"}]'"),
CONCATENATE(
"{  startDate=",CHAR(34),TEXT(G242,"yyyy-mm-dd"),CHAR(34),
"  endDate=",CHAR(34),TEXT(G242+W242-1,"yyyy-mm-dd"),CHAR(34),"}"))),
" &gt;&lt;/add-to-calendar-button&gt;")</f>
        <v>&lt;add-to-calendar-button  name="Etowah Fall Singing"   location="Etowah Lions Club, 447 Etowah School Road, Hendersonville, NC 28739"   description="9:15am-3pm; shapenotesingings.com"   options="'Apple','Google','iCal','Outlook.com'"   styleLight="--btn-background: #550000; --btn-text: #fff; --btn-shadow:#fff;"startDate="2025-09-06"{endDate="2025-09-06" &gt;&lt;/add-to-calendar-button&gt;</v>
      </c>
      <c r="AG242" s="25" t="s">
        <v>1532</v>
      </c>
    </row>
    <row r="243" spans="1:33" x14ac:dyDescent="0.3">
      <c r="A243" t="s">
        <v>8</v>
      </c>
      <c r="B243" t="s">
        <v>11</v>
      </c>
      <c r="C243" t="s">
        <v>1134</v>
      </c>
      <c r="D243" t="s">
        <v>173</v>
      </c>
      <c r="E243" t="s">
        <v>2178</v>
      </c>
      <c r="F243" t="s">
        <v>888</v>
      </c>
      <c r="G243" s="7">
        <f ca="1">X243</f>
        <v>45906</v>
      </c>
      <c r="H243" s="5" t="s">
        <v>613</v>
      </c>
      <c r="I243" t="s">
        <v>1040</v>
      </c>
      <c r="J243" s="36" t="s">
        <v>2862</v>
      </c>
      <c r="L243" t="s">
        <v>956</v>
      </c>
      <c r="M243" s="16" t="s">
        <v>614</v>
      </c>
      <c r="N243" s="16" t="s">
        <v>175</v>
      </c>
      <c r="O243" s="7">
        <v>44936</v>
      </c>
      <c r="P243" s="7" t="s">
        <v>926</v>
      </c>
      <c r="Q243" s="18">
        <v>9</v>
      </c>
      <c r="R243" s="18">
        <v>1</v>
      </c>
      <c r="S243" s="18">
        <v>1</v>
      </c>
      <c r="T243" s="4">
        <f>DATE(AI$2,$Q243,1+(($R243-($S243&gt;=WEEKDAY(DATE(AI$2,$Q243,1))))*7)+($S243-WEEKDAY(DATE(AI$2,$Q243,1))))</f>
        <v>45907</v>
      </c>
      <c r="U243" s="4">
        <f>DATE(AJ$2,$Q243,1+(($R243-($S243&gt;=WEEKDAY(DATE(AJ$2,$Q243,1))))*7)+($S243-WEEKDAY(DATE(AJ$2,$Q243,1))))</f>
        <v>46271</v>
      </c>
      <c r="V243" s="20">
        <v>-1</v>
      </c>
      <c r="W243" s="20">
        <v>1</v>
      </c>
      <c r="X243" s="4">
        <f ca="1">Y243-(W243-1)</f>
        <v>45906</v>
      </c>
      <c r="Y243" s="5">
        <f ca="1">IF(OR(T243+V243&lt;(NOW()-0.5),ISNUMBER(SEARCH("&lt;h4&gt;",K243))),U243+V243,T243+V243)</f>
        <v>45906</v>
      </c>
      <c r="Z243" t="str">
        <f ca="1">CONCATENATE(IF(OR(Y243=X243,ISBLANK(Y243)),TEXT(X243,"mmmm d"),CONCATENATE(TEXT(X243,"mmmm d"),"-",IF(TEXT(X243,"mmmm")=TEXT(Y243,"mmmm"),TEXT(Y243,"d"),TEXT(Y243,"mmmm d")))),", ",YEAR(Y243))</f>
        <v>September 6, 2025</v>
      </c>
      <c r="AA243" s="7">
        <f>O243</f>
        <v>44936</v>
      </c>
      <c r="AB243" s="14">
        <f>T243+V243-(W243-1)</f>
        <v>45906</v>
      </c>
      <c r="AC243" t="s">
        <v>1345</v>
      </c>
      <c r="AD243" s="23" t="str">
        <f ca="1">CONCATENATE("&lt;add-to-calendar-button  name=",CHAR(34),H243,CHAR(34),
IF(ISBLANK(M243),"",CONCATENATE("   location=",CHAR(34),RIGHT(M243,LEN(M243)-SEARCH("|",M243)-1),CHAR(34))),
"   description=",CHAR(34),IF(ISBLANK(I243),"",CONCATENATE(I243,"; ")),"shapenotesingings.com",CHAR(34),
"   options=",CHAR(34),"'Apple','Google','iCal','Outlook.com'",CHAR(34),"   styleLight=",CHAR(34),"--btn-background: #550000; --btn-text: #fff; --btn-shadow:#fff;",CHAR(34),
IF(W243=1,CONCATENATE(
"startDate=",CHAR(34),TEXT(G243,"yyyy-mm-dd"),CHAR(34),
"{endDate=",CHAR(34),TEXT(G243,"yyyy-mm-dd"),CHAR(34),
IF(OR(ISBLANK(AE243),ISBLANK(AF243)),"",(CONCATENATE(" startTime=",CHAR(34),TEXT(AE243,"hh:mm"),CHAR(34)," endTime=",CHAR(34),TEXT(AF243,"h:mm"),CHAR(34),
" timeZone=",CHAR(34),AG243,CHAR(34))))),
IF(W243=2,CONCATENATE(" dates='[{",
CHAR(34),"startDate",CHAR(34),":",CHAR(34),TEXT(G243,"yyyy-mm-dd"),CHAR(34),", ",
,CHAR(34),"endDate",CHAR(34),":",CHAR(34),TEXT(G243,"yyyy-mm-dd"),CHAR(34),
IF(OR(ISBLANK(AE243),ISBLANK(AF243)),"",(CONCATENATE(", ",CHAR(34),"startTime",CHAR(34),":",CHAR(34),TEXT(AE243,"hh:mm"),CHAR(34),", ",CHAR(34),"endTime",CHAR(34),":",CHAR(34),TEXT(AF243,"hh:mm"),CHAR(34),", ",CHAR(34),"timeZone",CHAR(34),":",CHAR(34),AG243,CHAR(34)))),"}, {",
,CHAR(34),"startDate",CHAR(34),":",CHAR(34),TEXT(G243+1,"yyyy-mm-dd"),CHAR(34),", ",
,CHAR(34),"endDate",CHAR(34),":",CHAR(34),TEXT(G243+W243-1,"yyyy-mm-dd"),CHAR(34),
IF(OR(ISBLANK(AE243),ISBLANK(AF243)),"",(CONCATENATE(", ",CHAR(34),"startTime",CHAR(34),":",CHAR(34),TEXT(AE243,"hh:mm"),CHAR(34),", ",CHAR(34),"endTime",CHAR(34),":",CHAR(34),TEXT(AF243,"hh:mm"),CHAR(34),", ",CHAR(34),"timeZone",CHAR(34),":",CHAR(34),AG243,CHAR(34)))),"}]'"),
CONCATENATE(
"{  startDate=",CHAR(34),TEXT(G243,"yyyy-mm-dd"),CHAR(34),
"  endDate=",CHAR(34),TEXT(G243+W243-1,"yyyy-mm-dd"),CHAR(34),"}"))),
" &gt;&lt;/add-to-calendar-button&gt;")</f>
        <v>&lt;add-to-calendar-button  name="Mulberry River Convention"   location="Old County Line Church, 9282 Miller Rd, Warrior, AL 35180"   description="9:30am; shapenotesingings.com"   options="'Apple','Google','iCal','Outlook.com'"   styleLight="--btn-background: #550000; --btn-text: #fff; --btn-shadow:#fff;"startDate="2025-09-06"{endDate="2025-09-06" startTime="09:30" endTime="15:00" timeZone="America/Chicago" &gt;&lt;/add-to-calendar-button&gt;</v>
      </c>
      <c r="AE243" s="24">
        <v>0.39583333333333331</v>
      </c>
      <c r="AF243" s="24">
        <v>0.625</v>
      </c>
      <c r="AG243" s="25" t="s">
        <v>1533</v>
      </c>
    </row>
    <row r="244" spans="1:33" x14ac:dyDescent="0.3">
      <c r="A244" t="s">
        <v>8</v>
      </c>
      <c r="B244" t="s">
        <v>608</v>
      </c>
      <c r="C244" t="s">
        <v>1147</v>
      </c>
      <c r="D244" t="s">
        <v>609</v>
      </c>
      <c r="E244" t="s">
        <v>2177</v>
      </c>
      <c r="F244" t="s">
        <v>888</v>
      </c>
      <c r="G244" s="7">
        <f ca="1">X244</f>
        <v>45906</v>
      </c>
      <c r="H244" s="5" t="s">
        <v>831</v>
      </c>
      <c r="L244" t="s">
        <v>2246</v>
      </c>
      <c r="M244" s="16" t="s">
        <v>1022</v>
      </c>
      <c r="N244" s="16" t="s">
        <v>607</v>
      </c>
      <c r="O244" s="7">
        <v>44936</v>
      </c>
      <c r="P244" s="7" t="s">
        <v>926</v>
      </c>
      <c r="Q244" s="18">
        <v>9</v>
      </c>
      <c r="R244" s="18">
        <v>1</v>
      </c>
      <c r="S244" s="18">
        <v>1</v>
      </c>
      <c r="T244" s="4">
        <f>DATE(AI$2,$Q244,1+(($R244-($S244&gt;=WEEKDAY(DATE(AI$2,$Q244,1))))*7)+($S244-WEEKDAY(DATE(AI$2,$Q244,1))))</f>
        <v>45907</v>
      </c>
      <c r="U244" s="4">
        <f>DATE(AJ$2,$Q244,1+(($R244-($S244&gt;=WEEKDAY(DATE(AJ$2,$Q244,1))))*7)+($S244-WEEKDAY(DATE(AJ$2,$Q244,1))))</f>
        <v>46271</v>
      </c>
      <c r="V244" s="20">
        <v>-1</v>
      </c>
      <c r="W244" s="20">
        <v>1</v>
      </c>
      <c r="X244" s="4">
        <f ca="1">Y244-(W244-1)</f>
        <v>45906</v>
      </c>
      <c r="Y244" s="5">
        <f ca="1">IF(OR(T244+V244&lt;(NOW()-0.5),ISNUMBER(SEARCH("&lt;h4&gt;",K244))),U244+V244,T244+V244)</f>
        <v>45906</v>
      </c>
      <c r="Z244" t="str">
        <f ca="1">CONCATENATE(IF(OR(Y244=X244,ISBLANK(Y244)),TEXT(X244,"mmmm d"),CONCATENATE(TEXT(X244,"mmmm d"),"-",IF(TEXT(X244,"mmmm")=TEXT(Y244,"mmmm"),TEXT(Y244,"d"),TEXT(Y244,"mmmm d")))),", ",YEAR(Y244))</f>
        <v>September 6, 2025</v>
      </c>
      <c r="AA244" s="7">
        <f>O244</f>
        <v>44936</v>
      </c>
      <c r="AB244" s="14">
        <f>T244+V244-(W244-1)</f>
        <v>45906</v>
      </c>
      <c r="AC244" t="s">
        <v>1347</v>
      </c>
      <c r="AD244" s="23" t="str">
        <f ca="1">CONCATENATE("&lt;add-to-calendar-button  name=",CHAR(34),H244,CHAR(34),
IF(ISBLANK(M244),"",CONCATENATE("   location=",CHAR(34),RIGHT(M244,LEN(M244)-SEARCH("|",M244)-1),CHAR(34))),
"   description=",CHAR(34),IF(ISBLANK(I244),"",CONCATENATE(I244,"; ")),"shapenotesingings.com",CHAR(34),
"   options=",CHAR(34),"'Apple','Google','iCal','Outlook.com'",CHAR(34),"   styleLight=",CHAR(34),"--btn-background: #550000; --btn-text: #fff; --btn-shadow:#fff;",CHAR(34),
IF(W244=1,CONCATENATE(
"startDate=",CHAR(34),TEXT(G244,"yyyy-mm-dd"),CHAR(34),
"{endDate=",CHAR(34),TEXT(G244,"yyyy-mm-dd"),CHAR(34),
IF(OR(ISBLANK(AE244),ISBLANK(AF244)),"",(CONCATENATE(" startTime=",CHAR(34),TEXT(AE244,"hh:mm"),CHAR(34)," endTime=",CHAR(34),TEXT(AF244,"h:mm"),CHAR(34),
" timeZone=",CHAR(34),AG244,CHAR(34))))),
IF(W244=2,CONCATENATE(" dates='[{",
CHAR(34),"startDate",CHAR(34),":",CHAR(34),TEXT(G244,"yyyy-mm-dd"),CHAR(34),", ",
,CHAR(34),"endDate",CHAR(34),":",CHAR(34),TEXT(G244,"yyyy-mm-dd"),CHAR(34),
IF(OR(ISBLANK(AE244),ISBLANK(AF244)),"",(CONCATENATE(", ",CHAR(34),"startTime",CHAR(34),":",CHAR(34),TEXT(AE244,"hh:mm"),CHAR(34),", ",CHAR(34),"endTime",CHAR(34),":",CHAR(34),TEXT(AF244,"hh:mm"),CHAR(34),", ",CHAR(34),"timeZone",CHAR(34),":",CHAR(34),AG244,CHAR(34)))),"}, {",
,CHAR(34),"startDate",CHAR(34),":",CHAR(34),TEXT(G244+1,"yyyy-mm-dd"),CHAR(34),", ",
,CHAR(34),"endDate",CHAR(34),":",CHAR(34),TEXT(G244+W244-1,"yyyy-mm-dd"),CHAR(34),
IF(OR(ISBLANK(AE244),ISBLANK(AF244)),"",(CONCATENATE(", ",CHAR(34),"startTime",CHAR(34),":",CHAR(34),TEXT(AE244,"hh:mm"),CHAR(34),", ",CHAR(34),"endTime",CHAR(34),":",CHAR(34),TEXT(AF244,"hh:mm"),CHAR(34),", ",CHAR(34),"timeZone",CHAR(34),":",CHAR(34),AG244,CHAR(34)))),"}]'"),
CONCATENATE(
"{  startDate=",CHAR(34),TEXT(G244,"yyyy-mm-dd"),CHAR(34),
"  endDate=",CHAR(34),TEXT(G244+W244-1,"yyyy-mm-dd"),CHAR(34),"}"))),
" &gt;&lt;/add-to-calendar-button&gt;")</f>
        <v>&lt;add-to-calendar-button  name="Central Louisiana All-Day Singing"   location="New Providence Primitive Baptist Church, LA-154, Ringgold, LA 71068"   description="shapenotesingings.com"   options="'Apple','Google','iCal','Outlook.com'"   styleLight="--btn-background: #550000; --btn-text: #fff; --btn-shadow:#fff;"startDate="2025-09-06"{endDate="2025-09-06" &gt;&lt;/add-to-calendar-button&gt;</v>
      </c>
      <c r="AG244" s="25" t="s">
        <v>1533</v>
      </c>
    </row>
    <row r="245" spans="1:33" x14ac:dyDescent="0.3">
      <c r="A245" t="s">
        <v>8</v>
      </c>
      <c r="B245" t="s">
        <v>17</v>
      </c>
      <c r="C245" t="s">
        <v>1140</v>
      </c>
      <c r="D245" t="s">
        <v>25</v>
      </c>
      <c r="E245" t="s">
        <v>33</v>
      </c>
      <c r="F245" t="s">
        <v>888</v>
      </c>
      <c r="G245" s="7">
        <f ca="1">X245</f>
        <v>45906</v>
      </c>
      <c r="H245" s="5" t="s">
        <v>26</v>
      </c>
      <c r="J245" s="36" t="s">
        <v>2863</v>
      </c>
      <c r="L245" t="s">
        <v>2072</v>
      </c>
      <c r="M245" s="16" t="s">
        <v>1010</v>
      </c>
      <c r="N245" s="16" t="s">
        <v>122</v>
      </c>
      <c r="O245" s="7">
        <v>44936</v>
      </c>
      <c r="P245" s="7" t="s">
        <v>926</v>
      </c>
      <c r="Q245" s="18">
        <v>9</v>
      </c>
      <c r="R245" s="18">
        <v>1</v>
      </c>
      <c r="S245" s="18">
        <v>1</v>
      </c>
      <c r="T245" s="4">
        <f>DATE(AI$2,$Q245,1+(($R245-($S245&gt;=WEEKDAY(DATE(AI$2,$Q245,1))))*7)+($S245-WEEKDAY(DATE(AI$2,$Q245,1))))</f>
        <v>45907</v>
      </c>
      <c r="U245" s="4">
        <f>DATE(AJ$2,$Q245,1+(($R245-($S245&gt;=WEEKDAY(DATE(AJ$2,$Q245,1))))*7)+($S245-WEEKDAY(DATE(AJ$2,$Q245,1))))</f>
        <v>46271</v>
      </c>
      <c r="V245" s="20">
        <v>-1</v>
      </c>
      <c r="W245" s="20">
        <v>1</v>
      </c>
      <c r="X245" s="4">
        <f ca="1">Y245-(W245-1)</f>
        <v>45906</v>
      </c>
      <c r="Y245" s="5">
        <f ca="1">IF(OR(T245+V245&lt;(NOW()-0.5),ISNUMBER(SEARCH("&lt;h4&gt;",K245))),U245+V245,T245+V245)</f>
        <v>45906</v>
      </c>
      <c r="Z245" t="str">
        <f ca="1">CONCATENATE(IF(OR(Y245=X245,ISBLANK(Y245)),TEXT(X245,"mmmm d"),CONCATENATE(TEXT(X245,"mmmm d"),"-",IF(TEXT(X245,"mmmm")=TEXT(Y245,"mmmm"),TEXT(Y245,"d"),TEXT(Y245,"mmmm d")))),", ",YEAR(Y245))</f>
        <v>September 6, 2025</v>
      </c>
      <c r="AA245" s="7">
        <f>O245</f>
        <v>44936</v>
      </c>
      <c r="AB245" s="14">
        <f>T245+V245-(W245-1)</f>
        <v>45906</v>
      </c>
      <c r="AC245" t="s">
        <v>1346</v>
      </c>
      <c r="AD245" s="23" t="str">
        <f ca="1">CONCATENATE("&lt;add-to-calendar-button  name=",CHAR(34),H245,CHAR(34),
IF(ISBLANK(M245),"",CONCATENATE("   location=",CHAR(34),RIGHT(M245,LEN(M245)-SEARCH("|",M245)-1),CHAR(34))),
"   description=",CHAR(34),IF(ISBLANK(I245),"",CONCATENATE(I245,"; ")),"shapenotesingings.com",CHAR(34),
"   options=",CHAR(34),"'Apple','Google','iCal','Outlook.com'",CHAR(34),"   styleLight=",CHAR(34),"--btn-background: #550000; --btn-text: #fff; --btn-shadow:#fff;",CHAR(34),
IF(W245=1,CONCATENATE(
"startDate=",CHAR(34),TEXT(G245,"yyyy-mm-dd"),CHAR(34),
"{endDate=",CHAR(34),TEXT(G245,"yyyy-mm-dd"),CHAR(34),
IF(OR(ISBLANK(AE245),ISBLANK(AF245)),"",(CONCATENATE(" startTime=",CHAR(34),TEXT(AE245,"hh:mm"),CHAR(34)," endTime=",CHAR(34),TEXT(AF245,"h:mm"),CHAR(34),
" timeZone=",CHAR(34),AG245,CHAR(34))))),
IF(W245=2,CONCATENATE(" dates='[{",
CHAR(34),"startDate",CHAR(34),":",CHAR(34),TEXT(G245,"yyyy-mm-dd"),CHAR(34),", ",
,CHAR(34),"endDate",CHAR(34),":",CHAR(34),TEXT(G245,"yyyy-mm-dd"),CHAR(34),
IF(OR(ISBLANK(AE245),ISBLANK(AF245)),"",(CONCATENATE(", ",CHAR(34),"startTime",CHAR(34),":",CHAR(34),TEXT(AE245,"hh:mm"),CHAR(34),", ",CHAR(34),"endTime",CHAR(34),":",CHAR(34),TEXT(AF245,"hh:mm"),CHAR(34),", ",CHAR(34),"timeZone",CHAR(34),":",CHAR(34),AG245,CHAR(34)))),"}, {",
,CHAR(34),"startDate",CHAR(34),":",CHAR(34),TEXT(G245+1,"yyyy-mm-dd"),CHAR(34),", ",
,CHAR(34),"endDate",CHAR(34),":",CHAR(34),TEXT(G245+W245-1,"yyyy-mm-dd"),CHAR(34),
IF(OR(ISBLANK(AE245),ISBLANK(AF245)),"",(CONCATENATE(", ",CHAR(34),"startTime",CHAR(34),":",CHAR(34),TEXT(AE245,"hh:mm"),CHAR(34),", ",CHAR(34),"endTime",CHAR(34),":",CHAR(34),TEXT(AF245,"hh:mm"),CHAR(34),", ",CHAR(34),"timeZone",CHAR(34),":",CHAR(34),AG245,CHAR(34)))),"}]'"),
CONCATENATE(
"{  startDate=",CHAR(34),TEXT(G245,"yyyy-mm-dd"),CHAR(34),
"  endDate=",CHAR(34),TEXT(G245+W245-1,"yyyy-mm-dd"),CHAR(34),"}"))),
" &gt;&lt;/add-to-calendar-button&gt;")</f>
        <v>&lt;add-to-calendar-button  name="Georgian Harmony Singing"   location="Roberta Civic Center, 93 S Mathews St, Roberta, GA 31078"   description="shapenotesingings.com"   options="'Apple','Google','iCal','Outlook.com'"   styleLight="--btn-background: #550000; --btn-text: #fff; --btn-shadow:#fff;"startDate="2025-09-06"{endDate="2025-09-06" startTime="10:00" endTime="15:00" timeZone="America/New_York" &gt;&lt;/add-to-calendar-button&gt;</v>
      </c>
      <c r="AE245" s="24">
        <v>0.41666666666666669</v>
      </c>
      <c r="AF245" s="24">
        <v>0.625</v>
      </c>
      <c r="AG245" s="25" t="s">
        <v>1532</v>
      </c>
    </row>
    <row r="246" spans="1:33" x14ac:dyDescent="0.3">
      <c r="A246" t="s">
        <v>8</v>
      </c>
      <c r="B246" t="s">
        <v>20</v>
      </c>
      <c r="C246" t="s">
        <v>1156</v>
      </c>
      <c r="D246" t="s">
        <v>626</v>
      </c>
      <c r="E246" t="s">
        <v>2178</v>
      </c>
      <c r="F246" t="s">
        <v>635</v>
      </c>
      <c r="G246" s="7">
        <f ca="1">X246</f>
        <v>45906</v>
      </c>
      <c r="H246" s="5" t="s">
        <v>1711</v>
      </c>
      <c r="I246" s="28" t="s">
        <v>1040</v>
      </c>
      <c r="J246" s="38" t="s">
        <v>2864</v>
      </c>
      <c r="L246" t="s">
        <v>2481</v>
      </c>
      <c r="M246" s="16" t="s">
        <v>627</v>
      </c>
      <c r="N246" s="16" t="s">
        <v>628</v>
      </c>
      <c r="O246" s="7">
        <v>44936</v>
      </c>
      <c r="P246" s="7" t="s">
        <v>926</v>
      </c>
      <c r="Q246" s="18">
        <v>9</v>
      </c>
      <c r="R246" s="18">
        <v>1</v>
      </c>
      <c r="S246" s="18">
        <v>2</v>
      </c>
      <c r="T246" s="4">
        <f>DATE(AI$2,$Q246,1+(($R246-($S246&gt;=WEEKDAY(DATE(AI$2,$Q246,1))))*7)+($S246-WEEKDAY(DATE(AI$2,$Q246,1))))</f>
        <v>45901</v>
      </c>
      <c r="U246" s="4">
        <f>DATE(AJ$2,$Q246,1+(($R246-($S246&gt;=WEEKDAY(DATE(AJ$2,$Q246,1))))*7)+($S246-WEEKDAY(DATE(AJ$2,$Q246,1))))</f>
        <v>46272</v>
      </c>
      <c r="V246" s="20">
        <v>5</v>
      </c>
      <c r="W246" s="20">
        <v>1</v>
      </c>
      <c r="X246" s="4">
        <f ca="1">Y246-(W246-1)</f>
        <v>45906</v>
      </c>
      <c r="Y246" s="5">
        <f ca="1">IF(OR(T246+V246&lt;(NOW()-0.5),ISNUMBER(SEARCH("&lt;h4&gt;",K246))),U246+V246,T246+V246)</f>
        <v>45906</v>
      </c>
      <c r="Z246" t="str">
        <f ca="1">CONCATENATE(IF(OR(Y246=X246,ISBLANK(Y246)),TEXT(X246,"mmmm d"),CONCATENATE(TEXT(X246,"mmmm d"),"-",IF(TEXT(X246,"mmmm")=TEXT(Y246,"mmmm"),TEXT(Y246,"d"),TEXT(Y246,"mmmm d")))),", ",YEAR(Y246))</f>
        <v>September 6, 2025</v>
      </c>
      <c r="AA246" s="7">
        <f>O246</f>
        <v>44936</v>
      </c>
      <c r="AB246" s="14">
        <f>T246+V246-(W246-1)</f>
        <v>45906</v>
      </c>
      <c r="AC246" t="s">
        <v>1354</v>
      </c>
      <c r="AD246" s="23" t="str">
        <f ca="1">CONCATENATE("&lt;add-to-calendar-button  name=",CHAR(34),H246,CHAR(34),
IF(ISBLANK(M246),"",CONCATENATE("   location=",CHAR(34),RIGHT(M246,LEN(M246)-SEARCH("|",M246)-1),CHAR(34))),
"   description=",CHAR(34),IF(ISBLANK(I246),"",CONCATENATE(I246,"; ")),"shapenotesingings.com",CHAR(34),
"   options=",CHAR(34),"'Apple','Google','iCal','Outlook.com'",CHAR(34),"   styleLight=",CHAR(34),"--btn-background: #550000; --btn-text: #fff; --btn-shadow:#fff;",CHAR(34),
IF(W246=1,CONCATENATE(
"startDate=",CHAR(34),TEXT(G246,"yyyy-mm-dd"),CHAR(34),
"{endDate=",CHAR(34),TEXT(G246,"yyyy-mm-dd"),CHAR(34),
IF(OR(ISBLANK(AE246),ISBLANK(AF246)),"",(CONCATENATE(" startTime=",CHAR(34),TEXT(AE246,"hh:mm"),CHAR(34)," endTime=",CHAR(34),TEXT(AF246,"h:mm"),CHAR(34),
" timeZone=",CHAR(34),AG246,CHAR(34))))),
IF(W246=2,CONCATENATE(" dates='[{",
CHAR(34),"startDate",CHAR(34),":",CHAR(34),TEXT(G246,"yyyy-mm-dd"),CHAR(34),", ",
,CHAR(34),"endDate",CHAR(34),":",CHAR(34),TEXT(G246,"yyyy-mm-dd"),CHAR(34),
IF(OR(ISBLANK(AE246),ISBLANK(AF246)),"",(CONCATENATE(", ",CHAR(34),"startTime",CHAR(34),":",CHAR(34),TEXT(AE246,"hh:mm"),CHAR(34),", ",CHAR(34),"endTime",CHAR(34),":",CHAR(34),TEXT(AF246,"hh:mm"),CHAR(34),", ",CHAR(34),"timeZone",CHAR(34),":",CHAR(34),AG246,CHAR(34)))),"}, {",
,CHAR(34),"startDate",CHAR(34),":",CHAR(34),TEXT(G246+1,"yyyy-mm-dd"),CHAR(34),", ",
,CHAR(34),"endDate",CHAR(34),":",CHAR(34),TEXT(G246+W246-1,"yyyy-mm-dd"),CHAR(34),
IF(OR(ISBLANK(AE246),ISBLANK(AF246)),"",(CONCATENATE(", ",CHAR(34),"startTime",CHAR(34),":",CHAR(34),TEXT(AE246,"hh:mm"),CHAR(34),", ",CHAR(34),"endTime",CHAR(34),":",CHAR(34),TEXT(AF246,"hh:mm"),CHAR(34),", ",CHAR(34),"timeZone",CHAR(34),":",CHAR(34),AG246,CHAR(34)))),"}]'"),
CONCATENATE(
"{  startDate=",CHAR(34),TEXT(G246,"yyyy-mm-dd"),CHAR(34),
"  endDate=",CHAR(34),TEXT(G246+W246-1,"yyyy-mm-dd"),CHAR(34),"}"))),
" &gt;&lt;/add-to-calendar-button&gt;")</f>
        <v>&lt;add-to-calendar-button  name="Cape Meares All-Day Singing"   location="Community Schoolhouse, Cape Meares, Oregon"   description="9:30am; shapenotesingings.com"   options="'Apple','Google','iCal','Outlook.com'"   styleLight="--btn-background: #550000; --btn-text: #fff; --btn-shadow:#fff;"startDate="2025-09-06"{endDate="2025-09-06" startTime="09:30" endTime="15:00" timeZone="America/Los_Angeles" &gt;&lt;/add-to-calendar-button&gt;</v>
      </c>
      <c r="AE246" s="24">
        <v>0.39583333333333331</v>
      </c>
      <c r="AF246" s="24">
        <v>0.625</v>
      </c>
      <c r="AG246" s="25" t="s">
        <v>1534</v>
      </c>
    </row>
    <row r="247" spans="1:33" x14ac:dyDescent="0.3">
      <c r="A247" t="s">
        <v>8</v>
      </c>
      <c r="B247" t="s">
        <v>357</v>
      </c>
      <c r="C247" t="s">
        <v>1143</v>
      </c>
      <c r="D247" t="s">
        <v>2194</v>
      </c>
      <c r="E247" t="s">
        <v>2178</v>
      </c>
      <c r="F247" t="s">
        <v>1701</v>
      </c>
      <c r="G247" s="7">
        <f ca="1">X247</f>
        <v>45934</v>
      </c>
      <c r="H247" s="5" t="s">
        <v>2195</v>
      </c>
      <c r="I247" t="s">
        <v>1037</v>
      </c>
      <c r="J247" s="36" t="s">
        <v>2865</v>
      </c>
      <c r="L247" t="s">
        <v>2255</v>
      </c>
      <c r="M247" s="16" t="s">
        <v>2196</v>
      </c>
      <c r="N247" s="16" t="s">
        <v>2197</v>
      </c>
      <c r="O247" s="7">
        <v>45730</v>
      </c>
      <c r="P247" s="7" t="s">
        <v>2887</v>
      </c>
      <c r="Q247" s="18">
        <v>10</v>
      </c>
      <c r="R247" s="18">
        <v>1</v>
      </c>
      <c r="S247" s="18">
        <v>1</v>
      </c>
      <c r="T247" s="4">
        <f>DATE(AI$2,$Q247,1+(($R247-($S247&gt;=WEEKDAY(DATE(AI$2,$Q247,1))))*7)+($S247-WEEKDAY(DATE(AI$2,$Q247,1))))</f>
        <v>45935</v>
      </c>
      <c r="U247" s="4">
        <f>DATE(AJ$2,$Q247,1+(($R247-($S247&gt;=WEEKDAY(DATE(AJ$2,$Q247,1))))*7)+($S247-WEEKDAY(DATE(AJ$2,$Q247,1))))</f>
        <v>46299</v>
      </c>
      <c r="V247" s="20">
        <v>0</v>
      </c>
      <c r="W247" s="20">
        <v>2</v>
      </c>
      <c r="X247" s="4">
        <f ca="1">Y247-(W247-1)</f>
        <v>45934</v>
      </c>
      <c r="Y247" s="5">
        <f ca="1">IF(OR(T247+V247&lt;(NOW()-0.5),ISNUMBER(SEARCH("&lt;h4&gt;",K247))),U247+V247,T247+V247)</f>
        <v>45935</v>
      </c>
      <c r="Z247" t="str">
        <f ca="1">CONCATENATE(IF(OR(Y247=X247,ISBLANK(Y247)),TEXT(X247,"mmmm d"),CONCATENATE(TEXT(X247,"mmmm d"),"-",IF(TEXT(X247,"mmmm")=TEXT(Y247,"mmmm"),TEXT(Y247,"d"),TEXT(Y247,"mmmm d")))),", ",YEAR(Y247))</f>
        <v>October 4-5, 2025</v>
      </c>
      <c r="AA247" s="7">
        <f>O247</f>
        <v>45730</v>
      </c>
      <c r="AB247" s="14">
        <f>T247+V247-(W247-1)</f>
        <v>45934</v>
      </c>
      <c r="AC247" t="s">
        <v>2198</v>
      </c>
      <c r="AD247" s="23" t="str">
        <f ca="1">CONCATENATE("&lt;add-to-calendar-button  name=",CHAR(34),H247,CHAR(34),
IF(ISBLANK(M247),"",CONCATENATE("   location=",CHAR(34),RIGHT(M247,LEN(M247)-SEARCH("|",M247)-1),CHAR(34))),
"   description=",CHAR(34),IF(ISBLANK(I247),"",CONCATENATE(I247,"; ")),"shapenotesingings.com",CHAR(34),
"   options=",CHAR(34),"'Apple','Google','iCal','Outlook.com'",CHAR(34),"   styleLight=",CHAR(34),"--btn-background: #550000; --btn-text: #fff; --btn-shadow:#fff;",CHAR(34),
IF(W247=1,CONCATENATE(
"startDate=",CHAR(34),TEXT(G247,"yyyy-mm-dd"),CHAR(34),
"{endDate=",CHAR(34),TEXT(G247,"yyyy-mm-dd"),CHAR(34),
IF(OR(ISBLANK(AE247),ISBLANK(AF247)),"",(CONCATENATE(" startTime=",CHAR(34),TEXT(AE247,"hh:mm"),CHAR(34)," endTime=",CHAR(34),TEXT(AF247,"h:mm"),CHAR(34),
" timeZone=",CHAR(34),AG247,CHAR(34))))),
IF(W247=2,CONCATENATE(" dates='[{",
CHAR(34),"startDate",CHAR(34),":",CHAR(34),TEXT(G247,"yyyy-mm-dd"),CHAR(34),", ",
,CHAR(34),"endDate",CHAR(34),":",CHAR(34),TEXT(G247,"yyyy-mm-dd"),CHAR(34),
IF(OR(ISBLANK(AE247),ISBLANK(AF247)),"",(CONCATENATE(", ",CHAR(34),"startTime",CHAR(34),":",CHAR(34),TEXT(AE247,"hh:mm"),CHAR(34),", ",CHAR(34),"endTime",CHAR(34),":",CHAR(34),TEXT(AF247,"hh:mm"),CHAR(34),", ",CHAR(34),"timeZone",CHAR(34),":",CHAR(34),AG247,CHAR(34)))),"}, {",
,CHAR(34),"startDate",CHAR(34),":",CHAR(34),TEXT(G247+1,"yyyy-mm-dd"),CHAR(34),", ",
,CHAR(34),"endDate",CHAR(34),":",CHAR(34),TEXT(G247+W247-1,"yyyy-mm-dd"),CHAR(34),
IF(OR(ISBLANK(AE247),ISBLANK(AF247)),"",(CONCATENATE(", ",CHAR(34),"startTime",CHAR(34),":",CHAR(34),TEXT(AE247,"hh:mm"),CHAR(34),", ",CHAR(34),"endTime",CHAR(34),":",CHAR(34),TEXT(AF247,"hh:mm"),CHAR(34),", ",CHAR(34),"timeZone",CHAR(34),":",CHAR(34),AG247,CHAR(34)))),"}]'"),
CONCATENATE(
"{  startDate=",CHAR(34),TEXT(G247,"yyyy-mm-dd"),CHAR(34),
"  endDate=",CHAR(34),TEXT(G247+W247-1,"yyyy-mm-dd"),CHAR(34),"}"))),
" &gt;&lt;/add-to-calendar-button&gt;")</f>
        <v>&lt;add-to-calendar-button  name="Bob Meek Memorial"   location="Harrod's Creek Baptist Church, 8102 Hwy 329, Crestwood, KY 40014"   description="10am-3pm; shapenotesingings.com"   options="'Apple','Google','iCal','Outlook.com'"   styleLight="--btn-background: #550000; --btn-text: #fff; --btn-shadow:#fff;" dates='[{"startDate":"2025-10-04", "endDate":"2025-10-04", "startTime":"10:00", "endTime":"15:00", "timeZone":"America/New_York"}, {"startDate":"2025-10-05", "endDate":"2025-10-05", "startTime":"10:00", "endTime":"15:00", "timeZone":"America/New_York"}]' &gt;&lt;/add-to-calendar-button&gt;</v>
      </c>
      <c r="AE247" s="24">
        <v>0.41666666666666669</v>
      </c>
      <c r="AF247" s="24">
        <v>0.625</v>
      </c>
      <c r="AG247" s="25" t="s">
        <v>1532</v>
      </c>
    </row>
    <row r="248" spans="1:33" x14ac:dyDescent="0.3">
      <c r="A248" t="s">
        <v>8</v>
      </c>
      <c r="B248" t="s">
        <v>2</v>
      </c>
      <c r="C248" t="s">
        <v>1159</v>
      </c>
      <c r="D248" t="s">
        <v>3</v>
      </c>
      <c r="E248" t="s">
        <v>2178</v>
      </c>
      <c r="F248" s="30" t="s">
        <v>2891</v>
      </c>
      <c r="G248" s="7">
        <f ca="1">X248</f>
        <v>45899</v>
      </c>
      <c r="H248" s="5" t="s">
        <v>625</v>
      </c>
      <c r="I248" t="s">
        <v>1037</v>
      </c>
      <c r="J248" s="36" t="s">
        <v>2617</v>
      </c>
      <c r="K248" t="s">
        <v>2892</v>
      </c>
      <c r="L248" t="s">
        <v>2252</v>
      </c>
      <c r="M248" s="16" t="s">
        <v>1682</v>
      </c>
      <c r="N248" s="16" t="s">
        <v>131</v>
      </c>
      <c r="O248" s="7">
        <v>45734</v>
      </c>
      <c r="P248" s="7" t="s">
        <v>2893</v>
      </c>
      <c r="Q248" s="18">
        <v>8</v>
      </c>
      <c r="R248" s="18">
        <v>5</v>
      </c>
      <c r="S248" s="18">
        <v>1</v>
      </c>
      <c r="T248" s="40">
        <f>DATE(AI$2,$Q248,1+(($R248-($S248&gt;=WEEKDAY(DATE(AI$2,$Q248,1))))*7)+($S248-WEEKDAY(DATE(AI$2,$Q248,1))))</f>
        <v>45900</v>
      </c>
      <c r="U248" s="4">
        <f>DATE(AJ$2,$Q248,1+(($R248-($S248&gt;=WEEKDAY(DATE(AJ$2,$Q248,1))))*7)+($S248-WEEKDAY(DATE(AJ$2,$Q248,1))))</f>
        <v>46264</v>
      </c>
      <c r="V248" s="20">
        <v>-1</v>
      </c>
      <c r="W248" s="20">
        <v>1</v>
      </c>
      <c r="X248" s="4">
        <f ca="1">Y248-(W248-1)</f>
        <v>45899</v>
      </c>
      <c r="Y248" s="5">
        <f ca="1">IF(OR(T248+V248&lt;(NOW()-0.5),ISNUMBER(SEARCH("&lt;h4&gt;",K248))),U248+V248,T248+V248)</f>
        <v>45899</v>
      </c>
      <c r="Z248" t="str">
        <f ca="1">CONCATENATE(IF(OR(Y248=X248,ISBLANK(Y248)),TEXT(X248,"mmmm d"),CONCATENATE(TEXT(X248,"mmmm d"),"-",IF(TEXT(X248,"mmmm")=TEXT(Y248,"mmmm"),TEXT(Y248,"d"),TEXT(Y248,"mmmm d")))),", ",YEAR(Y248))</f>
        <v>August 30, 2025</v>
      </c>
      <c r="AA248" s="7">
        <f>O248</f>
        <v>45734</v>
      </c>
      <c r="AB248" s="14">
        <f>T248+V248-(W248-1)</f>
        <v>45899</v>
      </c>
      <c r="AC248" t="s">
        <v>1683</v>
      </c>
      <c r="AD248" s="23" t="str">
        <f ca="1">CONCATENATE("&lt;add-to-calendar-button  name=",CHAR(34),H248,CHAR(34),
IF(ISBLANK(M248),"",CONCATENATE("   location=",CHAR(34),RIGHT(M248,LEN(M248)-SEARCH("|",M248)-1),CHAR(34))),
"   description=",CHAR(34),IF(ISBLANK(I248),"",CONCATENATE(I248,"; ")),"shapenotesingings.com",CHAR(34),
"   options=",CHAR(34),"'Apple','Google','iCal','Outlook.com'",CHAR(34),"   styleLight=",CHAR(34),"--btn-background: #550000; --btn-text: #fff; --btn-shadow:#fff;",CHAR(34),
IF(W248=1,CONCATENATE(
"startDate=",CHAR(34),TEXT(G248,"yyyy-mm-dd"),CHAR(34),
"{endDate=",CHAR(34),TEXT(G248,"yyyy-mm-dd"),CHAR(34),
IF(OR(ISBLANK(AE248),ISBLANK(AF248)),"",(CONCATENATE(" startTime=",CHAR(34),TEXT(AE248,"hh:mm"),CHAR(34)," endTime=",CHAR(34),TEXT(AF248,"h:mm"),CHAR(34),
" timeZone=",CHAR(34),AG248,CHAR(34))))),
IF(W248=2,CONCATENATE(" dates='[{",
CHAR(34),"startDate",CHAR(34),":",CHAR(34),TEXT(G248,"yyyy-mm-dd"),CHAR(34),", ",
,CHAR(34),"endDate",CHAR(34),":",CHAR(34),TEXT(G248,"yyyy-mm-dd"),CHAR(34),
IF(OR(ISBLANK(AE248),ISBLANK(AF248)),"",(CONCATENATE(", ",CHAR(34),"startTime",CHAR(34),":",CHAR(34),TEXT(AE248,"hh:mm"),CHAR(34),", ",CHAR(34),"endTime",CHAR(34),":",CHAR(34),TEXT(AF248,"hh:mm"),CHAR(34),", ",CHAR(34),"timeZone",CHAR(34),":",CHAR(34),AG248,CHAR(34)))),"}, {",
,CHAR(34),"startDate",CHAR(34),":",CHAR(34),TEXT(G248+1,"yyyy-mm-dd"),CHAR(34),", ",
,CHAR(34),"endDate",CHAR(34),":",CHAR(34),TEXT(G248+W248-1,"yyyy-mm-dd"),CHAR(34),
IF(OR(ISBLANK(AE248),ISBLANK(AF248)),"",(CONCATENATE(", ",CHAR(34),"startTime",CHAR(34),":",CHAR(34),TEXT(AE248,"hh:mm"),CHAR(34),", ",CHAR(34),"endTime",CHAR(34),":",CHAR(34),TEXT(AF248,"hh:mm"),CHAR(34),", ",CHAR(34),"timeZone",CHAR(34),":",CHAR(34),AG248,CHAR(34)))),"}]'"),
CONCATENATE(
"{  startDate=",CHAR(34),TEXT(G248,"yyyy-mm-dd"),CHAR(34),
"  endDate=",CHAR(34),TEXT(G248+W248-1,"yyyy-mm-dd"),CHAR(34),"}"))),
" &gt;&lt;/add-to-calendar-button&gt;")</f>
        <v>&lt;add-to-calendar-button  name="Greenville-Pioneer Day Singing"   location="The Church of Greenville, 228 Ladean Ct, Simpsonville, SC 29680"   description="10am-3pm; shapenotesingings.com"   options="'Apple','Google','iCal','Outlook.com'"   styleLight="--btn-background: #550000; --btn-text: #fff; --btn-shadow:#fff;"startDate="2025-08-30"{endDate="2025-08-30" startTime="10:00" endTime="15:00" timeZone="America/New_York" &gt;&lt;/add-to-calendar-button&gt;</v>
      </c>
      <c r="AE248" s="24">
        <v>0.41666666666666669</v>
      </c>
      <c r="AF248" s="24">
        <v>0.625</v>
      </c>
      <c r="AG248" s="25" t="s">
        <v>1532</v>
      </c>
    </row>
    <row r="249" spans="1:33" ht="13.8" customHeight="1" x14ac:dyDescent="0.3">
      <c r="A249" t="s">
        <v>8</v>
      </c>
      <c r="B249" t="s">
        <v>17</v>
      </c>
      <c r="C249" t="s">
        <v>17</v>
      </c>
      <c r="D249" t="s">
        <v>1402</v>
      </c>
      <c r="E249" t="s">
        <v>2324</v>
      </c>
      <c r="F249" t="s">
        <v>634</v>
      </c>
      <c r="G249" s="7">
        <f ca="1">X249</f>
        <v>45913</v>
      </c>
      <c r="H249" s="5" t="s">
        <v>2325</v>
      </c>
      <c r="I249" t="s">
        <v>1051</v>
      </c>
      <c r="J249" s="36" t="s">
        <v>2866</v>
      </c>
      <c r="K249" t="s">
        <v>2326</v>
      </c>
      <c r="L249" t="s">
        <v>2716</v>
      </c>
      <c r="M249" s="16" t="s">
        <v>2896</v>
      </c>
      <c r="N249" s="16" t="s">
        <v>2897</v>
      </c>
      <c r="O249" s="7">
        <v>45739</v>
      </c>
      <c r="P249" t="s">
        <v>2898</v>
      </c>
      <c r="Q249" s="18">
        <v>9</v>
      </c>
      <c r="R249" s="18">
        <v>2</v>
      </c>
      <c r="S249" s="18">
        <v>1</v>
      </c>
      <c r="T249" s="4">
        <f>DATE(AI$2,$Q249,1+(($R249-($S249&gt;=WEEKDAY(DATE(AI$2,$Q249,1))))*7)+($S249-WEEKDAY(DATE(AI$2,$Q249,1))))</f>
        <v>45914</v>
      </c>
      <c r="U249" s="4">
        <f>DATE(AJ$2,$Q249,1+(($R249-($S249&gt;=WEEKDAY(DATE(AJ$2,$Q249,1))))*7)+($S249-WEEKDAY(DATE(AJ$2,$Q249,1))))</f>
        <v>46278</v>
      </c>
      <c r="V249" s="20">
        <v>0</v>
      </c>
      <c r="W249" s="20">
        <v>2</v>
      </c>
      <c r="X249" s="4">
        <f ca="1">Y249-(W249-1)</f>
        <v>45913</v>
      </c>
      <c r="Y249" s="5">
        <f ca="1">IF(OR(T249+V249&lt;(NOW()-0.5),ISNUMBER(SEARCH("&lt;h4&gt;",K249))),U249+V249,T249+V249)</f>
        <v>45914</v>
      </c>
      <c r="Z249" t="str">
        <f ca="1">CONCATENATE(IF(OR(Y249=X249,ISBLANK(Y249)),TEXT(X249,"mmmm d"),CONCATENATE(TEXT(X249,"mmmm d"),"-",IF(TEXT(X249,"mmmm")=TEXT(Y249,"mmmm"),TEXT(Y249,"d"),TEXT(Y249,"mmmm d")))),", ",YEAR(Y249))</f>
        <v>September 13-14, 2025</v>
      </c>
      <c r="AA249" s="7">
        <f>O249</f>
        <v>45739</v>
      </c>
      <c r="AB249" s="14">
        <f>T249+V249-(W249-1)</f>
        <v>45913</v>
      </c>
      <c r="AC249" t="s">
        <v>2899</v>
      </c>
      <c r="AD249" s="23" t="str">
        <f ca="1">CONCATENATE("&lt;add-to-calendar-button  name=",CHAR(34),H249,CHAR(34),
IF(ISBLANK(M249),"",CONCATENATE("   location=",CHAR(34),RIGHT(M249,LEN(M249)-SEARCH("|",M249)-1),CHAR(34))),
"   description=",CHAR(34),IF(ISBLANK(I249),"",CONCATENATE(I249,"; ")),"shapenotesingings.com",CHAR(34),
"   options=",CHAR(34),"'Apple','Google','iCal','Outlook.com'",CHAR(34),"   styleLight=",CHAR(34),"--btn-background: #550000; --btn-text: #fff; --btn-shadow:#fff;",CHAR(34),
IF(W249=1,CONCATENATE(
"startDate=",CHAR(34),TEXT(G249,"yyyy-mm-dd"),CHAR(34),
"{endDate=",CHAR(34),TEXT(G249,"yyyy-mm-dd"),CHAR(34),
IF(OR(ISBLANK(AE249),ISBLANK(AF249)),"",(CONCATENATE(" startTime=",CHAR(34),TEXT(AE249,"hh:mm"),CHAR(34)," endTime=",CHAR(34),TEXT(AF249,"h:mm"),CHAR(34),
" timeZone=",CHAR(34),AG249,CHAR(34))))),
IF(W249=2,CONCATENATE(" dates='[{",
CHAR(34),"startDate",CHAR(34),":",CHAR(34),TEXT(G249,"yyyy-mm-dd"),CHAR(34),", ",
,CHAR(34),"endDate",CHAR(34),":",CHAR(34),TEXT(G249,"yyyy-mm-dd"),CHAR(34),
IF(OR(ISBLANK(AE249),ISBLANK(AF249)),"",(CONCATENATE(", ",CHAR(34),"startTime",CHAR(34),":",CHAR(34),TEXT(AE249,"hh:mm"),CHAR(34),", ",CHAR(34),"endTime",CHAR(34),":",CHAR(34),TEXT(AF249,"hh:mm"),CHAR(34),", ",CHAR(34),"timeZone",CHAR(34),":",CHAR(34),AG249,CHAR(34)))),"}, {",
,CHAR(34),"startDate",CHAR(34),":",CHAR(34),TEXT(G249+1,"yyyy-mm-dd"),CHAR(34),", ",
,CHAR(34),"endDate",CHAR(34),":",CHAR(34),TEXT(G249+W249-1,"yyyy-mm-dd"),CHAR(34),
IF(OR(ISBLANK(AE249),ISBLANK(AF249)),"",(CONCATENATE(", ",CHAR(34),"startTime",CHAR(34),":",CHAR(34),TEXT(AE249,"hh:mm"),CHAR(34),", ",CHAR(34),"endTime",CHAR(34),":",CHAR(34),TEXT(AF249,"hh:mm"),CHAR(34),", ",CHAR(34),"timeZone",CHAR(34),":",CHAR(34),AG249,CHAR(34)))),"}]'"),
CONCATENATE(
"{  startDate=",CHAR(34),TEXT(G249,"yyyy-mm-dd"),CHAR(34),
"  endDate=",CHAR(34),TEXT(G249+W249-1,"yyyy-mm-dd"),CHAR(34),"}"))),
" &gt;&lt;/add-to-calendar-button&gt;")</f>
        <v>&lt;add-to-calendar-button  name="United Sacred Harp Musical Association Convention, Sacred Harp Revision Release"   location="The Foundry at Puritan Mill, 916 Joseph E. Lowery Blvd NW, Atlanta, GA 30318"   description="9:30am-2:30pm; shapenotesingings.com"   options="'Apple','Google','iCal','Outlook.com'"   styleLight="--btn-background: #550000; --btn-text: #fff; --btn-shadow:#fff;" dates='[{"startDate":"2025-09-13", "endDate":"2025-09-13", "startTime":"09:30", "endTime":"15:00", "timeZone":"America/Chicago"}, {"startDate":"2025-09-14", "endDate":"2025-09-14", "startTime":"09:30", "endTime":"15:00", "timeZone":"America/Chicago"}]' &gt;&lt;/add-to-calendar-button&gt;</v>
      </c>
      <c r="AE249" s="24">
        <v>0.39583333333333331</v>
      </c>
      <c r="AF249" s="24">
        <v>0.625</v>
      </c>
      <c r="AG249" s="25" t="s">
        <v>1533</v>
      </c>
    </row>
    <row r="250" spans="1:33" x14ac:dyDescent="0.3">
      <c r="A250" t="s">
        <v>8</v>
      </c>
      <c r="B250" t="s">
        <v>102</v>
      </c>
      <c r="C250" t="s">
        <v>1064</v>
      </c>
      <c r="D250" t="s">
        <v>622</v>
      </c>
      <c r="E250" t="s">
        <v>34</v>
      </c>
      <c r="F250" t="s">
        <v>84</v>
      </c>
      <c r="G250" s="7">
        <f ca="1">X250</f>
        <v>45913</v>
      </c>
      <c r="H250" s="5" t="s">
        <v>621</v>
      </c>
      <c r="I250" t="s">
        <v>1040</v>
      </c>
      <c r="J250" s="36" t="s">
        <v>2867</v>
      </c>
      <c r="L250" t="s">
        <v>2259</v>
      </c>
      <c r="M250" s="16" t="s">
        <v>623</v>
      </c>
      <c r="N250" s="16" t="s">
        <v>624</v>
      </c>
      <c r="O250" s="7">
        <v>44936</v>
      </c>
      <c r="P250" s="7" t="s">
        <v>926</v>
      </c>
      <c r="Q250" s="18">
        <v>9</v>
      </c>
      <c r="R250" s="18">
        <v>2</v>
      </c>
      <c r="S250" s="18">
        <v>1</v>
      </c>
      <c r="T250" s="4">
        <f>DATE(AI$2,$Q250,1+(($R250-($S250&gt;=WEEKDAY(DATE(AI$2,$Q250,1))))*7)+($S250-WEEKDAY(DATE(AI$2,$Q250,1))))</f>
        <v>45914</v>
      </c>
      <c r="U250" s="4">
        <f>DATE(AJ$2,$Q250,1+(($R250-($S250&gt;=WEEKDAY(DATE(AJ$2,$Q250,1))))*7)+($S250-WEEKDAY(DATE(AJ$2,$Q250,1))))</f>
        <v>46278</v>
      </c>
      <c r="V250" s="20">
        <v>-1</v>
      </c>
      <c r="W250" s="20">
        <v>1</v>
      </c>
      <c r="X250" s="4">
        <f ca="1">Y250-(W250-1)</f>
        <v>45913</v>
      </c>
      <c r="Y250" s="5">
        <f ca="1">IF(OR(T250+V250&lt;(NOW()-0.5),ISNUMBER(SEARCH("&lt;h4&gt;",K250))),U250+V250,T250+V250)</f>
        <v>45913</v>
      </c>
      <c r="Z250" t="str">
        <f ca="1">CONCATENATE(IF(OR(Y250=X250,ISBLANK(Y250)),TEXT(X250,"mmmm d"),CONCATENATE(TEXT(X250,"mmmm d"),"-",IF(TEXT(X250,"mmmm")=TEXT(Y250,"mmmm"),TEXT(Y250,"d"),TEXT(Y250,"mmmm d")))),", ",YEAR(Y250))</f>
        <v>September 13, 2025</v>
      </c>
      <c r="AA250" s="7">
        <f>O250</f>
        <v>44936</v>
      </c>
      <c r="AB250" s="14">
        <f>T250+V250-(W250-1)</f>
        <v>45913</v>
      </c>
      <c r="AC250" t="s">
        <v>1353</v>
      </c>
      <c r="AD250" s="23" t="str">
        <f ca="1">CONCATENATE("&lt;add-to-calendar-button  name=",CHAR(34),H250,CHAR(34),
IF(ISBLANK(M250),"",CONCATENATE("   location=",CHAR(34),RIGHT(M250,LEN(M250)-SEARCH("|",M250)-1),CHAR(34))),
"   description=",CHAR(34),IF(ISBLANK(I250),"",CONCATENATE(I250,"; ")),"shapenotesingings.com",CHAR(34),
"   options=",CHAR(34),"'Apple','Google','iCal','Outlook.com'",CHAR(34),"   styleLight=",CHAR(34),"--btn-background: #550000; --btn-text: #fff; --btn-shadow:#fff;",CHAR(34),
IF(W250=1,CONCATENATE(
"startDate=",CHAR(34),TEXT(G250,"yyyy-mm-dd"),CHAR(34),
"{endDate=",CHAR(34),TEXT(G250,"yyyy-mm-dd"),CHAR(34),
IF(OR(ISBLANK(AE250),ISBLANK(AF250)),"",(CONCATENATE(" startTime=",CHAR(34),TEXT(AE250,"hh:mm"),CHAR(34)," endTime=",CHAR(34),TEXT(AF250,"h:mm"),CHAR(34),
" timeZone=",CHAR(34),AG250,CHAR(34))))),
IF(W250=2,CONCATENATE(" dates='[{",
CHAR(34),"startDate",CHAR(34),":",CHAR(34),TEXT(G250,"yyyy-mm-dd"),CHAR(34),", ",
,CHAR(34),"endDate",CHAR(34),":",CHAR(34),TEXT(G250,"yyyy-mm-dd"),CHAR(34),
IF(OR(ISBLANK(AE250),ISBLANK(AF250)),"",(CONCATENATE(", ",CHAR(34),"startTime",CHAR(34),":",CHAR(34),TEXT(AE250,"hh:mm"),CHAR(34),", ",CHAR(34),"endTime",CHAR(34),":",CHAR(34),TEXT(AF250,"hh:mm"),CHAR(34),", ",CHAR(34),"timeZone",CHAR(34),":",CHAR(34),AG250,CHAR(34)))),"}, {",
,CHAR(34),"startDate",CHAR(34),":",CHAR(34),TEXT(G250+1,"yyyy-mm-dd"),CHAR(34),", ",
,CHAR(34),"endDate",CHAR(34),":",CHAR(34),TEXT(G250+W250-1,"yyyy-mm-dd"),CHAR(34),
IF(OR(ISBLANK(AE250),ISBLANK(AF250)),"",(CONCATENATE(", ",CHAR(34),"startTime",CHAR(34),":",CHAR(34),TEXT(AE250,"hh:mm"),CHAR(34),", ",CHAR(34),"endTime",CHAR(34),":",CHAR(34),TEXT(AF250,"hh:mm"),CHAR(34),", ",CHAR(34),"timeZone",CHAR(34),":",CHAR(34),AG250,CHAR(34)))),"}]'"),
CONCATENATE(
"{  startDate=",CHAR(34),TEXT(G250,"yyyy-mm-dd"),CHAR(34),
"  endDate=",CHAR(34),TEXT(G250+W250-1,"yyyy-mm-dd"),CHAR(34),"}"))),
" &gt;&lt;/add-to-calendar-button&gt;")</f>
        <v>&lt;add-to-calendar-button  name="Nall and Floyd Memorial"   location="Little Flock Primitive Baptist Church, 3218 Molino Rd, Molino, FL 32577"   description="9:30am; shapenotesingings.com"   options="'Apple','Google','iCal','Outlook.com'"   styleLight="--btn-background: #550000; --btn-text: #fff; --btn-shadow:#fff;"startDate="2025-09-13"{endDate="2025-09-13" &gt;&lt;/add-to-calendar-button&gt;</v>
      </c>
      <c r="AG250" s="25" t="s">
        <v>1533</v>
      </c>
    </row>
    <row r="251" spans="1:33" x14ac:dyDescent="0.3">
      <c r="A251" t="s">
        <v>8</v>
      </c>
      <c r="B251" t="s">
        <v>114</v>
      </c>
      <c r="C251" t="s">
        <v>1153</v>
      </c>
      <c r="D251" t="s">
        <v>801</v>
      </c>
      <c r="E251" t="s">
        <v>781</v>
      </c>
      <c r="F251" t="s">
        <v>805</v>
      </c>
      <c r="G251" s="7">
        <f ca="1">X251</f>
        <v>45914</v>
      </c>
      <c r="H251" s="5" t="s">
        <v>802</v>
      </c>
      <c r="I251" t="s">
        <v>1126</v>
      </c>
      <c r="J251" s="36" t="s">
        <v>2619</v>
      </c>
      <c r="K251" t="s">
        <v>1127</v>
      </c>
      <c r="L251" t="s">
        <v>1738</v>
      </c>
      <c r="M251" s="16" t="s">
        <v>803</v>
      </c>
      <c r="N251" s="16" t="s">
        <v>804</v>
      </c>
      <c r="O251" s="7">
        <v>44927</v>
      </c>
      <c r="P251" s="7" t="s">
        <v>934</v>
      </c>
      <c r="Q251" s="18">
        <v>9</v>
      </c>
      <c r="R251" s="18">
        <v>2</v>
      </c>
      <c r="S251" s="18">
        <v>1</v>
      </c>
      <c r="T251" s="4">
        <f>DATE(AI$2,$Q251,1+(($R251-($S251&gt;=WEEKDAY(DATE(AI$2,$Q251,1))))*7)+($S251-WEEKDAY(DATE(AI$2,$Q251,1))))</f>
        <v>45914</v>
      </c>
      <c r="U251" s="4">
        <f>DATE(AJ$2,$Q251,1+(($R251-($S251&gt;=WEEKDAY(DATE(AJ$2,$Q251,1))))*7)+($S251-WEEKDAY(DATE(AJ$2,$Q251,1))))</f>
        <v>46278</v>
      </c>
      <c r="V251" s="20">
        <v>0</v>
      </c>
      <c r="W251" s="20">
        <v>1</v>
      </c>
      <c r="X251" s="4">
        <f ca="1">Y251-(W251-1)</f>
        <v>45914</v>
      </c>
      <c r="Y251" s="5">
        <f ca="1">IF(OR(T251+V251&lt;(NOW()-0.5),ISNUMBER(SEARCH("&lt;h4&gt;",K251))),U251+V251,T251+V251)</f>
        <v>45914</v>
      </c>
      <c r="Z251" t="str">
        <f ca="1">CONCATENATE(IF(OR(Y251=X251,ISBLANK(Y251)),TEXT(X251,"mmmm d"),CONCATENATE(TEXT(X251,"mmmm d"),"-",IF(TEXT(X251,"mmmm")=TEXT(Y251,"mmmm"),TEXT(Y251,"d"),TEXT(Y251,"mmmm d")))),", ",YEAR(Y251))</f>
        <v>September 14, 2025</v>
      </c>
      <c r="AA251" s="7">
        <f>O251</f>
        <v>44927</v>
      </c>
      <c r="AB251" s="14">
        <f>T251+V251-(W251-1)</f>
        <v>45914</v>
      </c>
      <c r="AC251" t="s">
        <v>1356</v>
      </c>
      <c r="AD251" s="23" t="str">
        <f ca="1">CONCATENATE("&lt;add-to-calendar-button  name=",CHAR(34),H251,CHAR(34),
IF(ISBLANK(M251),"",CONCATENATE("   location=",CHAR(34),RIGHT(M251,LEN(M251)-SEARCH("|",M251)-1),CHAR(34))),
"   description=",CHAR(34),IF(ISBLANK(I251),"",CONCATENATE(I251,"; ")),"shapenotesingings.com",CHAR(34),
"   options=",CHAR(34),"'Apple','Google','iCal','Outlook.com'",CHAR(34),"   styleLight=",CHAR(34),"--btn-background: #550000; --btn-text: #fff; --btn-shadow:#fff;",CHAR(34),
IF(W251=1,CONCATENATE(
"startDate=",CHAR(34),TEXT(G251,"yyyy-mm-dd"),CHAR(34),
"{endDate=",CHAR(34),TEXT(G251,"yyyy-mm-dd"),CHAR(34),
IF(OR(ISBLANK(AE251),ISBLANK(AF251)),"",(CONCATENATE(" startTime=",CHAR(34),TEXT(AE251,"hh:mm"),CHAR(34)," endTime=",CHAR(34),TEXT(AF251,"h:mm"),CHAR(34),
" timeZone=",CHAR(34),AG251,CHAR(34))))),
IF(W251=2,CONCATENATE(" dates='[{",
CHAR(34),"startDate",CHAR(34),":",CHAR(34),TEXT(G251,"yyyy-mm-dd"),CHAR(34),", ",
,CHAR(34),"endDate",CHAR(34),":",CHAR(34),TEXT(G251,"yyyy-mm-dd"),CHAR(34),
IF(OR(ISBLANK(AE251),ISBLANK(AF251)),"",(CONCATENATE(", ",CHAR(34),"startTime",CHAR(34),":",CHAR(34),TEXT(AE251,"hh:mm"),CHAR(34),", ",CHAR(34),"endTime",CHAR(34),":",CHAR(34),TEXT(AF251,"hh:mm"),CHAR(34),", ",CHAR(34),"timeZone",CHAR(34),":",CHAR(34),AG251,CHAR(34)))),"}, {",
,CHAR(34),"startDate",CHAR(34),":",CHAR(34),TEXT(G251+1,"yyyy-mm-dd"),CHAR(34),", ",
,CHAR(34),"endDate",CHAR(34),":",CHAR(34),TEXT(G251+W251-1,"yyyy-mm-dd"),CHAR(34),
IF(OR(ISBLANK(AE251),ISBLANK(AF251)),"",(CONCATENATE(", ",CHAR(34),"startTime",CHAR(34),":",CHAR(34),TEXT(AE251,"hh:mm"),CHAR(34),", ",CHAR(34),"endTime",CHAR(34),":",CHAR(34),TEXT(AF251,"hh:mm"),CHAR(34),", ",CHAR(34),"timeZone",CHAR(34),":",CHAR(34),AG251,CHAR(34)))),"}]'"),
CONCATENATE(
"{  startDate=",CHAR(34),TEXT(G251,"yyyy-mm-dd"),CHAR(34),
"  endDate=",CHAR(34),TEXT(G251+W251-1,"yyyy-mm-dd"),CHAR(34),"}"))),
" &gt;&lt;/add-to-calendar-button&gt;")</f>
        <v>&lt;add-to-calendar-button  name="Old Folks Day Singing "   location="Morning Star United Methodist, 2535 Dutch Cove Rd, Canton, NC 28716"   description="1:30pm; shapenotesingings.com"   options="'Apple','Google','iCal','Outlook.com'"   styleLight="--btn-background: #550000; --btn-text: #fff; --btn-shadow:#fff;"startDate="2025-09-14"{endDate="2025-09-14" &gt;&lt;/add-to-calendar-button&gt;</v>
      </c>
      <c r="AG251" s="25" t="s">
        <v>1532</v>
      </c>
    </row>
    <row r="252" spans="1:33" x14ac:dyDescent="0.3">
      <c r="A252" t="s">
        <v>8</v>
      </c>
      <c r="B252" t="s">
        <v>11</v>
      </c>
      <c r="C252" t="s">
        <v>1134</v>
      </c>
      <c r="D252" t="s">
        <v>798</v>
      </c>
      <c r="E252" t="s">
        <v>1435</v>
      </c>
      <c r="F252" t="s">
        <v>805</v>
      </c>
      <c r="G252" s="7">
        <f ca="1">X252</f>
        <v>45914</v>
      </c>
      <c r="H252" s="5" t="s">
        <v>797</v>
      </c>
      <c r="I252" t="s">
        <v>1028</v>
      </c>
      <c r="J252" s="36" t="s">
        <v>2618</v>
      </c>
      <c r="K252" t="s">
        <v>1128</v>
      </c>
      <c r="L252" t="s">
        <v>1830</v>
      </c>
      <c r="M252" s="16" t="s">
        <v>800</v>
      </c>
      <c r="N252" s="16" t="s">
        <v>799</v>
      </c>
      <c r="O252" s="7">
        <v>44927</v>
      </c>
      <c r="P252" s="7" t="s">
        <v>934</v>
      </c>
      <c r="Q252" s="18">
        <v>9</v>
      </c>
      <c r="R252" s="18">
        <v>2</v>
      </c>
      <c r="S252" s="18">
        <v>1</v>
      </c>
      <c r="T252" s="4">
        <f>DATE(AI$2,$Q252,1+(($R252-($S252&gt;=WEEKDAY(DATE(AI$2,$Q252,1))))*7)+($S252-WEEKDAY(DATE(AI$2,$Q252,1))))</f>
        <v>45914</v>
      </c>
      <c r="U252" s="4">
        <f>DATE(AJ$2,$Q252,1+(($R252-($S252&gt;=WEEKDAY(DATE(AJ$2,$Q252,1))))*7)+($S252-WEEKDAY(DATE(AJ$2,$Q252,1))))</f>
        <v>46278</v>
      </c>
      <c r="V252" s="20">
        <v>0</v>
      </c>
      <c r="W252" s="20">
        <v>1</v>
      </c>
      <c r="X252" s="4">
        <f ca="1">Y252-(W252-1)</f>
        <v>45914</v>
      </c>
      <c r="Y252" s="5">
        <f ca="1">IF(OR(T252+V252&lt;(NOW()-0.5),ISNUMBER(SEARCH("&lt;h4&gt;",K252))),U252+V252,T252+V252)</f>
        <v>45914</v>
      </c>
      <c r="Z252" t="str">
        <f ca="1">CONCATENATE(IF(OR(Y252=X252,ISBLANK(Y252)),TEXT(X252,"mmmm d"),CONCATENATE(TEXT(X252,"mmmm d"),"-",IF(TEXT(X252,"mmmm")=TEXT(Y252,"mmmm"),TEXT(Y252,"d"),TEXT(Y252,"mmmm d")))),", ",YEAR(Y252))</f>
        <v>September 14, 2025</v>
      </c>
      <c r="AA252" s="7">
        <f>O252</f>
        <v>44927</v>
      </c>
      <c r="AB252" s="14">
        <f>T252+V252-(W252-1)</f>
        <v>45914</v>
      </c>
      <c r="AC252" t="s">
        <v>1355</v>
      </c>
      <c r="AD252" s="23" t="str">
        <f ca="1">CONCATENATE("&lt;add-to-calendar-button  name=",CHAR(34),H252,CHAR(34),
IF(ISBLANK(M252),"",CONCATENATE("   location=",CHAR(34),RIGHT(M252,LEN(M252)-SEARCH("|",M252)-1),CHAR(34))),
"   description=",CHAR(34),IF(ISBLANK(I252),"",CONCATENATE(I252,"; ")),"shapenotesingings.com",CHAR(34),
"   options=",CHAR(34),"'Apple','Google','iCal','Outlook.com'",CHAR(34),"   styleLight=",CHAR(34),"--btn-background: #550000; --btn-text: #fff; --btn-shadow:#fff;",CHAR(34),
IF(W252=1,CONCATENATE(
"startDate=",CHAR(34),TEXT(G252,"yyyy-mm-dd"),CHAR(34),
"{endDate=",CHAR(34),TEXT(G252,"yyyy-mm-dd"),CHAR(34),
IF(OR(ISBLANK(AE252),ISBLANK(AF252)),"",(CONCATENATE(" startTime=",CHAR(34),TEXT(AE252,"hh:mm"),CHAR(34)," endTime=",CHAR(34),TEXT(AF252,"h:mm"),CHAR(34),
" timeZone=",CHAR(34),AG252,CHAR(34))))),
IF(W252=2,CONCATENATE(" dates='[{",
CHAR(34),"startDate",CHAR(34),":",CHAR(34),TEXT(G252,"yyyy-mm-dd"),CHAR(34),", ",
,CHAR(34),"endDate",CHAR(34),":",CHAR(34),TEXT(G252,"yyyy-mm-dd"),CHAR(34),
IF(OR(ISBLANK(AE252),ISBLANK(AF252)),"",(CONCATENATE(", ",CHAR(34),"startTime",CHAR(34),":",CHAR(34),TEXT(AE252,"hh:mm"),CHAR(34),", ",CHAR(34),"endTime",CHAR(34),":",CHAR(34),TEXT(AF252,"hh:mm"),CHAR(34),", ",CHAR(34),"timeZone",CHAR(34),":",CHAR(34),AG252,CHAR(34)))),"}, {",
,CHAR(34),"startDate",CHAR(34),":",CHAR(34),TEXT(G252+1,"yyyy-mm-dd"),CHAR(34),", ",
,CHAR(34),"endDate",CHAR(34),":",CHAR(34),TEXT(G252+W252-1,"yyyy-mm-dd"),CHAR(34),
IF(OR(ISBLANK(AE252),ISBLANK(AF252)),"",(CONCATENATE(", ",CHAR(34),"startTime",CHAR(34),":",CHAR(34),TEXT(AE252,"hh:mm"),CHAR(34),", ",CHAR(34),"endTime",CHAR(34),":",CHAR(34),TEXT(AF252,"hh:mm"),CHAR(34),", ",CHAR(34),"timeZone",CHAR(34),":",CHAR(34),AG252,CHAR(34)))),"}]'"),
CONCATENATE(
"{  startDate=",CHAR(34),TEXT(G252,"yyyy-mm-dd"),CHAR(34),
"  endDate=",CHAR(34),TEXT(G252+W252-1,"yyyy-mm-dd"),CHAR(34),"}"))),
" &gt;&lt;/add-to-calendar-button&gt;")</f>
        <v>&lt;add-to-calendar-button  name="Hale County Christian Harmony Convention"   location="China Grove Methodist Church, Clary Hill Road, Moundville AL - 32.92409375352777, -87.50768549139332"   description="10am; shapenotesingings.com"   options="'Apple','Google','iCal','Outlook.com'"   styleLight="--btn-background: #550000; --btn-text: #fff; --btn-shadow:#fff;"startDate="2025-09-14"{endDate="2025-09-14" startTime="10:00" endTime="15:00" timeZone="America/Chicago" &gt;&lt;/add-to-calendar-button&gt;</v>
      </c>
      <c r="AE252" s="24">
        <v>0.41666666666666669</v>
      </c>
      <c r="AF252" s="24">
        <v>0.625</v>
      </c>
      <c r="AG252" s="25" t="s">
        <v>1533</v>
      </c>
    </row>
    <row r="253" spans="1:33" x14ac:dyDescent="0.3">
      <c r="A253" t="s">
        <v>8</v>
      </c>
      <c r="B253" t="s">
        <v>114</v>
      </c>
      <c r="C253" t="s">
        <v>1153</v>
      </c>
      <c r="D253" t="s">
        <v>790</v>
      </c>
      <c r="E253" t="s">
        <v>1438</v>
      </c>
      <c r="F253" t="str">
        <f ca="1">CONCATENATE(TEXT(G253,"mmm"),", Varies")</f>
        <v>Aug, Varies</v>
      </c>
      <c r="G253" s="7">
        <f ca="1">X253</f>
        <v>45890</v>
      </c>
      <c r="H253" s="5" t="s">
        <v>789</v>
      </c>
      <c r="J253" s="36" t="s">
        <v>2614</v>
      </c>
      <c r="L253" t="s">
        <v>2996</v>
      </c>
      <c r="M253" s="16" t="s">
        <v>1017</v>
      </c>
      <c r="N253" s="16" t="s">
        <v>791</v>
      </c>
      <c r="O253" s="7">
        <v>45788</v>
      </c>
      <c r="P253" s="7" t="s">
        <v>2997</v>
      </c>
      <c r="Q253" s="18">
        <v>8</v>
      </c>
      <c r="R253" s="18">
        <v>4</v>
      </c>
      <c r="S253" s="18">
        <v>1</v>
      </c>
      <c r="T253" s="4">
        <f>DATE(AI$2,$Q253,1+(($R253-($S253&gt;=WEEKDAY(DATE(AI$2,$Q253,1))))*7)+($S253-WEEKDAY(DATE(AI$2,$Q253,1))))</f>
        <v>45893</v>
      </c>
      <c r="U253" s="4">
        <f>DATE(AJ$2,$Q253,1+(($R253-($S253&gt;=WEEKDAY(DATE(AJ$2,$Q253,1))))*7)+($S253-WEEKDAY(DATE(AJ$2,$Q253,1))))</f>
        <v>46257</v>
      </c>
      <c r="V253" s="20">
        <v>0</v>
      </c>
      <c r="W253" s="20">
        <v>4</v>
      </c>
      <c r="X253" s="4">
        <f ca="1">Y253-(W253-1)</f>
        <v>45890</v>
      </c>
      <c r="Y253" s="5">
        <f ca="1">IF(OR(T253+V253&lt;(NOW()-0.5),ISNUMBER(SEARCH("&lt;h4&gt;",K253))),U253+V253,T253+V253)</f>
        <v>45893</v>
      </c>
      <c r="Z253" t="str">
        <f ca="1">CONCATENATE(IF(OR(Y253=X253,ISBLANK(Y253)),TEXT(X253,"mmmm d"),CONCATENATE(TEXT(X253,"mmmm d"),"-",IF(TEXT(X253,"mmmm")=TEXT(Y253,"mmmm"),TEXT(Y253,"d"),TEXT(Y253,"mmmm d")))),", ",YEAR(Y253))</f>
        <v>August 21-24, 2025</v>
      </c>
      <c r="AA253" s="7">
        <f>O253</f>
        <v>45788</v>
      </c>
      <c r="AB253" s="14">
        <f>T253+V253-(W253-1)</f>
        <v>45890</v>
      </c>
      <c r="AC253" t="s">
        <v>1331</v>
      </c>
      <c r="AD253" s="23" t="str">
        <f ca="1">CONCATENATE("&lt;add-to-calendar-button  name=",CHAR(34),H253,CHAR(34),
IF(ISBLANK(M253),"",CONCATENATE("   location=",CHAR(34),RIGHT(M253,LEN(M253)-SEARCH("|",M253)-1),CHAR(34))),
"   description=",CHAR(34),IF(ISBLANK(I253),"",CONCATENATE(I253,"; ")),"shapenotesingings.com",CHAR(34),
"   options=",CHAR(34),"'Apple','Google','iCal','Outlook.com'",CHAR(34),"   styleLight=",CHAR(34),"--btn-background: #550000; --btn-text: #fff; --btn-shadow:#fff;",CHAR(34),
IF(W253=1,CONCATENATE(
"startDate=",CHAR(34),TEXT(G253,"yyyy-mm-dd"),CHAR(34),
"{endDate=",CHAR(34),TEXT(G253,"yyyy-mm-dd"),CHAR(34),
IF(OR(ISBLANK(AE253),ISBLANK(AF253)),"",(CONCATENATE(" startTime=",CHAR(34),TEXT(AE253,"hh:mm"),CHAR(34)," endTime=",CHAR(34),TEXT(AF253,"h:mm"),CHAR(34),
" timeZone=",CHAR(34),AG253,CHAR(34))))),
IF(W253=2,CONCATENATE(" dates='[{",
CHAR(34),"startDate",CHAR(34),":",CHAR(34),TEXT(G253,"yyyy-mm-dd"),CHAR(34),", ",
,CHAR(34),"endDate",CHAR(34),":",CHAR(34),TEXT(G253,"yyyy-mm-dd"),CHAR(34),
IF(OR(ISBLANK(AE253),ISBLANK(AF253)),"",(CONCATENATE(", ",CHAR(34),"startTime",CHAR(34),":",CHAR(34),TEXT(AE253,"hh:mm"),CHAR(34),", ",CHAR(34),"endTime",CHAR(34),":",CHAR(34),TEXT(AF253,"hh:mm"),CHAR(34),", ",CHAR(34),"timeZone",CHAR(34),":",CHAR(34),AG253,CHAR(34)))),"}, {",
,CHAR(34),"startDate",CHAR(34),":",CHAR(34),TEXT(G253+1,"yyyy-mm-dd"),CHAR(34),", ",
,CHAR(34),"endDate",CHAR(34),":",CHAR(34),TEXT(G253+W253-1,"yyyy-mm-dd"),CHAR(34),
IF(OR(ISBLANK(AE253),ISBLANK(AF253)),"",(CONCATENATE(", ",CHAR(34),"startTime",CHAR(34),":",CHAR(34),TEXT(AE253,"hh:mm"),CHAR(34),", ",CHAR(34),"endTime",CHAR(34),":",CHAR(34),TEXT(AF253,"hh:mm"),CHAR(34),", ",CHAR(34),"timeZone",CHAR(34),":",CHAR(34),AG253,CHAR(34)))),"}]'"),
CONCATENATE(
"{  startDate=",CHAR(34),TEXT(G253,"yyyy-mm-dd"),CHAR(34),
"  endDate=",CHAR(34),TEXT(G253+W253-1,"yyyy-mm-dd"),CHAR(34),"}"))),
" &gt;&lt;/add-to-calendar-button&gt;")</f>
        <v>&lt;add-to-calendar-button  name="Camp DoReMi"   location="Wildacres Retreat, 1565 Wild Acres Rd, Little Switzerland, NC 28749"   description="shapenotesingings.com"   options="'Apple','Google','iCal','Outlook.com'"   styleLight="--btn-background: #550000; --btn-text: #fff; --btn-shadow:#fff;"{  startDate="2025-08-21"  endDate="2025-08-24"} &gt;&lt;/add-to-calendar-button&gt;</v>
      </c>
      <c r="AG253" s="25" t="s">
        <v>1532</v>
      </c>
    </row>
    <row r="254" spans="1:33" x14ac:dyDescent="0.3">
      <c r="A254" t="s">
        <v>144</v>
      </c>
      <c r="B254" t="s">
        <v>144</v>
      </c>
      <c r="C254" t="s">
        <v>1162</v>
      </c>
      <c r="D254" t="s">
        <v>2303</v>
      </c>
      <c r="E254" s="30" t="s">
        <v>2324</v>
      </c>
      <c r="F254" t="s">
        <v>645</v>
      </c>
      <c r="G254" s="7">
        <f ca="1">X254</f>
        <v>45920</v>
      </c>
      <c r="H254" s="5" t="s">
        <v>644</v>
      </c>
      <c r="I254" t="s">
        <v>1713</v>
      </c>
      <c r="J254" s="36" t="s">
        <v>2869</v>
      </c>
      <c r="K254" t="s">
        <v>2327</v>
      </c>
      <c r="L254" t="s">
        <v>1712</v>
      </c>
      <c r="M254" s="16" t="s">
        <v>2300</v>
      </c>
      <c r="N254" s="16" t="s">
        <v>2301</v>
      </c>
      <c r="O254" s="32">
        <v>45572</v>
      </c>
      <c r="P254" s="30" t="s">
        <v>2328</v>
      </c>
      <c r="Q254" s="18">
        <v>9</v>
      </c>
      <c r="R254" s="18">
        <v>3</v>
      </c>
      <c r="S254" s="18">
        <v>1</v>
      </c>
      <c r="T254" s="4">
        <f>DATE(AI$2,$Q254,1+(($R254-($S254&gt;=WEEKDAY(DATE(AI$2,$Q254,1))))*7)+($S254-WEEKDAY(DATE(AI$2,$Q254,1))))</f>
        <v>45921</v>
      </c>
      <c r="U254" s="4">
        <f>DATE(AJ$2,$Q254,1+(($R254-($S254&gt;=WEEKDAY(DATE(AJ$2,$Q254,1))))*7)+($S254-WEEKDAY(DATE(AJ$2,$Q254,1))))</f>
        <v>46285</v>
      </c>
      <c r="V254" s="20">
        <v>0</v>
      </c>
      <c r="W254" s="20">
        <v>2</v>
      </c>
      <c r="X254" s="4">
        <f ca="1">Y254-(W254-1)</f>
        <v>45920</v>
      </c>
      <c r="Y254" s="5">
        <f ca="1">IF(OR(T254+V254&lt;(NOW()-0.5),ISNUMBER(SEARCH("&lt;h4&gt;",K254))),U254+V254,T254+V254)</f>
        <v>45921</v>
      </c>
      <c r="Z254" t="str">
        <f ca="1">CONCATENATE(IF(OR(Y254=X254,ISBLANK(Y254)),TEXT(X254,"mmmm d"),CONCATENATE(TEXT(X254,"mmmm d"),"-",IF(TEXT(X254,"mmmm")=TEXT(Y254,"mmmm"),TEXT(Y254,"d"),TEXT(Y254,"mmmm d")))),", ",YEAR(Y254))</f>
        <v>September 20-21, 2025</v>
      </c>
      <c r="AA254" s="7">
        <f>O254</f>
        <v>45572</v>
      </c>
      <c r="AB254" s="14">
        <f>T254+V254-(W254-1)</f>
        <v>45920</v>
      </c>
      <c r="AC254" t="s">
        <v>2302</v>
      </c>
      <c r="AD254" s="23" t="str">
        <f ca="1">CONCATENATE("&lt;add-to-calendar-button  name=",CHAR(34),H254,CHAR(34),
IF(ISBLANK(M254),"",CONCATENATE("   location=",CHAR(34),RIGHT(M254,LEN(M254)-SEARCH("|",M254)-1),CHAR(34))),
"   description=",CHAR(34),IF(ISBLANK(I254),"",CONCATENATE(I254,"; ")),"shapenotesingings.com",CHAR(34),
"   options=",CHAR(34),"'Apple','Google','iCal','Outlook.com'",CHAR(34),"   styleLight=",CHAR(34),"--btn-background: #550000; --btn-text: #fff; --btn-shadow:#fff;",CHAR(34),
IF(W254=1,CONCATENATE(
"startDate=",CHAR(34),TEXT(G254,"yyyy-mm-dd"),CHAR(34),
"{endDate=",CHAR(34),TEXT(G254,"yyyy-mm-dd"),CHAR(34),
IF(OR(ISBLANK(AE254),ISBLANK(AF254)),"",(CONCATENATE(" startTime=",CHAR(34),TEXT(AE254,"hh:mm"),CHAR(34)," endTime=",CHAR(34),TEXT(AF254,"h:mm"),CHAR(34),
" timeZone=",CHAR(34),AG254,CHAR(34))))),
IF(W254=2,CONCATENATE(" dates='[{",
CHAR(34),"startDate",CHAR(34),":",CHAR(34),TEXT(G254,"yyyy-mm-dd"),CHAR(34),", ",
,CHAR(34),"endDate",CHAR(34),":",CHAR(34),TEXT(G254,"yyyy-mm-dd"),CHAR(34),
IF(OR(ISBLANK(AE254),ISBLANK(AF254)),"",(CONCATENATE(", ",CHAR(34),"startTime",CHAR(34),":",CHAR(34),TEXT(AE254,"hh:mm"),CHAR(34),", ",CHAR(34),"endTime",CHAR(34),":",CHAR(34),TEXT(AF254,"hh:mm"),CHAR(34),", ",CHAR(34),"timeZone",CHAR(34),":",CHAR(34),AG254,CHAR(34)))),"}, {",
,CHAR(34),"startDate",CHAR(34),":",CHAR(34),TEXT(G254+1,"yyyy-mm-dd"),CHAR(34),", ",
,CHAR(34),"endDate",CHAR(34),":",CHAR(34),TEXT(G254+W254-1,"yyyy-mm-dd"),CHAR(34),
IF(OR(ISBLANK(AE254),ISBLANK(AF254)),"",(CONCATENATE(", ",CHAR(34),"startTime",CHAR(34),":",CHAR(34),TEXT(AE254,"hh:mm"),CHAR(34),", ",CHAR(34),"endTime",CHAR(34),":",CHAR(34),TEXT(AF254,"hh:mm"),CHAR(34),", ",CHAR(34),"timeZone",CHAR(34),":",CHAR(34),AG254,CHAR(34)))),"}]'"),
CONCATENATE(
"{  startDate=",CHAR(34),TEXT(G254,"yyyy-mm-dd"),CHAR(34),
"  endDate=",CHAR(34),TEXT(G254+W254-1,"yyyy-mm-dd"),CHAR(34),"}"))),
" &gt;&lt;/add-to-calendar-button&gt;")</f>
        <v>&lt;add-to-calendar-button  name="United Kingdom Sacred Harp Convention"   location="Barley Mow Village Hall, Bedford Ave, Birtley, Chester-le-Street DH3 2AJ, United Kingdom"   description="10:00am-4pm; shapenotesingings.com"   options="'Apple','Google','iCal','Outlook.com'"   styleLight="--btn-background: #550000; --btn-text: #fff; --btn-shadow:#fff;" dates='[{"startDate":"2025-09-20", "endDate":"2025-09-20", "startTime":"10:00", "endTime":"16:00", "timeZone":"Europe/London"}, {"startDate":"2025-09-21", "endDate":"2025-09-21", "startTime":"10:00", "endTime":"16:00", "timeZone":"Europe/London"}]' &gt;&lt;/add-to-calendar-button&gt;</v>
      </c>
      <c r="AE254" s="24">
        <v>0.41666666666666669</v>
      </c>
      <c r="AF254" s="24">
        <v>0.66666666666666663</v>
      </c>
      <c r="AG254" s="25" t="s">
        <v>1535</v>
      </c>
    </row>
    <row r="255" spans="1:33" x14ac:dyDescent="0.3">
      <c r="A255" t="s">
        <v>8</v>
      </c>
      <c r="B255" t="s">
        <v>17</v>
      </c>
      <c r="C255" t="s">
        <v>1140</v>
      </c>
      <c r="D255" t="s">
        <v>911</v>
      </c>
      <c r="E255" t="s">
        <v>1435</v>
      </c>
      <c r="F255" t="s">
        <v>633</v>
      </c>
      <c r="G255" s="7">
        <f ca="1">X255</f>
        <v>45920</v>
      </c>
      <c r="H255" s="5" t="s">
        <v>636</v>
      </c>
      <c r="I255" t="s">
        <v>1028</v>
      </c>
      <c r="J255" s="36" t="s">
        <v>2620</v>
      </c>
      <c r="L255" t="s">
        <v>1739</v>
      </c>
      <c r="M255" s="16" t="s">
        <v>909</v>
      </c>
      <c r="N255" s="16" t="s">
        <v>910</v>
      </c>
      <c r="O255" s="7">
        <v>45507</v>
      </c>
      <c r="P255" s="7" t="s">
        <v>2451</v>
      </c>
      <c r="Q255" s="18">
        <v>9</v>
      </c>
      <c r="R255" s="18">
        <v>3</v>
      </c>
      <c r="S255" s="18">
        <v>1</v>
      </c>
      <c r="T255" s="4">
        <f>DATE(AI$2,$Q255,1+(($R255-($S255&gt;=WEEKDAY(DATE(AI$2,$Q255,1))))*7)+($S255-WEEKDAY(DATE(AI$2,$Q255,1))))</f>
        <v>45921</v>
      </c>
      <c r="U255" s="4">
        <f>DATE(AJ$2,$Q255,1+(($R255-($S255&gt;=WEEKDAY(DATE(AJ$2,$Q255,1))))*7)+($S255-WEEKDAY(DATE(AJ$2,$Q255,1))))</f>
        <v>46285</v>
      </c>
      <c r="V255" s="20">
        <v>-1</v>
      </c>
      <c r="W255" s="20">
        <v>1</v>
      </c>
      <c r="X255" s="4">
        <f ca="1">Y255-(W255-1)</f>
        <v>45920</v>
      </c>
      <c r="Y255" s="5">
        <f ca="1">IF(OR(T255+V255&lt;(NOW()-0.5),ISNUMBER(SEARCH("&lt;h4&gt;",K255))),U255+V255,T255+V255)</f>
        <v>45920</v>
      </c>
      <c r="Z255" t="str">
        <f ca="1">CONCATENATE(IF(OR(Y255=X255,ISBLANK(Y255)),TEXT(X255,"mmmm d"),CONCATENATE(TEXT(X255,"mmmm d"),"-",IF(TEXT(X255,"mmmm")=TEXT(Y255,"mmmm"),TEXT(Y255,"d"),TEXT(Y255,"mmmm d")))),", ",YEAR(Y255))</f>
        <v>September 20, 2025</v>
      </c>
      <c r="AA255" s="7">
        <f>O255</f>
        <v>45507</v>
      </c>
      <c r="AB255" s="14">
        <f>T255+V255-(W255-1)</f>
        <v>45920</v>
      </c>
      <c r="AC255" t="s">
        <v>1704</v>
      </c>
      <c r="AD255" s="23" t="str">
        <f ca="1">CONCATENATE("&lt;add-to-calendar-button  name=",CHAR(34),H255,CHAR(34),
IF(ISBLANK(M255),"",CONCATENATE("   location=",CHAR(34),RIGHT(M255,LEN(M255)-SEARCH("|",M255)-1),CHAR(34))),
"   description=",CHAR(34),IF(ISBLANK(I255),"",CONCATENATE(I255,"; ")),"shapenotesingings.com",CHAR(34),
"   options=",CHAR(34),"'Apple','Google','iCal','Outlook.com'",CHAR(34),"   styleLight=",CHAR(34),"--btn-background: #550000; --btn-text: #fff; --btn-shadow:#fff;",CHAR(34),
IF(W255=1,CONCATENATE(
"startDate=",CHAR(34),TEXT(G255,"yyyy-mm-dd"),CHAR(34),
"{endDate=",CHAR(34),TEXT(G255,"yyyy-mm-dd"),CHAR(34),
IF(OR(ISBLANK(AE255),ISBLANK(AF255)),"",(CONCATENATE(" startTime=",CHAR(34),TEXT(AE255,"hh:mm"),CHAR(34)," endTime=",CHAR(34),TEXT(AF255,"h:mm"),CHAR(34),
" timeZone=",CHAR(34),AG255,CHAR(34))))),
IF(W255=2,CONCATENATE(" dates='[{",
CHAR(34),"startDate",CHAR(34),":",CHAR(34),TEXT(G255,"yyyy-mm-dd"),CHAR(34),", ",
,CHAR(34),"endDate",CHAR(34),":",CHAR(34),TEXT(G255,"yyyy-mm-dd"),CHAR(34),
IF(OR(ISBLANK(AE255),ISBLANK(AF255)),"",(CONCATENATE(", ",CHAR(34),"startTime",CHAR(34),":",CHAR(34),TEXT(AE255,"hh:mm"),CHAR(34),", ",CHAR(34),"endTime",CHAR(34),":",CHAR(34),TEXT(AF255,"hh:mm"),CHAR(34),", ",CHAR(34),"timeZone",CHAR(34),":",CHAR(34),AG255,CHAR(34)))),"}, {",
,CHAR(34),"startDate",CHAR(34),":",CHAR(34),TEXT(G255+1,"yyyy-mm-dd"),CHAR(34),", ",
,CHAR(34),"endDate",CHAR(34),":",CHAR(34),TEXT(G255+W255-1,"yyyy-mm-dd"),CHAR(34),
IF(OR(ISBLANK(AE255),ISBLANK(AF255)),"",(CONCATENATE(", ",CHAR(34),"startTime",CHAR(34),":",CHAR(34),TEXT(AE255,"hh:mm"),CHAR(34),", ",CHAR(34),"endTime",CHAR(34),":",CHAR(34),TEXT(AF255,"hh:mm"),CHAR(34),", ",CHAR(34),"timeZone",CHAR(34),":",CHAR(34),AG255,CHAR(34)))),"}]'"),
CONCATENATE(
"{  startDate=",CHAR(34),TEXT(G255,"yyyy-mm-dd"),CHAR(34),
"  endDate=",CHAR(34),TEXT(G255+W255-1,"yyyy-mm-dd"),CHAR(34),"}"))),
" &gt;&lt;/add-to-calendar-button&gt;")</f>
        <v>&lt;add-to-calendar-button  name="Lee Rogers Memorial Singing"   location="No. 3 Railroad Steet, Arnoldsville, GA 30619"   description="10am; shapenotesingings.com"   options="'Apple','Google','iCal','Outlook.com'"   styleLight="--btn-background: #550000; --btn-text: #fff; --btn-shadow:#fff;"startDate="2025-09-20"{endDate="2025-09-20" startTime="10:00" endTime="15:00" timeZone="America/New_York" &gt;&lt;/add-to-calendar-button&gt;</v>
      </c>
      <c r="AE255" s="24">
        <v>0.41666666666666669</v>
      </c>
      <c r="AF255" s="24">
        <v>0.625</v>
      </c>
      <c r="AG255" s="25" t="s">
        <v>1532</v>
      </c>
    </row>
    <row r="256" spans="1:33" x14ac:dyDescent="0.3">
      <c r="A256" t="s">
        <v>8</v>
      </c>
      <c r="B256" t="s">
        <v>333</v>
      </c>
      <c r="C256" t="s">
        <v>452</v>
      </c>
      <c r="D256" t="s">
        <v>632</v>
      </c>
      <c r="E256" t="s">
        <v>2178</v>
      </c>
      <c r="F256" t="s">
        <v>633</v>
      </c>
      <c r="G256" s="7">
        <f ca="1">X256</f>
        <v>45920</v>
      </c>
      <c r="H256" s="5" t="s">
        <v>1677</v>
      </c>
      <c r="I256" t="s">
        <v>1037</v>
      </c>
      <c r="J256" s="36" t="s">
        <v>2870</v>
      </c>
      <c r="L256" t="s">
        <v>2209</v>
      </c>
      <c r="M256" s="16" t="s">
        <v>1674</v>
      </c>
      <c r="N256" s="16" t="s">
        <v>1675</v>
      </c>
      <c r="O256" s="7">
        <v>45133</v>
      </c>
      <c r="P256" s="7" t="s">
        <v>2000</v>
      </c>
      <c r="Q256" s="18">
        <v>9</v>
      </c>
      <c r="R256" s="18">
        <v>3</v>
      </c>
      <c r="S256" s="18">
        <v>1</v>
      </c>
      <c r="T256" s="4">
        <f>DATE(AI$2,$Q256,1+(($R256-($S256&gt;=WEEKDAY(DATE(AI$2,$Q256,1))))*7)+($S256-WEEKDAY(DATE(AI$2,$Q256,1))))</f>
        <v>45921</v>
      </c>
      <c r="U256" s="4">
        <f>DATE(AJ$2,$Q256,1+(($R256-($S256&gt;=WEEKDAY(DATE(AJ$2,$Q256,1))))*7)+($S256-WEEKDAY(DATE(AJ$2,$Q256,1))))</f>
        <v>46285</v>
      </c>
      <c r="V256" s="20">
        <v>-1</v>
      </c>
      <c r="W256" s="20">
        <v>1</v>
      </c>
      <c r="X256" s="4">
        <f ca="1">Y256-(W256-1)</f>
        <v>45920</v>
      </c>
      <c r="Y256" s="5">
        <f ca="1">IF(OR(T256+V256&lt;(NOW()-0.5),ISNUMBER(SEARCH("&lt;h4&gt;",K256))),U256+V256,T256+V256)</f>
        <v>45920</v>
      </c>
      <c r="Z256" t="str">
        <f ca="1">CONCATENATE(IF(OR(Y256=X256,ISBLANK(Y256)),TEXT(X256,"mmmm d"),CONCATENATE(TEXT(X256,"mmmm d"),"-",IF(TEXT(X256,"mmmm")=TEXT(Y256,"mmmm"),TEXT(Y256,"d"),TEXT(Y256,"mmmm d")))),", ",YEAR(Y256))</f>
        <v>September 20, 2025</v>
      </c>
      <c r="AA256" s="7">
        <f>O256</f>
        <v>45133</v>
      </c>
      <c r="AB256" s="14">
        <f>T256+V256-(W256-1)</f>
        <v>45920</v>
      </c>
      <c r="AC256" t="s">
        <v>1676</v>
      </c>
      <c r="AD256" s="23" t="str">
        <f ca="1">CONCATENATE("&lt;add-to-calendar-button  name=",CHAR(34),H256,CHAR(34),
IF(ISBLANK(M256),"",CONCATENATE("   location=",CHAR(34),RIGHT(M256,LEN(M256)-SEARCH("|",M256)-1),CHAR(34))),
"   description=",CHAR(34),IF(ISBLANK(I256),"",CONCATENATE(I256,"; ")),"shapenotesingings.com",CHAR(34),
"   options=",CHAR(34),"'Apple','Google','iCal','Outlook.com'",CHAR(34),"   styleLight=",CHAR(34),"--btn-background: #550000; --btn-text: #fff; --btn-shadow:#fff;",CHAR(34),
IF(W256=1,CONCATENATE(
"startDate=",CHAR(34),TEXT(G256,"yyyy-mm-dd"),CHAR(34),
"{endDate=",CHAR(34),TEXT(G256,"yyyy-mm-dd"),CHAR(34),
IF(OR(ISBLANK(AE256),ISBLANK(AF256)),"",(CONCATENATE(" startTime=",CHAR(34),TEXT(AE256,"hh:mm"),CHAR(34)," endTime=",CHAR(34),TEXT(AF256,"h:mm"),CHAR(34),
" timeZone=",CHAR(34),AG256,CHAR(34))))),
IF(W256=2,CONCATENATE(" dates='[{",
CHAR(34),"startDate",CHAR(34),":",CHAR(34),TEXT(G256,"yyyy-mm-dd"),CHAR(34),", ",
,CHAR(34),"endDate",CHAR(34),":",CHAR(34),TEXT(G256,"yyyy-mm-dd"),CHAR(34),
IF(OR(ISBLANK(AE256),ISBLANK(AF256)),"",(CONCATENATE(", ",CHAR(34),"startTime",CHAR(34),":",CHAR(34),TEXT(AE256,"hh:mm"),CHAR(34),", ",CHAR(34),"endTime",CHAR(34),":",CHAR(34),TEXT(AF256,"hh:mm"),CHAR(34),", ",CHAR(34),"timeZone",CHAR(34),":",CHAR(34),AG256,CHAR(34)))),"}, {",
,CHAR(34),"startDate",CHAR(34),":",CHAR(34),TEXT(G256+1,"yyyy-mm-dd"),CHAR(34),", ",
,CHAR(34),"endDate",CHAR(34),":",CHAR(34),TEXT(G256+W256-1,"yyyy-mm-dd"),CHAR(34),
IF(OR(ISBLANK(AE256),ISBLANK(AF256)),"",(CONCATENATE(", ",CHAR(34),"startTime",CHAR(34),":",CHAR(34),TEXT(AE256,"hh:mm"),CHAR(34),", ",CHAR(34),"endTime",CHAR(34),":",CHAR(34),TEXT(AF256,"hh:mm"),CHAR(34),", ",CHAR(34),"timeZone",CHAR(34),":",CHAR(34),AG256,CHAR(34)))),"}]'"),
CONCATENATE(
"{  startDate=",CHAR(34),TEXT(G256,"yyyy-mm-dd"),CHAR(34),
"  endDate=",CHAR(34),TEXT(G256+W256-1,"yyyy-mm-dd"),CHAR(34),"}"))),
" &gt;&lt;/add-to-calendar-button&gt;")</f>
        <v>&lt;add-to-calendar-button  name="New York City All-Day Singing"   location="Brooklyn Friends Meeting. 110 Schermerhorn Street, Brooklyn, NY 11201"   description="10am-3pm; shapenotesingings.com"   options="'Apple','Google','iCal','Outlook.com'"   styleLight="--btn-background: #550000; --btn-text: #fff; --btn-shadow:#fff;"startDate="2025-09-20"{endDate="2025-09-20" startTime="09:30" endTime="15:00" timeZone="America/New_York" &gt;&lt;/add-to-calendar-button&gt;</v>
      </c>
      <c r="AE256" s="24">
        <v>0.39583333333333331</v>
      </c>
      <c r="AF256" s="24">
        <v>0.625</v>
      </c>
      <c r="AG256" s="25" t="s">
        <v>1532</v>
      </c>
    </row>
    <row r="257" spans="1:33" x14ac:dyDescent="0.3">
      <c r="A257" t="s">
        <v>8</v>
      </c>
      <c r="B257" t="s">
        <v>11</v>
      </c>
      <c r="C257" t="s">
        <v>1134</v>
      </c>
      <c r="D257" t="s">
        <v>168</v>
      </c>
      <c r="E257" t="s">
        <v>34</v>
      </c>
      <c r="F257" t="s">
        <v>633</v>
      </c>
      <c r="G257" s="7">
        <f ca="1">X257</f>
        <v>45920</v>
      </c>
      <c r="H257" s="5" t="s">
        <v>641</v>
      </c>
      <c r="L257" t="s">
        <v>953</v>
      </c>
      <c r="M257" s="16" t="s">
        <v>1023</v>
      </c>
      <c r="N257" s="16" t="s">
        <v>170</v>
      </c>
      <c r="O257" s="7">
        <v>44936</v>
      </c>
      <c r="P257" s="7" t="s">
        <v>926</v>
      </c>
      <c r="Q257" s="18">
        <v>9</v>
      </c>
      <c r="R257" s="18">
        <v>3</v>
      </c>
      <c r="S257" s="18">
        <v>1</v>
      </c>
      <c r="T257" s="4">
        <f>DATE(AI$2,$Q257,1+(($R257-($S257&gt;=WEEKDAY(DATE(AI$2,$Q257,1))))*7)+($S257-WEEKDAY(DATE(AI$2,$Q257,1))))</f>
        <v>45921</v>
      </c>
      <c r="U257" s="4">
        <f>DATE(AJ$2,$Q257,1+(($R257-($S257&gt;=WEEKDAY(DATE(AJ$2,$Q257,1))))*7)+($S257-WEEKDAY(DATE(AJ$2,$Q257,1))))</f>
        <v>46285</v>
      </c>
      <c r="V257" s="20">
        <v>-1</v>
      </c>
      <c r="W257" s="20">
        <v>1</v>
      </c>
      <c r="X257" s="4">
        <f ca="1">Y257-(W257-1)</f>
        <v>45920</v>
      </c>
      <c r="Y257" s="5">
        <f ca="1">IF(OR(T257+V257&lt;(NOW()-0.5),ISNUMBER(SEARCH("&lt;h4&gt;",K257))),U257+V257,T257+V257)</f>
        <v>45920</v>
      </c>
      <c r="Z257" t="str">
        <f ca="1">CONCATENATE(IF(OR(Y257=X257,ISBLANK(Y257)),TEXT(X257,"mmmm d"),CONCATENATE(TEXT(X257,"mmmm d"),"-",IF(TEXT(X257,"mmmm")=TEXT(Y257,"mmmm"),TEXT(Y257,"d"),TEXT(Y257,"mmmm d")))),", ",YEAR(Y257))</f>
        <v>September 20, 2025</v>
      </c>
      <c r="AA257" s="7">
        <f>O257</f>
        <v>44936</v>
      </c>
      <c r="AB257" s="14">
        <f>T257+V257-(W257-1)</f>
        <v>45920</v>
      </c>
      <c r="AC257" t="s">
        <v>1358</v>
      </c>
      <c r="AD257" s="23" t="str">
        <f ca="1">CONCATENATE("&lt;add-to-calendar-button  name=",CHAR(34),H257,CHAR(34),
IF(ISBLANK(M257),"",CONCATENATE("   location=",CHAR(34),RIGHT(M257,LEN(M257)-SEARCH("|",M257)-1),CHAR(34))),
"   description=",CHAR(34),IF(ISBLANK(I257),"",CONCATENATE(I257,"; ")),"shapenotesingings.com",CHAR(34),
"   options=",CHAR(34),"'Apple','Google','iCal','Outlook.com'",CHAR(34),"   styleLight=",CHAR(34),"--btn-background: #550000; --btn-text: #fff; --btn-shadow:#fff;",CHAR(34),
IF(W257=1,CONCATENATE(
"startDate=",CHAR(34),TEXT(G257,"yyyy-mm-dd"),CHAR(34),
"{endDate=",CHAR(34),TEXT(G257,"yyyy-mm-dd"),CHAR(34),
IF(OR(ISBLANK(AE257),ISBLANK(AF257)),"",(CONCATENATE(" startTime=",CHAR(34),TEXT(AE257,"hh:mm"),CHAR(34)," endTime=",CHAR(34),TEXT(AF257,"h:mm"),CHAR(34),
" timeZone=",CHAR(34),AG257,CHAR(34))))),
IF(W257=2,CONCATENATE(" dates='[{",
CHAR(34),"startDate",CHAR(34),":",CHAR(34),TEXT(G257,"yyyy-mm-dd"),CHAR(34),", ",
,CHAR(34),"endDate",CHAR(34),":",CHAR(34),TEXT(G257,"yyyy-mm-dd"),CHAR(34),
IF(OR(ISBLANK(AE257),ISBLANK(AF257)),"",(CONCATENATE(", ",CHAR(34),"startTime",CHAR(34),":",CHAR(34),TEXT(AE257,"hh:mm"),CHAR(34),", ",CHAR(34),"endTime",CHAR(34),":",CHAR(34),TEXT(AF257,"hh:mm"),CHAR(34),", ",CHAR(34),"timeZone",CHAR(34),":",CHAR(34),AG257,CHAR(34)))),"}, {",
,CHAR(34),"startDate",CHAR(34),":",CHAR(34),TEXT(G257+1,"yyyy-mm-dd"),CHAR(34),", ",
,CHAR(34),"endDate",CHAR(34),":",CHAR(34),TEXT(G257+W257-1,"yyyy-mm-dd"),CHAR(34),
IF(OR(ISBLANK(AE257),ISBLANK(AF257)),"",(CONCATENATE(", ",CHAR(34),"startTime",CHAR(34),":",CHAR(34),TEXT(AE257,"hh:mm"),CHAR(34),", ",CHAR(34),"endTime",CHAR(34),":",CHAR(34),TEXT(AF257,"hh:mm"),CHAR(34),", ",CHAR(34),"timeZone",CHAR(34),":",CHAR(34),AG257,CHAR(34)))),"}]'"),
CONCATENATE(
"{  startDate=",CHAR(34),TEXT(G257,"yyyy-mm-dd"),CHAR(34),
"  endDate=",CHAR(34),TEXT(G257+W257-1,"yyyy-mm-dd"),CHAR(34),"}"))),
" &gt;&lt;/add-to-calendar-button&gt;")</f>
        <v>&lt;add-to-calendar-button  name="Middle Creek Convention"   location="Pleasant Grove Primitive Baptist Church, 1201 Eufaula St, Ozark, AL 36360"   description="shapenotesingings.com"   options="'Apple','Google','iCal','Outlook.com'"   styleLight="--btn-background: #550000; --btn-text: #fff; --btn-shadow:#fff;"startDate="2025-09-20"{endDate="2025-09-20" &gt;&lt;/add-to-calendar-button&gt;</v>
      </c>
      <c r="AG257" s="25" t="s">
        <v>1533</v>
      </c>
    </row>
    <row r="258" spans="1:33" x14ac:dyDescent="0.3">
      <c r="A258" t="s">
        <v>8</v>
      </c>
      <c r="B258" t="s">
        <v>36</v>
      </c>
      <c r="C258" t="s">
        <v>1142</v>
      </c>
      <c r="D258" t="s">
        <v>638</v>
      </c>
      <c r="E258" t="s">
        <v>2182</v>
      </c>
      <c r="F258" t="s">
        <v>633</v>
      </c>
      <c r="G258" s="7">
        <f ca="1">X258</f>
        <v>45920</v>
      </c>
      <c r="H258" s="5" t="s">
        <v>637</v>
      </c>
      <c r="I258" t="s">
        <v>1048</v>
      </c>
      <c r="J258" s="36" t="s">
        <v>2871</v>
      </c>
      <c r="L258" t="s">
        <v>2170</v>
      </c>
      <c r="M258" s="16" t="s">
        <v>639</v>
      </c>
      <c r="N258" s="16" t="s">
        <v>640</v>
      </c>
      <c r="O258" s="7">
        <v>45038</v>
      </c>
      <c r="P258" s="7" t="s">
        <v>1556</v>
      </c>
      <c r="Q258" s="18">
        <v>9</v>
      </c>
      <c r="R258" s="18">
        <v>3</v>
      </c>
      <c r="S258" s="18">
        <v>1</v>
      </c>
      <c r="T258" s="4">
        <f>DATE(AI$2,$Q258,1+(($R258-($S258&gt;=WEEKDAY(DATE(AI$2,$Q258,1))))*7)+($S258-WEEKDAY(DATE(AI$2,$Q258,1))))</f>
        <v>45921</v>
      </c>
      <c r="U258" s="4">
        <f>DATE(AJ$2,$Q258,1+(($R258-($S258&gt;=WEEKDAY(DATE(AJ$2,$Q258,1))))*7)+($S258-WEEKDAY(DATE(AJ$2,$Q258,1))))</f>
        <v>46285</v>
      </c>
      <c r="V258" s="20">
        <v>-1</v>
      </c>
      <c r="W258" s="20">
        <v>1</v>
      </c>
      <c r="X258" s="4">
        <f ca="1">Y258-(W258-1)</f>
        <v>45920</v>
      </c>
      <c r="Y258" s="5">
        <f ca="1">IF(OR(T258+V258&lt;(NOW()-0.5),ISNUMBER(SEARCH("&lt;h4&gt;",K258))),U258+V258,T258+V258)</f>
        <v>45920</v>
      </c>
      <c r="Z258" t="str">
        <f ca="1">CONCATENATE(IF(OR(Y258=X258,ISBLANK(Y258)),TEXT(X258,"mmmm d"),CONCATENATE(TEXT(X258,"mmmm d"),"-",IF(TEXT(X258,"mmmm")=TEXT(Y258,"mmmm"),TEXT(Y258,"d"),TEXT(Y258,"mmmm d")))),", ",YEAR(Y258))</f>
        <v>September 20, 2025</v>
      </c>
      <c r="AA258" s="7">
        <f>O258</f>
        <v>45038</v>
      </c>
      <c r="AB258" s="14">
        <f>T258+V258-(W258-1)</f>
        <v>45920</v>
      </c>
      <c r="AC258" t="s">
        <v>1359</v>
      </c>
      <c r="AD258" s="23" t="str">
        <f ca="1">CONCATENATE("&lt;add-to-calendar-button  name=",CHAR(34),H258,CHAR(34),
IF(ISBLANK(M258),"",CONCATENATE("   location=",CHAR(34),RIGHT(M258,LEN(M258)-SEARCH("|",M258)-1),CHAR(34))),
"   description=",CHAR(34),IF(ISBLANK(I258),"",CONCATENATE(I258,"; ")),"shapenotesingings.com",CHAR(34),
"   options=",CHAR(34),"'Apple','Google','iCal','Outlook.com'",CHAR(34),"   styleLight=",CHAR(34),"--btn-background: #550000; --btn-text: #fff; --btn-shadow:#fff;",CHAR(34),
IF(W258=1,CONCATENATE(
"startDate=",CHAR(34),TEXT(G258,"yyyy-mm-dd"),CHAR(34),
"{endDate=",CHAR(34),TEXT(G258,"yyyy-mm-dd"),CHAR(34),
IF(OR(ISBLANK(AE258),ISBLANK(AF258)),"",(CONCATENATE(" startTime=",CHAR(34),TEXT(AE258,"hh:mm"),CHAR(34)," endTime=",CHAR(34),TEXT(AF258,"h:mm"),CHAR(34),
" timeZone=",CHAR(34),AG258,CHAR(34))))),
IF(W258=2,CONCATENATE(" dates='[{",
CHAR(34),"startDate",CHAR(34),":",CHAR(34),TEXT(G258,"yyyy-mm-dd"),CHAR(34),", ",
,CHAR(34),"endDate",CHAR(34),":",CHAR(34),TEXT(G258,"yyyy-mm-dd"),CHAR(34),
IF(OR(ISBLANK(AE258),ISBLANK(AF258)),"",(CONCATENATE(", ",CHAR(34),"startTime",CHAR(34),":",CHAR(34),TEXT(AE258,"hh:mm"),CHAR(34),", ",CHAR(34),"endTime",CHAR(34),":",CHAR(34),TEXT(AF258,"hh:mm"),CHAR(34),", ",CHAR(34),"timeZone",CHAR(34),":",CHAR(34),AG258,CHAR(34)))),"}, {",
,CHAR(34),"startDate",CHAR(34),":",CHAR(34),TEXT(G258+1,"yyyy-mm-dd"),CHAR(34),", ",
,CHAR(34),"endDate",CHAR(34),":",CHAR(34),TEXT(G258+W258-1,"yyyy-mm-dd"),CHAR(34),
IF(OR(ISBLANK(AE258),ISBLANK(AF258)),"",(CONCATENATE(", ",CHAR(34),"startTime",CHAR(34),":",CHAR(34),TEXT(AE258,"hh:mm"),CHAR(34),", ",CHAR(34),"endTime",CHAR(34),":",CHAR(34),TEXT(AF258,"hh:mm"),CHAR(34),", ",CHAR(34),"timeZone",CHAR(34),":",CHAR(34),AG258,CHAR(34)))),"}]'"),
CONCATENATE(
"{  startDate=",CHAR(34),TEXT(G258,"yyyy-mm-dd"),CHAR(34),
"  endDate=",CHAR(34),TEXT(G258+W258-1,"yyyy-mm-dd"),CHAR(34),"}"))),
" &gt;&lt;/add-to-calendar-button&gt;")</f>
        <v>&lt;add-to-calendar-button  name="Illinois State Convention"   location="Texas Christian Church, 8301 Texas Church Rd, Clinton, IL 61727"   description="9:30am-3pm; shapenotesingings.com"   options="'Apple','Google','iCal','Outlook.com'"   styleLight="--btn-background: #550000; --btn-text: #fff; --btn-shadow:#fff;"startDate="2025-09-20"{endDate="2025-09-20" startTime="09:30" endTime="15:00" timeZone="America/Chicago" &gt;&lt;/add-to-calendar-button&gt;</v>
      </c>
      <c r="AE258" s="24">
        <v>0.39583333333333331</v>
      </c>
      <c r="AF258" s="24">
        <v>0.625</v>
      </c>
      <c r="AG258" s="25" t="s">
        <v>1533</v>
      </c>
    </row>
    <row r="259" spans="1:33" x14ac:dyDescent="0.3">
      <c r="A259" t="s">
        <v>8</v>
      </c>
      <c r="B259" t="s">
        <v>11</v>
      </c>
      <c r="C259" t="s">
        <v>1134</v>
      </c>
      <c r="D259" t="s">
        <v>649</v>
      </c>
      <c r="E259" t="s">
        <v>2178</v>
      </c>
      <c r="F259" t="s">
        <v>646</v>
      </c>
      <c r="G259" s="7">
        <f ca="1">X259</f>
        <v>45921</v>
      </c>
      <c r="H259" s="5" t="s">
        <v>2277</v>
      </c>
      <c r="I259" t="s">
        <v>1028</v>
      </c>
      <c r="J259" s="36" t="s">
        <v>2872</v>
      </c>
      <c r="K259" t="s">
        <v>1129</v>
      </c>
      <c r="L259" t="s">
        <v>2278</v>
      </c>
      <c r="M259" s="16" t="s">
        <v>650</v>
      </c>
      <c r="N259" s="16" t="s">
        <v>651</v>
      </c>
      <c r="O259" s="7">
        <v>45543</v>
      </c>
      <c r="P259" s="7" t="s">
        <v>2279</v>
      </c>
      <c r="Q259" s="18">
        <v>9</v>
      </c>
      <c r="R259" s="18">
        <v>3</v>
      </c>
      <c r="S259" s="18">
        <v>1</v>
      </c>
      <c r="T259" s="4">
        <f>DATE(AI$2,$Q259,1+(($R259-($S259&gt;=WEEKDAY(DATE(AI$2,$Q259,1))))*7)+($S259-WEEKDAY(DATE(AI$2,$Q259,1))))</f>
        <v>45921</v>
      </c>
      <c r="U259" s="4">
        <f>DATE(AJ$2,$Q259,1+(($R259-($S259&gt;=WEEKDAY(DATE(AJ$2,$Q259,1))))*7)+($S259-WEEKDAY(DATE(AJ$2,$Q259,1))))</f>
        <v>46285</v>
      </c>
      <c r="V259" s="20">
        <v>0</v>
      </c>
      <c r="W259" s="20">
        <v>1</v>
      </c>
      <c r="X259" s="4">
        <f ca="1">Y259-(W259-1)</f>
        <v>45921</v>
      </c>
      <c r="Y259" s="5">
        <f ca="1">IF(OR(T259+V259&lt;(NOW()-0.5),ISNUMBER(SEARCH("&lt;h4&gt;",K259))),U259+V259,T259+V259)</f>
        <v>45921</v>
      </c>
      <c r="Z259" t="str">
        <f ca="1">CONCATENATE(IF(OR(Y259=X259,ISBLANK(Y259)),TEXT(X259,"mmmm d"),CONCATENATE(TEXT(X259,"mmmm d"),"-",IF(TEXT(X259,"mmmm")=TEXT(Y259,"mmmm"),TEXT(Y259,"d"),TEXT(Y259,"mmmm d")))),", ",YEAR(Y259))</f>
        <v>September 21, 2025</v>
      </c>
      <c r="AA259" s="7">
        <f>O259</f>
        <v>45543</v>
      </c>
      <c r="AB259" s="14">
        <f>T259+V259-(W259-1)</f>
        <v>45921</v>
      </c>
      <c r="AC259" t="s">
        <v>1360</v>
      </c>
      <c r="AD259" s="23" t="str">
        <f ca="1">CONCATENATE("&lt;add-to-calendar-button  name=",CHAR(34),H259,CHAR(34),
IF(ISBLANK(M259),"",CONCATENATE("   location=",CHAR(34),RIGHT(M259,LEN(M259)-SEARCH("|",M259)-1),CHAR(34))),
"   description=",CHAR(34),IF(ISBLANK(I259),"",CONCATENATE(I259,"; ")),"shapenotesingings.com",CHAR(34),
"   options=",CHAR(34),"'Apple','Google','iCal','Outlook.com'",CHAR(34),"   styleLight=",CHAR(34),"--btn-background: #550000; --btn-text: #fff; --btn-shadow:#fff;",CHAR(34),
IF(W259=1,CONCATENATE(
"startDate=",CHAR(34),TEXT(G259,"yyyy-mm-dd"),CHAR(34),
"{endDate=",CHAR(34),TEXT(G259,"yyyy-mm-dd"),CHAR(34),
IF(OR(ISBLANK(AE259),ISBLANK(AF259)),"",(CONCATENATE(" startTime=",CHAR(34),TEXT(AE259,"hh:mm"),CHAR(34)," endTime=",CHAR(34),TEXT(AF259,"h:mm"),CHAR(34),
" timeZone=",CHAR(34),AG259,CHAR(34))))),
IF(W259=2,CONCATENATE(" dates='[{",
CHAR(34),"startDate",CHAR(34),":",CHAR(34),TEXT(G259,"yyyy-mm-dd"),CHAR(34),", ",
,CHAR(34),"endDate",CHAR(34),":",CHAR(34),TEXT(G259,"yyyy-mm-dd"),CHAR(34),
IF(OR(ISBLANK(AE259),ISBLANK(AF259)),"",(CONCATENATE(", ",CHAR(34),"startTime",CHAR(34),":",CHAR(34),TEXT(AE259,"hh:mm"),CHAR(34),", ",CHAR(34),"endTime",CHAR(34),":",CHAR(34),TEXT(AF259,"hh:mm"),CHAR(34),", ",CHAR(34),"timeZone",CHAR(34),":",CHAR(34),AG259,CHAR(34)))),"}, {",
,CHAR(34),"startDate",CHAR(34),":",CHAR(34),TEXT(G259+1,"yyyy-mm-dd"),CHAR(34),", ",
,CHAR(34),"endDate",CHAR(34),":",CHAR(34),TEXT(G259+W259-1,"yyyy-mm-dd"),CHAR(34),
IF(OR(ISBLANK(AE259),ISBLANK(AF259)),"",(CONCATENATE(", ",CHAR(34),"startTime",CHAR(34),":",CHAR(34),TEXT(AE259,"hh:mm"),CHAR(34),", ",CHAR(34),"endTime",CHAR(34),":",CHAR(34),TEXT(AF259,"hh:mm"),CHAR(34),", ",CHAR(34),"timeZone",CHAR(34),":",CHAR(34),AG259,CHAR(34)))),"}]'"),
CONCATENATE(
"{  startDate=",CHAR(34),TEXT(G259,"yyyy-mm-dd"),CHAR(34),
"  endDate=",CHAR(34),TEXT(G259+W259-1,"yyyy-mm-dd"),CHAR(34),"}"))),
" &gt;&lt;/add-to-calendar-button&gt;")</f>
        <v>&lt;add-to-calendar-button  name="William J Futral Memorial Singing"   location="Smyrna Primitive Baptist Church, Co Rd 83, Goodwater, Alabama 35072"   description="10am; shapenotesingings.com"   options="'Apple','Google','iCal','Outlook.com'"   styleLight="--btn-background: #550000; --btn-text: #fff; --btn-shadow:#fff;"startDate="2025-09-21"{endDate="2025-09-21" startTime="10:00" endTime="15:00" timeZone="America/Chicago" &gt;&lt;/add-to-calendar-button&gt;</v>
      </c>
      <c r="AE259" s="24">
        <v>0.41666666666666669</v>
      </c>
      <c r="AF259" s="24">
        <v>0.625</v>
      </c>
      <c r="AG259" s="25" t="s">
        <v>1533</v>
      </c>
    </row>
    <row r="260" spans="1:33" x14ac:dyDescent="0.3">
      <c r="A260" t="s">
        <v>8</v>
      </c>
      <c r="B260" t="s">
        <v>17</v>
      </c>
      <c r="C260" t="s">
        <v>1140</v>
      </c>
      <c r="D260" t="s">
        <v>30</v>
      </c>
      <c r="E260" t="s">
        <v>519</v>
      </c>
      <c r="F260" t="s">
        <v>646</v>
      </c>
      <c r="G260" s="7">
        <f ca="1">X260</f>
        <v>45921</v>
      </c>
      <c r="H260" s="5" t="s">
        <v>2638</v>
      </c>
      <c r="I260" t="s">
        <v>1041</v>
      </c>
      <c r="J260" s="36" t="s">
        <v>2637</v>
      </c>
      <c r="L260" t="s">
        <v>1717</v>
      </c>
      <c r="M260" s="16" t="s">
        <v>2276</v>
      </c>
      <c r="N260" s="16" t="s">
        <v>2275</v>
      </c>
      <c r="O260" s="7">
        <v>45550</v>
      </c>
      <c r="P260" s="7" t="s">
        <v>2286</v>
      </c>
      <c r="Q260" s="18">
        <v>9</v>
      </c>
      <c r="R260" s="18">
        <v>3</v>
      </c>
      <c r="S260" s="18">
        <v>1</v>
      </c>
      <c r="T260" s="4">
        <f>DATE(AI$2,$Q260,1+(($R260-($S260&gt;=WEEKDAY(DATE(AI$2,$Q260,1))))*7)+($S260-WEEKDAY(DATE(AI$2,$Q260,1))))</f>
        <v>45921</v>
      </c>
      <c r="U260" s="4">
        <f>DATE(AJ$2,$Q260,1+(($R260-($S260&gt;=WEEKDAY(DATE(AJ$2,$Q260,1))))*7)+($S260-WEEKDAY(DATE(AJ$2,$Q260,1))))</f>
        <v>46285</v>
      </c>
      <c r="V260" s="20">
        <v>0</v>
      </c>
      <c r="W260" s="20">
        <v>1</v>
      </c>
      <c r="X260" s="4">
        <f ca="1">Y260-(W260-1)</f>
        <v>45921</v>
      </c>
      <c r="Y260" s="5">
        <f ca="1">IF(OR(T260+V260&lt;(NOW()-0.5),ISNUMBER(SEARCH("&lt;h4&gt;",K260))),U260+V260,T260+V260)</f>
        <v>45921</v>
      </c>
      <c r="Z260" t="str">
        <f ca="1">CONCATENATE(IF(OR(Y260=X260,ISBLANK(Y260)),TEXT(X260,"mmmm d"),CONCATENATE(TEXT(X260,"mmmm d"),"-",IF(TEXT(X260,"mmmm")=TEXT(Y260,"mmmm"),TEXT(Y260,"d"),TEXT(Y260,"mmmm d")))),", ",YEAR(Y260))</f>
        <v>September 21, 2025</v>
      </c>
      <c r="AA260" s="7">
        <f>O260</f>
        <v>45550</v>
      </c>
      <c r="AB260" s="14">
        <f>T260+V260-(W260-1)</f>
        <v>45921</v>
      </c>
      <c r="AC260" t="s">
        <v>1362</v>
      </c>
      <c r="AD260" s="23" t="str">
        <f ca="1">CONCATENATE("&lt;add-to-calendar-button  name=",CHAR(34),H260,CHAR(34),
IF(ISBLANK(M260),"",CONCATENATE("   location=",CHAR(34),RIGHT(M260,LEN(M260)-SEARCH("|",M260)-1),CHAR(34))),
"   description=",CHAR(34),IF(ISBLANK(I260),"",CONCATENATE(I260,"; ")),"shapenotesingings.com",CHAR(34),
"   options=",CHAR(34),"'Apple','Google','iCal','Outlook.com'",CHAR(34),"   styleLight=",CHAR(34),"--btn-background: #550000; --btn-text: #fff; --btn-shadow:#fff;",CHAR(34),
IF(W260=1,CONCATENATE(
"startDate=",CHAR(34),TEXT(G260,"yyyy-mm-dd"),CHAR(34),
"{endDate=",CHAR(34),TEXT(G260,"yyyy-mm-dd"),CHAR(34),
IF(OR(ISBLANK(AE260),ISBLANK(AF260)),"",(CONCATENATE(" startTime=",CHAR(34),TEXT(AE260,"hh:mm"),CHAR(34)," endTime=",CHAR(34),TEXT(AF260,"h:mm"),CHAR(34),
" timeZone=",CHAR(34),AG260,CHAR(34))))),
IF(W260=2,CONCATENATE(" dates='[{",
CHAR(34),"startDate",CHAR(34),":",CHAR(34),TEXT(G260,"yyyy-mm-dd"),CHAR(34),", ",
,CHAR(34),"endDate",CHAR(34),":",CHAR(34),TEXT(G260,"yyyy-mm-dd"),CHAR(34),
IF(OR(ISBLANK(AE260),ISBLANK(AF260)),"",(CONCATENATE(", ",CHAR(34),"startTime",CHAR(34),":",CHAR(34),TEXT(AE260,"hh:mm"),CHAR(34),", ",CHAR(34),"endTime",CHAR(34),":",CHAR(34),TEXT(AF260,"hh:mm"),CHAR(34),", ",CHAR(34),"timeZone",CHAR(34),":",CHAR(34),AG260,CHAR(34)))),"}, {",
,CHAR(34),"startDate",CHAR(34),":",CHAR(34),TEXT(G260+1,"yyyy-mm-dd"),CHAR(34),", ",
,CHAR(34),"endDate",CHAR(34),":",CHAR(34),TEXT(G260+W260-1,"yyyy-mm-dd"),CHAR(34),
IF(OR(ISBLANK(AE260),ISBLANK(AF260)),"",(CONCATENATE(", ",CHAR(34),"startTime",CHAR(34),":",CHAR(34),TEXT(AE260,"hh:mm"),CHAR(34),", ",CHAR(34),"endTime",CHAR(34),":",CHAR(34),TEXT(AF260,"hh:mm"),CHAR(34),", ",CHAR(34),"timeZone",CHAR(34),":",CHAR(34),AG260,CHAR(34)))),"}]'"),
CONCATENATE(
"{  startDate=",CHAR(34),TEXT(G260,"yyyy-mm-dd"),CHAR(34),
"  endDate=",CHAR(34),TEXT(G260+W260-1,"yyyy-mm-dd"),CHAR(34),"}"))),
" &gt;&lt;/add-to-calendar-button&gt;")</f>
        <v>&lt;add-to-calendar-button  name="B.F. White Memorial Sacred Harp Singing"   location="Hardeman Primitive Baptist Church, 3965 Glenwood Rd, Decatur, GA 30032"   description="10:30am; shapenotesingings.com"   options="'Apple','Google','iCal','Outlook.com'"   styleLight="--btn-background: #550000; --btn-text: #fff; --btn-shadow:#fff;"startDate="2025-09-21"{endDate="2025-09-21" startTime="10:00" endTime="15:00" timeZone="America/New_York" &gt;&lt;/add-to-calendar-button&gt;</v>
      </c>
      <c r="AE260" s="24">
        <v>0.41666666666666669</v>
      </c>
      <c r="AF260" s="24">
        <v>0.625</v>
      </c>
      <c r="AG260" s="25" t="s">
        <v>1532</v>
      </c>
    </row>
    <row r="261" spans="1:33" x14ac:dyDescent="0.3">
      <c r="A261" t="s">
        <v>8</v>
      </c>
      <c r="B261" t="s">
        <v>273</v>
      </c>
      <c r="C261" t="s">
        <v>1160</v>
      </c>
      <c r="D261" t="s">
        <v>807</v>
      </c>
      <c r="E261" t="s">
        <v>777</v>
      </c>
      <c r="F261" t="s">
        <v>662</v>
      </c>
      <c r="G261" s="7">
        <f ca="1">X261</f>
        <v>45927</v>
      </c>
      <c r="H261" s="5" t="s">
        <v>806</v>
      </c>
      <c r="I261" t="s">
        <v>1037</v>
      </c>
      <c r="J261" s="36" t="s">
        <v>2621</v>
      </c>
      <c r="K261" t="s">
        <v>1131</v>
      </c>
      <c r="L261" t="s">
        <v>1484</v>
      </c>
      <c r="M261" s="16" t="s">
        <v>902</v>
      </c>
      <c r="N261" s="16" t="s">
        <v>808</v>
      </c>
      <c r="O261" s="7">
        <v>44927</v>
      </c>
      <c r="P261" s="7" t="s">
        <v>934</v>
      </c>
      <c r="Q261" s="18">
        <v>9</v>
      </c>
      <c r="R261" s="18">
        <v>4</v>
      </c>
      <c r="S261" s="18">
        <v>1</v>
      </c>
      <c r="T261" s="4">
        <f>DATE(AI$2,$Q261,1+(($R261-($S261&gt;=WEEKDAY(DATE(AI$2,$Q261,1))))*7)+($S261-WEEKDAY(DATE(AI$2,$Q261,1))))</f>
        <v>45928</v>
      </c>
      <c r="U261" s="4">
        <f>DATE(AJ$2,$Q261,1+(($R261-($S261&gt;=WEEKDAY(DATE(AJ$2,$Q261,1))))*7)+($S261-WEEKDAY(DATE(AJ$2,$Q261,1))))</f>
        <v>46292</v>
      </c>
      <c r="V261" s="20">
        <v>0</v>
      </c>
      <c r="W261" s="20">
        <v>2</v>
      </c>
      <c r="X261" s="4">
        <f ca="1">Y261-(W261-1)</f>
        <v>45927</v>
      </c>
      <c r="Y261" s="5">
        <f ca="1">IF(OR(T261+V261&lt;(NOW()-0.5),ISNUMBER(SEARCH("&lt;h4&gt;",K261))),U261+V261,T261+V261)</f>
        <v>45928</v>
      </c>
      <c r="Z261" t="str">
        <f ca="1">CONCATENATE(IF(OR(Y261=X261,ISBLANK(Y261)),TEXT(X261,"mmmm d"),CONCATENATE(TEXT(X261,"mmmm d"),"-",IF(TEXT(X261,"mmmm")=TEXT(Y261,"mmmm"),TEXT(Y261,"d"),TEXT(Y261,"mmmm d")))),", ",YEAR(Y261))</f>
        <v>September 27-28, 2025</v>
      </c>
      <c r="AA261" s="7">
        <f>O261</f>
        <v>44927</v>
      </c>
      <c r="AB261" s="14">
        <f>T261+V261-(W261-1)</f>
        <v>45927</v>
      </c>
      <c r="AC261" t="s">
        <v>1365</v>
      </c>
      <c r="AD261" s="23" t="str">
        <f ca="1">CONCATENATE("&lt;add-to-calendar-button  name=",CHAR(34),H261,CHAR(34),
IF(ISBLANK(M261),"",CONCATENATE("   location=",CHAR(34),RIGHT(M261,LEN(M261)-SEARCH("|",M261)-1),CHAR(34))),
"   description=",CHAR(34),IF(ISBLANK(I261),"",CONCATENATE(I261,"; ")),"shapenotesingings.com",CHAR(34),
"   options=",CHAR(34),"'Apple','Google','iCal','Outlook.com'",CHAR(34),"   styleLight=",CHAR(34),"--btn-background: #550000; --btn-text: #fff; --btn-shadow:#fff;",CHAR(34),
IF(W261=1,CONCATENATE(
"startDate=",CHAR(34),TEXT(G261,"yyyy-mm-dd"),CHAR(34),
"{endDate=",CHAR(34),TEXT(G261,"yyyy-mm-dd"),CHAR(34),
IF(OR(ISBLANK(AE261),ISBLANK(AF261)),"",(CONCATENATE(" startTime=",CHAR(34),TEXT(AE261,"hh:mm"),CHAR(34)," endTime=",CHAR(34),TEXT(AF261,"h:mm"),CHAR(34),
" timeZone=",CHAR(34),AG261,CHAR(34))))),
IF(W261=2,CONCATENATE(" dates='[{",
CHAR(34),"startDate",CHAR(34),":",CHAR(34),TEXT(G261,"yyyy-mm-dd"),CHAR(34),", ",
,CHAR(34),"endDate",CHAR(34),":",CHAR(34),TEXT(G261,"yyyy-mm-dd"),CHAR(34),
IF(OR(ISBLANK(AE261),ISBLANK(AF261)),"",(CONCATENATE(", ",CHAR(34),"startTime",CHAR(34),":",CHAR(34),TEXT(AE261,"hh:mm"),CHAR(34),", ",CHAR(34),"endTime",CHAR(34),":",CHAR(34),TEXT(AF261,"hh:mm"),CHAR(34),", ",CHAR(34),"timeZone",CHAR(34),":",CHAR(34),AG261,CHAR(34)))),"}, {",
,CHAR(34),"startDate",CHAR(34),":",CHAR(34),TEXT(G261+1,"yyyy-mm-dd"),CHAR(34),", ",
,CHAR(34),"endDate",CHAR(34),":",CHAR(34),TEXT(G261+W261-1,"yyyy-mm-dd"),CHAR(34),
IF(OR(ISBLANK(AE261),ISBLANK(AF261)),"",(CONCATENATE(", ",CHAR(34),"startTime",CHAR(34),":",CHAR(34),TEXT(AE261,"hh:mm"),CHAR(34),", ",CHAR(34),"endTime",CHAR(34),":",CHAR(34),TEXT(AF261,"hh:mm"),CHAR(34),", ",CHAR(34),"timeZone",CHAR(34),":",CHAR(34),AG261,CHAR(34)))),"}]'"),
CONCATENATE(
"{  startDate=",CHAR(34),TEXT(G261,"yyyy-mm-dd"),CHAR(34),
"  endDate=",CHAR(34),TEXT(G261+W261-1,"yyyy-mm-dd"),CHAR(34),"}"))),
" &gt;&lt;/add-to-calendar-button&gt;")</f>
        <v>&lt;add-to-calendar-button  name="Wears Valley Convention"   location="Headrick's Chapel, 4317 Wears Valley Rd, Sevierville, TN 37862 and Valley View Baptist Church, 2219 Little Cove Rd, Sevierville, TN 37862"   description="10am-3pm; shapenotesingings.com"   options="'Apple','Google','iCal','Outlook.com'"   styleLight="--btn-background: #550000; --btn-text: #fff; --btn-shadow:#fff;" dates='[{"startDate":"2025-09-27", "endDate":"2025-09-27", "startTime":"10:00", "endTime":"15:00", "timeZone":"America/New_York"}, {"startDate":"2025-09-28", "endDate":"2025-09-28", "startTime":"10:00", "endTime":"15:00", "timeZone":"America/New_York"}]' &gt;&lt;/add-to-calendar-button&gt;</v>
      </c>
      <c r="AE261" s="24">
        <v>0.41666666666666669</v>
      </c>
      <c r="AF261" s="24">
        <v>0.625</v>
      </c>
      <c r="AG261" s="25" t="s">
        <v>1532</v>
      </c>
    </row>
    <row r="262" spans="1:33" x14ac:dyDescent="0.3">
      <c r="A262" t="s">
        <v>8</v>
      </c>
      <c r="B262" t="s">
        <v>11</v>
      </c>
      <c r="C262" t="s">
        <v>1134</v>
      </c>
      <c r="D262" t="s">
        <v>16</v>
      </c>
      <c r="E262" t="s">
        <v>1435</v>
      </c>
      <c r="F262" t="s">
        <v>662</v>
      </c>
      <c r="G262" s="7">
        <f ca="1">X262</f>
        <v>45927</v>
      </c>
      <c r="H262" s="5" t="s">
        <v>652</v>
      </c>
      <c r="I262" t="s">
        <v>1051</v>
      </c>
      <c r="J262" s="36" t="s">
        <v>2623</v>
      </c>
      <c r="L262" t="s">
        <v>2258</v>
      </c>
      <c r="M262" s="16" t="s">
        <v>614</v>
      </c>
      <c r="N262" s="16" t="s">
        <v>175</v>
      </c>
      <c r="O262" s="7">
        <v>45537</v>
      </c>
      <c r="P262" s="7" t="s">
        <v>2257</v>
      </c>
      <c r="Q262" s="18">
        <v>9</v>
      </c>
      <c r="R262" s="18">
        <v>4</v>
      </c>
      <c r="S262" s="18">
        <v>1</v>
      </c>
      <c r="T262" s="4">
        <f>DATE(AI$2,$Q262,1+(($R262-($S262&gt;=WEEKDAY(DATE(AI$2,$Q262,1))))*7)+($S262-WEEKDAY(DATE(AI$2,$Q262,1))))</f>
        <v>45928</v>
      </c>
      <c r="U262" s="4">
        <f>DATE(AJ$2,$Q262,1+(($R262-($S262&gt;=WEEKDAY(DATE(AJ$2,$Q262,1))))*7)+($S262-WEEKDAY(DATE(AJ$2,$Q262,1))))</f>
        <v>46292</v>
      </c>
      <c r="V262" s="20">
        <v>0</v>
      </c>
      <c r="W262" s="20">
        <v>2</v>
      </c>
      <c r="X262" s="4">
        <f ca="1">Y262-(W262-1)</f>
        <v>45927</v>
      </c>
      <c r="Y262" s="5">
        <f ca="1">IF(OR(T262+V262&lt;(NOW()-0.5),ISNUMBER(SEARCH("&lt;h4&gt;",K262))),U262+V262,T262+V262)</f>
        <v>45928</v>
      </c>
      <c r="Z262" t="str">
        <f ca="1">CONCATENATE(IF(OR(Y262=X262,ISBLANK(Y262)),TEXT(X262,"mmmm d"),CONCATENATE(TEXT(X262,"mmmm d"),"-",IF(TEXT(X262,"mmmm")=TEXT(Y262,"mmmm"),TEXT(Y262,"d"),TEXT(Y262,"mmmm d")))),", ",YEAR(Y262))</f>
        <v>September 27-28, 2025</v>
      </c>
      <c r="AA262" s="7">
        <f>O262</f>
        <v>45537</v>
      </c>
      <c r="AB262" s="14">
        <f>T262+V262-(W262-1)</f>
        <v>45927</v>
      </c>
      <c r="AC262" t="s">
        <v>2256</v>
      </c>
      <c r="AD262" s="23" t="str">
        <f ca="1">CONCATENATE("&lt;add-to-calendar-button  name=",CHAR(34),H262,CHAR(34),
IF(ISBLANK(M262),"",CONCATENATE("   location=",CHAR(34),RIGHT(M262,LEN(M262)-SEARCH("|",M262)-1),CHAR(34))),
"   description=",CHAR(34),IF(ISBLANK(I262),"",CONCATENATE(I262,"; ")),"shapenotesingings.com",CHAR(34),
"   options=",CHAR(34),"'Apple','Google','iCal','Outlook.com'",CHAR(34),"   styleLight=",CHAR(34),"--btn-background: #550000; --btn-text: #fff; --btn-shadow:#fff;",CHAR(34),
IF(W262=1,CONCATENATE(
"startDate=",CHAR(34),TEXT(G262,"yyyy-mm-dd"),CHAR(34),
"{endDate=",CHAR(34),TEXT(G262,"yyyy-mm-dd"),CHAR(34),
IF(OR(ISBLANK(AE262),ISBLANK(AF262)),"",(CONCATENATE(" startTime=",CHAR(34),TEXT(AE262,"hh:mm"),CHAR(34)," endTime=",CHAR(34),TEXT(AF262,"h:mm"),CHAR(34),
" timeZone=",CHAR(34),AG262,CHAR(34))))),
IF(W262=2,CONCATENATE(" dates='[{",
CHAR(34),"startDate",CHAR(34),":",CHAR(34),TEXT(G262,"yyyy-mm-dd"),CHAR(34),", ",
,CHAR(34),"endDate",CHAR(34),":",CHAR(34),TEXT(G262,"yyyy-mm-dd"),CHAR(34),
IF(OR(ISBLANK(AE262),ISBLANK(AF262)),"",(CONCATENATE(", ",CHAR(34),"startTime",CHAR(34),":",CHAR(34),TEXT(AE262,"hh:mm"),CHAR(34),", ",CHAR(34),"endTime",CHAR(34),":",CHAR(34),TEXT(AF262,"hh:mm"),CHAR(34),", ",CHAR(34),"timeZone",CHAR(34),":",CHAR(34),AG262,CHAR(34)))),"}, {",
,CHAR(34),"startDate",CHAR(34),":",CHAR(34),TEXT(G262+1,"yyyy-mm-dd"),CHAR(34),", ",
,CHAR(34),"endDate",CHAR(34),":",CHAR(34),TEXT(G262+W262-1,"yyyy-mm-dd"),CHAR(34),
IF(OR(ISBLANK(AE262),ISBLANK(AF262)),"",(CONCATENATE(", ",CHAR(34),"startTime",CHAR(34),":",CHAR(34),TEXT(AE262,"hh:mm"),CHAR(34),", ",CHAR(34),"endTime",CHAR(34),":",CHAR(34),TEXT(AF262,"hh:mm"),CHAR(34),", ",CHAR(34),"timeZone",CHAR(34),":",CHAR(34),AG262,CHAR(34)))),"}]'"),
CONCATENATE(
"{  startDate=",CHAR(34),TEXT(G262,"yyyy-mm-dd"),CHAR(34),
"  endDate=",CHAR(34),TEXT(G262+W262-1,"yyyy-mm-dd"),CHAR(34),"}"))),
" &gt;&lt;/add-to-calendar-button&gt;")</f>
        <v>&lt;add-to-calendar-button  name="Alabama State Christian Harmony Convention"   location="Old County Line Church, 9282 Miller Rd, Warrior, AL 35180"   description="9:30am-2:30pm; shapenotesingings.com"   options="'Apple','Google','iCal','Outlook.com'"   styleLight="--btn-background: #550000; --btn-text: #fff; --btn-shadow:#fff;" dates='[{"startDate":"2025-09-27", "endDate":"2025-09-27", "startTime":"09:30", "endTime":"14:30", "timeZone":"America/Chicago"}, {"startDate":"2025-09-28", "endDate":"2025-09-28", "startTime":"09:30", "endTime":"14:30", "timeZone":"America/Chicago"}]' &gt;&lt;/add-to-calendar-button&gt;</v>
      </c>
      <c r="AE262" s="24">
        <v>0.39583333333333331</v>
      </c>
      <c r="AF262" s="24">
        <v>0.60416666666666663</v>
      </c>
      <c r="AG262" s="25" t="s">
        <v>1533</v>
      </c>
    </row>
    <row r="263" spans="1:33" x14ac:dyDescent="0.3">
      <c r="A263" t="s">
        <v>8</v>
      </c>
      <c r="B263" t="s">
        <v>48</v>
      </c>
      <c r="C263" t="s">
        <v>1150</v>
      </c>
      <c r="D263" t="s">
        <v>1662</v>
      </c>
      <c r="E263" t="s">
        <v>2178</v>
      </c>
      <c r="F263" t="s">
        <v>662</v>
      </c>
      <c r="G263" s="7">
        <f ca="1">X263</f>
        <v>45927</v>
      </c>
      <c r="H263" s="5" t="s">
        <v>940</v>
      </c>
      <c r="I263" t="s">
        <v>1040</v>
      </c>
      <c r="J263" s="36" t="s">
        <v>2873</v>
      </c>
      <c r="L263" t="s">
        <v>2206</v>
      </c>
      <c r="M263" s="16" t="s">
        <v>1659</v>
      </c>
      <c r="N263" s="16" t="s">
        <v>1660</v>
      </c>
      <c r="O263" s="7">
        <v>45115</v>
      </c>
      <c r="P263" s="7" t="s">
        <v>1983</v>
      </c>
      <c r="Q263" s="18">
        <v>9</v>
      </c>
      <c r="R263" s="18">
        <v>4</v>
      </c>
      <c r="S263" s="18">
        <v>1</v>
      </c>
      <c r="T263" s="4">
        <f>DATE(AI$2,$Q263,1+(($R263-($S263&gt;=WEEKDAY(DATE(AI$2,$Q263,1))))*7)+($S263-WEEKDAY(DATE(AI$2,$Q263,1))))</f>
        <v>45928</v>
      </c>
      <c r="U263" s="4">
        <f>DATE(AJ$2,$Q263,1+(($R263-($S263&gt;=WEEKDAY(DATE(AJ$2,$Q263,1))))*7)+($S263-WEEKDAY(DATE(AJ$2,$Q263,1))))</f>
        <v>46292</v>
      </c>
      <c r="V263" s="20">
        <v>0</v>
      </c>
      <c r="W263" s="20">
        <v>2</v>
      </c>
      <c r="X263" s="4">
        <f ca="1">Y263-(W263-1)</f>
        <v>45927</v>
      </c>
      <c r="Y263" s="5">
        <f ca="1">IF(OR(T263+V263&lt;(NOW()-0.5),ISNUMBER(SEARCH("&lt;h4&gt;",K263))),U263+V263,T263+V263)</f>
        <v>45928</v>
      </c>
      <c r="Z263" t="str">
        <f ca="1">CONCATENATE(IF(OR(Y263=X263,ISBLANK(Y263)),TEXT(X263,"mmmm d"),CONCATENATE(TEXT(X263,"mmmm d"),"-",IF(TEXT(X263,"mmmm")=TEXT(Y263,"mmmm"),TEXT(Y263,"d"),TEXT(Y263,"mmmm d")))),", ",YEAR(Y263))</f>
        <v>September 27-28, 2025</v>
      </c>
      <c r="AA263" s="7">
        <f>O263</f>
        <v>45115</v>
      </c>
      <c r="AB263" s="14">
        <f>T263+V263-(W263-1)</f>
        <v>45927</v>
      </c>
      <c r="AC263" t="s">
        <v>1661</v>
      </c>
      <c r="AD263" s="23" t="str">
        <f ca="1">CONCATENATE("&lt;add-to-calendar-button  name=",CHAR(34),H263,CHAR(34),
IF(ISBLANK(M263),"",CONCATENATE("   location=",CHAR(34),RIGHT(M263,LEN(M263)-SEARCH("|",M263)-1),CHAR(34))),
"   description=",CHAR(34),IF(ISBLANK(I263),"",CONCATENATE(I263,"; ")),"shapenotesingings.com",CHAR(34),
"   options=",CHAR(34),"'Apple','Google','iCal','Outlook.com'",CHAR(34),"   styleLight=",CHAR(34),"--btn-background: #550000; --btn-text: #fff; --btn-shadow:#fff;",CHAR(34),
IF(W263=1,CONCATENATE(
"startDate=",CHAR(34),TEXT(G263,"yyyy-mm-dd"),CHAR(34),
"{endDate=",CHAR(34),TEXT(G263,"yyyy-mm-dd"),CHAR(34),
IF(OR(ISBLANK(AE263),ISBLANK(AF263)),"",(CONCATENATE(" startTime=",CHAR(34),TEXT(AE263,"hh:mm"),CHAR(34)," endTime=",CHAR(34),TEXT(AF263,"h:mm"),CHAR(34),
" timeZone=",CHAR(34),AG263,CHAR(34))))),
IF(W263=2,CONCATENATE(" dates='[{",
CHAR(34),"startDate",CHAR(34),":",CHAR(34),TEXT(G263,"yyyy-mm-dd"),CHAR(34),", ",
,CHAR(34),"endDate",CHAR(34),":",CHAR(34),TEXT(G263,"yyyy-mm-dd"),CHAR(34),
IF(OR(ISBLANK(AE263),ISBLANK(AF263)),"",(CONCATENATE(", ",CHAR(34),"startTime",CHAR(34),":",CHAR(34),TEXT(AE263,"hh:mm"),CHAR(34),", ",CHAR(34),"endTime",CHAR(34),":",CHAR(34),TEXT(AF263,"hh:mm"),CHAR(34),", ",CHAR(34),"timeZone",CHAR(34),":",CHAR(34),AG263,CHAR(34)))),"}, {",
,CHAR(34),"startDate",CHAR(34),":",CHAR(34),TEXT(G263+1,"yyyy-mm-dd"),CHAR(34),", ",
,CHAR(34),"endDate",CHAR(34),":",CHAR(34),TEXT(G263+W263-1,"yyyy-mm-dd"),CHAR(34),
IF(OR(ISBLANK(AE263),ISBLANK(AF263)),"",(CONCATENATE(", ",CHAR(34),"startTime",CHAR(34),":",CHAR(34),TEXT(AE263,"hh:mm"),CHAR(34),", ",CHAR(34),"endTime",CHAR(34),":",CHAR(34),TEXT(AF263,"hh:mm"),CHAR(34),", ",CHAR(34),"timeZone",CHAR(34),":",CHAR(34),AG263,CHAR(34)))),"}]'"),
CONCATENATE(
"{  startDate=",CHAR(34),TEXT(G263,"yyyy-mm-dd"),CHAR(34),
"  endDate=",CHAR(34),TEXT(G263+W263-1,"yyyy-mm-dd"),CHAR(34),"}"))),
" &gt;&lt;/add-to-calendar-button&gt;")</f>
        <v>&lt;add-to-calendar-button  name="Minnesota State Convention"   location="Saturday: Olivet Church, 1850 Iglehart Ave, St Paul, MN 55104&lt;/br&gt;Sunday at The Landing, 2187 Highway 101 E, in Shakopee, Minnesota 55379"   description="9:30am; shapenotesingings.com"   options="'Apple','Google','iCal','Outlook.com'"   styleLight="--btn-background: #550000; --btn-text: #fff; --btn-shadow:#fff;" dates='[{"startDate":"2025-09-27", "endDate":"2025-09-27", "startTime":"09:30", "endTime":"15:00", "timeZone":"America/Chicago"}, {"startDate":"2025-09-28", "endDate":"2025-09-28", "startTime":"09:30", "endTime":"15:00", "timeZone":"America/Chicago"}]' &gt;&lt;/add-to-calendar-button&gt;</v>
      </c>
      <c r="AE263" s="24">
        <v>0.39583333333333331</v>
      </c>
      <c r="AF263" s="24">
        <v>0.625</v>
      </c>
      <c r="AG263" s="25" t="s">
        <v>1533</v>
      </c>
    </row>
    <row r="264" spans="1:33" x14ac:dyDescent="0.3">
      <c r="A264" t="s">
        <v>8</v>
      </c>
      <c r="B264" t="s">
        <v>102</v>
      </c>
      <c r="C264" t="s">
        <v>1064</v>
      </c>
      <c r="D264" t="s">
        <v>269</v>
      </c>
      <c r="E264" t="s">
        <v>34</v>
      </c>
      <c r="F264" t="s">
        <v>841</v>
      </c>
      <c r="G264" s="7">
        <f ca="1">X264</f>
        <v>45927</v>
      </c>
      <c r="H264" s="5" t="s">
        <v>842</v>
      </c>
      <c r="L264" t="s">
        <v>953</v>
      </c>
      <c r="M264" s="16" t="s">
        <v>765</v>
      </c>
      <c r="N264" s="16" t="s">
        <v>764</v>
      </c>
      <c r="O264" s="7">
        <v>44927</v>
      </c>
      <c r="P264" s="7" t="s">
        <v>936</v>
      </c>
      <c r="Q264" s="18">
        <v>9</v>
      </c>
      <c r="R264" s="18">
        <v>4</v>
      </c>
      <c r="S264" s="18">
        <v>1</v>
      </c>
      <c r="T264" s="4">
        <f>DATE(AI$2,$Q264,1+(($R264-($S264&gt;=WEEKDAY(DATE(AI$2,$Q264,1))))*7)+($S264-WEEKDAY(DATE(AI$2,$Q264,1))))</f>
        <v>45928</v>
      </c>
      <c r="U264" s="4">
        <f>DATE(AJ$2,$Q264,1+(($R264-($S264&gt;=WEEKDAY(DATE(AJ$2,$Q264,1))))*7)+($S264-WEEKDAY(DATE(AJ$2,$Q264,1))))</f>
        <v>46292</v>
      </c>
      <c r="V264" s="20">
        <v>-1</v>
      </c>
      <c r="W264" s="20">
        <v>1</v>
      </c>
      <c r="X264" s="4">
        <f ca="1">Y264-(W264-1)</f>
        <v>45927</v>
      </c>
      <c r="Y264" s="5">
        <f ca="1">IF(OR(T264+V264&lt;(NOW()-0.5),ISNUMBER(SEARCH("&lt;h4&gt;",K264))),U264+V264,T264+V264)</f>
        <v>45927</v>
      </c>
      <c r="Z264" t="str">
        <f ca="1">CONCATENATE(IF(OR(Y264=X264,ISBLANK(Y264)),TEXT(X264,"mmmm d"),CONCATENATE(TEXT(X264,"mmmm d"),"-",IF(TEXT(X264,"mmmm")=TEXT(Y264,"mmmm"),TEXT(Y264,"d"),TEXT(Y264,"mmmm d")))),", ",YEAR(Y264))</f>
        <v>September 27, 2025</v>
      </c>
      <c r="AA264" s="7">
        <f>O264</f>
        <v>44927</v>
      </c>
      <c r="AB264" s="14">
        <f>T264+V264-(W264-1)</f>
        <v>45927</v>
      </c>
      <c r="AC264" t="s">
        <v>1364</v>
      </c>
      <c r="AD264" s="23" t="str">
        <f ca="1">CONCATENATE("&lt;add-to-calendar-button  name=",CHAR(34),H264,CHAR(34),
IF(ISBLANK(M264),"",CONCATENATE("   location=",CHAR(34),RIGHT(M264,LEN(M264)-SEARCH("|",M264)-1),CHAR(34))),
"   description=",CHAR(34),IF(ISBLANK(I264),"",CONCATENATE(I264,"; ")),"shapenotesingings.com",CHAR(34),
"   options=",CHAR(34),"'Apple','Google','iCal','Outlook.com'",CHAR(34),"   styleLight=",CHAR(34),"--btn-background: #550000; --btn-text: #fff; --btn-shadow:#fff;",CHAR(34),
IF(W264=1,CONCATENATE(
"startDate=",CHAR(34),TEXT(G264,"yyyy-mm-dd"),CHAR(34),
"{endDate=",CHAR(34),TEXT(G264,"yyyy-mm-dd"),CHAR(34),
IF(OR(ISBLANK(AE264),ISBLANK(AF264)),"",(CONCATENATE(" startTime=",CHAR(34),TEXT(AE264,"hh:mm"),CHAR(34)," endTime=",CHAR(34),TEXT(AF264,"h:mm"),CHAR(34),
" timeZone=",CHAR(34),AG264,CHAR(34))))),
IF(W264=2,CONCATENATE(" dates='[{",
CHAR(34),"startDate",CHAR(34),":",CHAR(34),TEXT(G264,"yyyy-mm-dd"),CHAR(34),", ",
,CHAR(34),"endDate",CHAR(34),":",CHAR(34),TEXT(G264,"yyyy-mm-dd"),CHAR(34),
IF(OR(ISBLANK(AE264),ISBLANK(AF264)),"",(CONCATENATE(", ",CHAR(34),"startTime",CHAR(34),":",CHAR(34),TEXT(AE264,"hh:mm"),CHAR(34),", ",CHAR(34),"endTime",CHAR(34),":",CHAR(34),TEXT(AF264,"hh:mm"),CHAR(34),", ",CHAR(34),"timeZone",CHAR(34),":",CHAR(34),AG264,CHAR(34)))),"}, {",
,CHAR(34),"startDate",CHAR(34),":",CHAR(34),TEXT(G264+1,"yyyy-mm-dd"),CHAR(34),", ",
,CHAR(34),"endDate",CHAR(34),":",CHAR(34),TEXT(G264+W264-1,"yyyy-mm-dd"),CHAR(34),
IF(OR(ISBLANK(AE264),ISBLANK(AF264)),"",(CONCATENATE(", ",CHAR(34),"startTime",CHAR(34),":",CHAR(34),TEXT(AE264,"hh:mm"),CHAR(34),", ",CHAR(34),"endTime",CHAR(34),":",CHAR(34),TEXT(AF264,"hh:mm"),CHAR(34),", ",CHAR(34),"timeZone",CHAR(34),":",CHAR(34),AG264,CHAR(34)))),"}]'"),
CONCATENATE(
"{  startDate=",CHAR(34),TEXT(G264,"yyyy-mm-dd"),CHAR(34),
"  endDate=",CHAR(34),TEXT(G264+W264-1,"yyyy-mm-dd"),CHAR(34),"}"))),
" &gt;&lt;/add-to-calendar-button&gt;")</f>
        <v>&lt;add-to-calendar-button  name="West Florida Convention"   location="Union Hill Church, 2759 Union Hill Church Rd, Bonifay, FL 32425"   description="shapenotesingings.com"   options="'Apple','Google','iCal','Outlook.com'"   styleLight="--btn-background: #550000; --btn-text: #fff; --btn-shadow:#fff;"startDate="2025-09-27"{endDate="2025-09-27" &gt;&lt;/add-to-calendar-button&gt;</v>
      </c>
      <c r="AG264" s="25" t="s">
        <v>1533</v>
      </c>
    </row>
    <row r="265" spans="1:33" x14ac:dyDescent="0.3">
      <c r="A265" t="s">
        <v>407</v>
      </c>
      <c r="B265" t="s">
        <v>408</v>
      </c>
      <c r="D265" t="s">
        <v>1903</v>
      </c>
      <c r="E265" t="s">
        <v>2178</v>
      </c>
      <c r="F265" t="s">
        <v>1904</v>
      </c>
      <c r="G265" s="7">
        <f ca="1">X265</f>
        <v>45927</v>
      </c>
      <c r="H265" s="5" t="s">
        <v>1905</v>
      </c>
      <c r="I265" t="s">
        <v>1071</v>
      </c>
      <c r="J265" s="36" t="s">
        <v>2874</v>
      </c>
      <c r="K265" t="s">
        <v>2241</v>
      </c>
      <c r="L265" t="s">
        <v>2001</v>
      </c>
      <c r="M265" s="16" t="s">
        <v>2287</v>
      </c>
      <c r="N265" s="16" t="s">
        <v>2237</v>
      </c>
      <c r="O265" s="7">
        <v>45531</v>
      </c>
      <c r="P265" s="7" t="s">
        <v>2238</v>
      </c>
      <c r="Q265" s="18">
        <v>10</v>
      </c>
      <c r="R265" s="18">
        <v>1</v>
      </c>
      <c r="S265" s="18">
        <v>1</v>
      </c>
      <c r="T265" s="4">
        <f>DATE(AI$2,$Q265,1+(($R265-($S265&gt;=WEEKDAY(DATE(AI$2,$Q265,1))))*7)+($S265-WEEKDAY(DATE(AI$2,$Q265,1))))</f>
        <v>45935</v>
      </c>
      <c r="U265" s="4">
        <f>DATE(AJ$2,$Q265,1+(($R265-($S265&gt;=WEEKDAY(DATE(AJ$2,$Q265,1))))*7)+($S265-WEEKDAY(DATE(AJ$2,$Q265,1))))</f>
        <v>46299</v>
      </c>
      <c r="V265" s="20">
        <v>-8</v>
      </c>
      <c r="W265" s="20">
        <v>1</v>
      </c>
      <c r="X265" s="4">
        <f ca="1">Y265-(W265-1)</f>
        <v>45927</v>
      </c>
      <c r="Y265" s="5">
        <f ca="1">IF(OR(T265+V265&lt;(NOW()-0.5),ISNUMBER(SEARCH("&lt;h4&gt;",K265))),U265+V265,T265+V265)</f>
        <v>45927</v>
      </c>
      <c r="Z265" t="str">
        <f ca="1">CONCATENATE(IF(OR(Y265=X265,ISBLANK(Y265)),TEXT(X265,"mmmm d"),CONCATENATE(TEXT(X265,"mmmm d"),"-",IF(TEXT(X265,"mmmm")=TEXT(Y265,"mmmm"),TEXT(Y265,"d"),TEXT(Y265,"mmmm d")))),", ",YEAR(Y265))</f>
        <v>September 27, 2025</v>
      </c>
      <c r="AA265" s="7">
        <f>O265</f>
        <v>45531</v>
      </c>
      <c r="AB265" s="14">
        <f>T265+V265-(W265-1)</f>
        <v>45927</v>
      </c>
      <c r="AC265" t="s">
        <v>2239</v>
      </c>
      <c r="AD265" s="23" t="str">
        <f ca="1">CONCATENATE("&lt;add-to-calendar-button  name=",CHAR(34),H265,CHAR(34),
IF(ISBLANK(M265),"",CONCATENATE("   location=",CHAR(34),RIGHT(M265,LEN(M265)-SEARCH("|",M265)-1),CHAR(34))),
"   description=",CHAR(34),IF(ISBLANK(I265),"",CONCATENATE(I265,"; ")),"shapenotesingings.com",CHAR(34),
"   options=",CHAR(34),"'Apple','Google','iCal','Outlook.com'",CHAR(34),"   styleLight=",CHAR(34),"--btn-background: #550000; --btn-text: #fff; --btn-shadow:#fff;",CHAR(34),
IF(W265=1,CONCATENATE(
"startDate=",CHAR(34),TEXT(G265,"yyyy-mm-dd"),CHAR(34),
"{endDate=",CHAR(34),TEXT(G265,"yyyy-mm-dd"),CHAR(34),
IF(OR(ISBLANK(AE265),ISBLANK(AF265)),"",(CONCATENATE(" startTime=",CHAR(34),TEXT(AE265,"hh:mm"),CHAR(34)," endTime=",CHAR(34),TEXT(AF265,"h:mm"),CHAR(34),
" timeZone=",CHAR(34),AG265,CHAR(34))))),
IF(W265=2,CONCATENATE(" dates='[{",
CHAR(34),"startDate",CHAR(34),":",CHAR(34),TEXT(G265,"yyyy-mm-dd"),CHAR(34),", ",
,CHAR(34),"endDate",CHAR(34),":",CHAR(34),TEXT(G265,"yyyy-mm-dd"),CHAR(34),
IF(OR(ISBLANK(AE265),ISBLANK(AF265)),"",(CONCATENATE(", ",CHAR(34),"startTime",CHAR(34),":",CHAR(34),TEXT(AE265,"hh:mm"),CHAR(34),", ",CHAR(34),"endTime",CHAR(34),":",CHAR(34),TEXT(AF265,"hh:mm"),CHAR(34),", ",CHAR(34),"timeZone",CHAR(34),":",CHAR(34),AG265,CHAR(34)))),"}, {",
,CHAR(34),"startDate",CHAR(34),":",CHAR(34),TEXT(G265+1,"yyyy-mm-dd"),CHAR(34),", ",
,CHAR(34),"endDate",CHAR(34),":",CHAR(34),TEXT(G265+W265-1,"yyyy-mm-dd"),CHAR(34),
IF(OR(ISBLANK(AE265),ISBLANK(AF265)),"",(CONCATENATE(", ",CHAR(34),"startTime",CHAR(34),":",CHAR(34),TEXT(AE265,"hh:mm"),CHAR(34),", ",CHAR(34),"endTime",CHAR(34),":",CHAR(34),TEXT(AF265,"hh:mm"),CHAR(34),", ",CHAR(34),"timeZone",CHAR(34),":",CHAR(34),AG265,CHAR(34)))),"}]'"),
CONCATENATE(
"{  startDate=",CHAR(34),TEXT(G265,"yyyy-mm-dd"),CHAR(34),
"  endDate=",CHAR(34),TEXT(G265+W265-1,"yyyy-mm-dd"),CHAR(34),"}"))),
" &gt;&lt;/add-to-calendar-button&gt;")</f>
        <v>&lt;add-to-calendar-button  name="Nuremberg All Day Singing"   location="Gustav-Adolf-Gedächtniskirche, 116 Allersberger Str Nürnberg, 90461, Germany "   description="10:30am-3:30pm; shapenotesingings.com"   options="'Apple','Google','iCal','Outlook.com'"   styleLight="--btn-background: #550000; --btn-text: #fff; --btn-shadow:#fff;"startDate="2025-09-27"{endDate="2025-09-27" startTime="10:30" endTime="15:30" timeZone="Europe/Berlin" &gt;&lt;/add-to-calendar-button&gt;</v>
      </c>
      <c r="AE265" s="24">
        <v>0.4375</v>
      </c>
      <c r="AF265" s="24">
        <v>0.64583333333333337</v>
      </c>
      <c r="AG265" s="25" t="s">
        <v>1540</v>
      </c>
    </row>
    <row r="266" spans="1:33" x14ac:dyDescent="0.3">
      <c r="A266" t="s">
        <v>8</v>
      </c>
      <c r="B266" t="s">
        <v>114</v>
      </c>
      <c r="C266" t="s">
        <v>1153</v>
      </c>
      <c r="D266" t="s">
        <v>115</v>
      </c>
      <c r="E266" t="s">
        <v>2183</v>
      </c>
      <c r="F266" t="s">
        <v>116</v>
      </c>
      <c r="G266" s="7">
        <f ca="1">X266</f>
        <v>45927</v>
      </c>
      <c r="H266" s="5" t="s">
        <v>117</v>
      </c>
      <c r="I266" t="s">
        <v>1039</v>
      </c>
      <c r="J266" s="36" t="s">
        <v>2622</v>
      </c>
      <c r="K266" t="s">
        <v>2315</v>
      </c>
      <c r="L266" t="s">
        <v>1831</v>
      </c>
      <c r="M266" s="16" t="s">
        <v>118</v>
      </c>
      <c r="N266" s="16" t="s">
        <v>139</v>
      </c>
      <c r="O266" s="7">
        <v>45561</v>
      </c>
      <c r="P266" s="7" t="s">
        <v>2298</v>
      </c>
      <c r="Q266" s="18">
        <v>10</v>
      </c>
      <c r="R266" s="18">
        <v>1</v>
      </c>
      <c r="S266" s="18">
        <v>7</v>
      </c>
      <c r="T266" s="4">
        <f>DATE(AI$2,$Q266,1+(($R266-($S266&gt;=WEEKDAY(DATE(AI$2,$Q266,1))))*7)+($S266-WEEKDAY(DATE(AI$2,$Q266,1))))</f>
        <v>45934</v>
      </c>
      <c r="U266" s="4">
        <f>DATE(AJ$2,$Q266,1+(($R266-($S266&gt;=WEEKDAY(DATE(AJ$2,$Q266,1))))*7)+($S266-WEEKDAY(DATE(AJ$2,$Q266,1))))</f>
        <v>46298</v>
      </c>
      <c r="V266" s="20">
        <v>-7</v>
      </c>
      <c r="W266" s="20">
        <v>1</v>
      </c>
      <c r="X266" s="4">
        <f ca="1">Y266-(W266-1)</f>
        <v>45927</v>
      </c>
      <c r="Y266" s="5">
        <f ca="1">IF(OR(T266+V266&lt;(NOW()-0.5),ISNUMBER(SEARCH("&lt;h4&gt;",K266))),U266+V266,T266+V266)</f>
        <v>45927</v>
      </c>
      <c r="Z266" t="str">
        <f ca="1">CONCATENATE(IF(OR(Y266=X266,ISBLANK(Y266)),TEXT(X266,"mmmm d"),CONCATENATE(TEXT(X266,"mmmm d"),"-",IF(TEXT(X266,"mmmm")=TEXT(Y266,"mmmm"),TEXT(Y266,"d"),TEXT(Y266,"mmmm d")))),", ",YEAR(Y266))</f>
        <v>September 27, 2025</v>
      </c>
      <c r="AA266" s="7">
        <f>O266</f>
        <v>45561</v>
      </c>
      <c r="AB266" s="14">
        <f>T266+V266-(W266-1)</f>
        <v>45927</v>
      </c>
      <c r="AC266" t="s">
        <v>1369</v>
      </c>
      <c r="AD266" s="23" t="str">
        <f ca="1">CONCATENATE("&lt;add-to-calendar-button  name=",CHAR(34),H266,CHAR(34),
IF(ISBLANK(M266),"",CONCATENATE("   location=",CHAR(34),RIGHT(M266,LEN(M266)-SEARCH("|",M266)-1),CHAR(34))),
"   description=",CHAR(34),IF(ISBLANK(I266),"",CONCATENATE(I266,"; ")),"shapenotesingings.com",CHAR(34),
"   options=",CHAR(34),"'Apple','Google','iCal','Outlook.com'",CHAR(34),"   styleLight=",CHAR(34),"--btn-background: #550000; --btn-text: #fff; --btn-shadow:#fff;",CHAR(34),
IF(W266=1,CONCATENATE(
"startDate=",CHAR(34),TEXT(G266,"yyyy-mm-dd"),CHAR(34),
"{endDate=",CHAR(34),TEXT(G266,"yyyy-mm-dd"),CHAR(34),
IF(OR(ISBLANK(AE266),ISBLANK(AF266)),"",(CONCATENATE(" startTime=",CHAR(34),TEXT(AE266,"hh:mm"),CHAR(34)," endTime=",CHAR(34),TEXT(AF266,"h:mm"),CHAR(34),
" timeZone=",CHAR(34),AG266,CHAR(34))))),
IF(W266=2,CONCATENATE(" dates='[{",
CHAR(34),"startDate",CHAR(34),":",CHAR(34),TEXT(G266,"yyyy-mm-dd"),CHAR(34),", ",
,CHAR(34),"endDate",CHAR(34),":",CHAR(34),TEXT(G266,"yyyy-mm-dd"),CHAR(34),
IF(OR(ISBLANK(AE266),ISBLANK(AF266)),"",(CONCATENATE(", ",CHAR(34),"startTime",CHAR(34),":",CHAR(34),TEXT(AE266,"hh:mm"),CHAR(34),", ",CHAR(34),"endTime",CHAR(34),":",CHAR(34),TEXT(AF266,"hh:mm"),CHAR(34),", ",CHAR(34),"timeZone",CHAR(34),":",CHAR(34),AG266,CHAR(34)))),"}, {",
,CHAR(34),"startDate",CHAR(34),":",CHAR(34),TEXT(G266+1,"yyyy-mm-dd"),CHAR(34),", ",
,CHAR(34),"endDate",CHAR(34),":",CHAR(34),TEXT(G266+W266-1,"yyyy-mm-dd"),CHAR(34),
IF(OR(ISBLANK(AE266),ISBLANK(AF266)),"",(CONCATENATE(", ",CHAR(34),"startTime",CHAR(34),":",CHAR(34),TEXT(AE266,"hh:mm"),CHAR(34),", ",CHAR(34),"endTime",CHAR(34),":",CHAR(34),TEXT(AF266,"hh:mm"),CHAR(34),", ",CHAR(34),"timeZone",CHAR(34),":",CHAR(34),AG266,CHAR(34)))),"}]'"),
CONCATENATE(
"{  startDate=",CHAR(34),TEXT(G266,"yyyy-mm-dd"),CHAR(34),
"  endDate=",CHAR(34),TEXT(G266+W266-1,"yyyy-mm-dd"),CHAR(34),"}"))),
" &gt;&lt;/add-to-calendar-button&gt;")</f>
        <v>&lt;add-to-calendar-button  name="Mountain Heritage Day Singing"   location="Western Carolina University, Cullowhee NC 28723"   description="10am-3:30pm; shapenotesingings.com"   options="'Apple','Google','iCal','Outlook.com'"   styleLight="--btn-background: #550000; --btn-text: #fff; --btn-shadow:#fff;"startDate="2025-09-27"{endDate="2025-09-27" &gt;&lt;/add-to-calendar-button&gt;</v>
      </c>
      <c r="AG266" s="25" t="s">
        <v>1532</v>
      </c>
    </row>
    <row r="267" spans="1:33" x14ac:dyDescent="0.3">
      <c r="A267" t="s">
        <v>8</v>
      </c>
      <c r="B267" t="s">
        <v>41</v>
      </c>
      <c r="C267" t="s">
        <v>1148</v>
      </c>
      <c r="D267" t="s">
        <v>700</v>
      </c>
      <c r="E267" t="s">
        <v>2191</v>
      </c>
      <c r="F267" t="s">
        <v>841</v>
      </c>
      <c r="G267" s="7">
        <f ca="1">X267</f>
        <v>45927</v>
      </c>
      <c r="H267" s="5" t="s">
        <v>703</v>
      </c>
      <c r="I267" t="s">
        <v>1719</v>
      </c>
      <c r="J267" s="36" t="s">
        <v>2875</v>
      </c>
      <c r="K267" t="s">
        <v>2215</v>
      </c>
      <c r="L267" t="s">
        <v>2216</v>
      </c>
      <c r="M267" s="16" t="s">
        <v>701</v>
      </c>
      <c r="N267" s="16" t="s">
        <v>702</v>
      </c>
      <c r="O267" s="7">
        <v>45511</v>
      </c>
      <c r="P267" s="7" t="s">
        <v>2217</v>
      </c>
      <c r="Q267" s="18">
        <v>9</v>
      </c>
      <c r="R267" s="18">
        <v>4</v>
      </c>
      <c r="S267" s="18">
        <v>1</v>
      </c>
      <c r="T267" s="4">
        <f>DATE(AI$2,$Q267,1+(($R267-($S267&gt;=WEEKDAY(DATE(AI$2,$Q267,1))))*7)+($S267-WEEKDAY(DATE(AI$2,$Q267,1))))</f>
        <v>45928</v>
      </c>
      <c r="U267" s="4">
        <f>DATE(AJ$2,$Q267,1+(($R267-($S267&gt;=WEEKDAY(DATE(AJ$2,$Q267,1))))*7)+($S267-WEEKDAY(DATE(AJ$2,$Q267,1))))</f>
        <v>46292</v>
      </c>
      <c r="V267" s="20">
        <v>-1</v>
      </c>
      <c r="W267" s="20">
        <v>1</v>
      </c>
      <c r="X267" s="4">
        <f ca="1">Y267-(W267-1)</f>
        <v>45927</v>
      </c>
      <c r="Y267" s="5">
        <f ca="1">IF(OR(T267+V267&lt;(NOW()-0.5),ISNUMBER(SEARCH("&lt;h4&gt;",K267))),U267+V267,T267+V267)</f>
        <v>45927</v>
      </c>
      <c r="Z267" t="str">
        <f ca="1">CONCATENATE(IF(OR(Y267=X267,ISBLANK(Y267)),TEXT(X267,"mmmm d"),CONCATENATE(TEXT(X267,"mmmm d"),"-",IF(TEXT(X267,"mmmm")=TEXT(Y267,"mmmm"),TEXT(Y267,"d"),TEXT(Y267,"mmmm d")))),", ",YEAR(Y267))</f>
        <v>September 27, 2025</v>
      </c>
      <c r="AA267" s="7">
        <f>O267</f>
        <v>45511</v>
      </c>
      <c r="AB267" s="14">
        <f>T267+V267-(W267-1)</f>
        <v>45927</v>
      </c>
      <c r="AC267" t="s">
        <v>1377</v>
      </c>
      <c r="AD267" s="23" t="str">
        <f ca="1">CONCATENATE("&lt;add-to-calendar-button  name=",CHAR(34),H267,CHAR(34),
IF(ISBLANK(M267),"",CONCATENATE("   location=",CHAR(34),RIGHT(M267,LEN(M267)-SEARCH("|",M267)-1),CHAR(34))),
"   description=",CHAR(34),IF(ISBLANK(I267),"",CONCATENATE(I267,"; ")),"shapenotesingings.com",CHAR(34),
"   options=",CHAR(34),"'Apple','Google','iCal','Outlook.com'",CHAR(34),"   styleLight=",CHAR(34),"--btn-background: #550000; --btn-text: #fff; --btn-shadow:#fff;",CHAR(34),
IF(W267=1,CONCATENATE(
"startDate=",CHAR(34),TEXT(G267,"yyyy-mm-dd"),CHAR(34),
"{endDate=",CHAR(34),TEXT(G267,"yyyy-mm-dd"),CHAR(34),
IF(OR(ISBLANK(AE267),ISBLANK(AF267)),"",(CONCATENATE(" startTime=",CHAR(34),TEXT(AE267,"hh:mm"),CHAR(34)," endTime=",CHAR(34),TEXT(AF267,"h:mm"),CHAR(34),
" timeZone=",CHAR(34),AG267,CHAR(34))))),
IF(W267=2,CONCATENATE(" dates='[{",
CHAR(34),"startDate",CHAR(34),":",CHAR(34),TEXT(G267,"yyyy-mm-dd"),CHAR(34),", ",
,CHAR(34),"endDate",CHAR(34),":",CHAR(34),TEXT(G267,"yyyy-mm-dd"),CHAR(34),
IF(OR(ISBLANK(AE267),ISBLANK(AF267)),"",(CONCATENATE(", ",CHAR(34),"startTime",CHAR(34),":",CHAR(34),TEXT(AE267,"hh:mm"),CHAR(34),", ",CHAR(34),"endTime",CHAR(34),":",CHAR(34),TEXT(AF267,"hh:mm"),CHAR(34),", ",CHAR(34),"timeZone",CHAR(34),":",CHAR(34),AG267,CHAR(34)))),"}, {",
,CHAR(34),"startDate",CHAR(34),":",CHAR(34),TEXT(G267+1,"yyyy-mm-dd"),CHAR(34),", ",
,CHAR(34),"endDate",CHAR(34),":",CHAR(34),TEXT(G267+W267-1,"yyyy-mm-dd"),CHAR(34),
IF(OR(ISBLANK(AE267),ISBLANK(AF267)),"",(CONCATENATE(", ",CHAR(34),"startTime",CHAR(34),":",CHAR(34),TEXT(AE267,"hh:mm"),CHAR(34),", ",CHAR(34),"endTime",CHAR(34),":",CHAR(34),TEXT(AF267,"hh:mm"),CHAR(34),", ",CHAR(34),"timeZone",CHAR(34),":",CHAR(34),AG267,CHAR(34)))),"}]'"),
CONCATENATE(
"{  startDate=",CHAR(34),TEXT(G267,"yyyy-mm-dd"),CHAR(34),
"  endDate=",CHAR(34),TEXT(G267+W267-1,"yyyy-mm-dd"),CHAR(34),"}"))),
" &gt;&lt;/add-to-calendar-button&gt;")</f>
        <v>&lt;add-to-calendar-button  name="Newton Singing"   location="Church of the Redeemer, 379 Hammond Street, Newton, Massachusetts 02467"   description="1pm-5pm; shapenotesingings.com"   options="'Apple','Google','iCal','Outlook.com'"   styleLight="--btn-background: #550000; --btn-text: #fff; --btn-shadow:#fff;"startDate="2025-09-27"{endDate="2025-09-27" startTime="13:00" endTime="17:00" timeZone="America/New_York" &gt;&lt;/add-to-calendar-button&gt;</v>
      </c>
      <c r="AE267" s="24">
        <v>0.54166666666666663</v>
      </c>
      <c r="AF267" s="24">
        <v>0.70833333333333337</v>
      </c>
      <c r="AG267" s="25" t="s">
        <v>1532</v>
      </c>
    </row>
    <row r="268" spans="1:33" x14ac:dyDescent="0.3">
      <c r="A268" t="s">
        <v>8</v>
      </c>
      <c r="B268" t="s">
        <v>17</v>
      </c>
      <c r="C268" t="s">
        <v>1140</v>
      </c>
      <c r="D268" t="s">
        <v>661</v>
      </c>
      <c r="E268" t="s">
        <v>2178</v>
      </c>
      <c r="F268" t="s">
        <v>663</v>
      </c>
      <c r="G268" s="7">
        <f ca="1">X268</f>
        <v>45928</v>
      </c>
      <c r="H268" s="5" t="s">
        <v>658</v>
      </c>
      <c r="I268" t="s">
        <v>1028</v>
      </c>
      <c r="J268" s="36" t="s">
        <v>2876</v>
      </c>
      <c r="K268" t="s">
        <v>1049</v>
      </c>
      <c r="L268" t="s">
        <v>1757</v>
      </c>
      <c r="M268" s="16" t="s">
        <v>659</v>
      </c>
      <c r="N268" s="16" t="s">
        <v>660</v>
      </c>
      <c r="O268" s="7">
        <v>44936</v>
      </c>
      <c r="P268" t="s">
        <v>926</v>
      </c>
      <c r="Q268" s="18">
        <v>9</v>
      </c>
      <c r="R268" s="18">
        <v>4</v>
      </c>
      <c r="S268" s="18">
        <v>1</v>
      </c>
      <c r="T268" s="4">
        <f>DATE(AI$2,$Q268,1+(($R268-($S268&gt;=WEEKDAY(DATE(AI$2,$Q268,1))))*7)+($S268-WEEKDAY(DATE(AI$2,$Q268,1))))</f>
        <v>45928</v>
      </c>
      <c r="U268" s="4">
        <f>DATE(AJ$2,$Q268,1+(($R268-($S268&gt;=WEEKDAY(DATE(AJ$2,$Q268,1))))*7)+($S268-WEEKDAY(DATE(AJ$2,$Q268,1))))</f>
        <v>46292</v>
      </c>
      <c r="V268" s="20">
        <v>0</v>
      </c>
      <c r="W268" s="20">
        <v>1</v>
      </c>
      <c r="X268" s="4">
        <f ca="1">Y268-(W268-1)</f>
        <v>45928</v>
      </c>
      <c r="Y268" s="5">
        <f ca="1">IF(OR(T268+V268&lt;(NOW()-0.5),ISNUMBER(SEARCH("&lt;h4&gt;",K268))),U268+V268,T268+V268)</f>
        <v>45928</v>
      </c>
      <c r="Z268" t="str">
        <f ca="1">CONCATENATE(IF(OR(Y268=X268,ISBLANK(Y268)),TEXT(X268,"mmmm d"),CONCATENATE(TEXT(X268,"mmmm d"),"-",IF(TEXT(X268,"mmmm")=TEXT(Y268,"mmmm"),TEXT(Y268,"d"),TEXT(Y268,"mmmm d")))),", ",YEAR(Y268))</f>
        <v>September 28, 2025</v>
      </c>
      <c r="AA268" s="7">
        <f>O268</f>
        <v>44936</v>
      </c>
      <c r="AB268" s="14">
        <f>T268+V268-(W268-1)</f>
        <v>45928</v>
      </c>
      <c r="AC268" t="s">
        <v>1367</v>
      </c>
      <c r="AD268" s="23" t="str">
        <f ca="1">CONCATENATE("&lt;add-to-calendar-button  name=",CHAR(34),H268,CHAR(34),
IF(ISBLANK(M268),"",CONCATENATE("   location=",CHAR(34),RIGHT(M268,LEN(M268)-SEARCH("|",M268)-1),CHAR(34))),
"   description=",CHAR(34),IF(ISBLANK(I268),"",CONCATENATE(I268,"; ")),"shapenotesingings.com",CHAR(34),
"   options=",CHAR(34),"'Apple','Google','iCal','Outlook.com'",CHAR(34),"   styleLight=",CHAR(34),"--btn-background: #550000; --btn-text: #fff; --btn-shadow:#fff;",CHAR(34),
IF(W268=1,CONCATENATE(
"startDate=",CHAR(34),TEXT(G268,"yyyy-mm-dd"),CHAR(34),
"{endDate=",CHAR(34),TEXT(G268,"yyyy-mm-dd"),CHAR(34),
IF(OR(ISBLANK(AE268),ISBLANK(AF268)),"",(CONCATENATE(" startTime=",CHAR(34),TEXT(AE268,"hh:mm"),CHAR(34)," endTime=",CHAR(34),TEXT(AF268,"h:mm"),CHAR(34),
" timeZone=",CHAR(34),AG268,CHAR(34))))),
IF(W268=2,CONCATENATE(" dates='[{",
CHAR(34),"startDate",CHAR(34),":",CHAR(34),TEXT(G268,"yyyy-mm-dd"),CHAR(34),", ",
,CHAR(34),"endDate",CHAR(34),":",CHAR(34),TEXT(G268,"yyyy-mm-dd"),CHAR(34),
IF(OR(ISBLANK(AE268),ISBLANK(AF268)),"",(CONCATENATE(", ",CHAR(34),"startTime",CHAR(34),":",CHAR(34),TEXT(AE268,"hh:mm"),CHAR(34),", ",CHAR(34),"endTime",CHAR(34),":",CHAR(34),TEXT(AF268,"hh:mm"),CHAR(34),", ",CHAR(34),"timeZone",CHAR(34),":",CHAR(34),AG268,CHAR(34)))),"}, {",
,CHAR(34),"startDate",CHAR(34),":",CHAR(34),TEXT(G268+1,"yyyy-mm-dd"),CHAR(34),", ",
,CHAR(34),"endDate",CHAR(34),":",CHAR(34),TEXT(G268+W268-1,"yyyy-mm-dd"),CHAR(34),
IF(OR(ISBLANK(AE268),ISBLANK(AF268)),"",(CONCATENATE(", ",CHAR(34),"startTime",CHAR(34),":",CHAR(34),TEXT(AE268,"hh:mm"),CHAR(34),", ",CHAR(34),"endTime",CHAR(34),":",CHAR(34),TEXT(AF268,"hh:mm"),CHAR(34),", ",CHAR(34),"timeZone",CHAR(34),":",CHAR(34),AG268,CHAR(34)))),"}]'"),
CONCATENATE(
"{  startDate=",CHAR(34),TEXT(G268,"yyyy-mm-dd"),CHAR(34),
"  endDate=",CHAR(34),TEXT(G268+W268-1,"yyyy-mm-dd"),CHAR(34),"}"))),
" &gt;&lt;/add-to-calendar-button&gt;")</f>
        <v>&lt;add-to-calendar-button  name="Poplar Springs Primitive Baptist Church Singing"   location="Poplar Springs Primitive Baptist Church, 6417 Smithfield Rd, Bowdon, GA 30108"   description="10am; shapenotesingings.com"   options="'Apple','Google','iCal','Outlook.com'"   styleLight="--btn-background: #550000; --btn-text: #fff; --btn-shadow:#fff;"startDate="2025-09-28"{endDate="2025-09-28" startTime="10:00" endTime="15:00" timeZone="America/New_York" &gt;&lt;/add-to-calendar-button&gt;</v>
      </c>
      <c r="AE268" s="24">
        <v>0.41666666666666669</v>
      </c>
      <c r="AF268" s="24">
        <v>0.625</v>
      </c>
      <c r="AG268" s="25" t="s">
        <v>1532</v>
      </c>
    </row>
    <row r="269" spans="1:33" x14ac:dyDescent="0.3">
      <c r="A269" t="s">
        <v>8</v>
      </c>
      <c r="B269" t="s">
        <v>11</v>
      </c>
      <c r="C269" t="s">
        <v>1134</v>
      </c>
      <c r="D269" t="s">
        <v>255</v>
      </c>
      <c r="E269" t="s">
        <v>2178</v>
      </c>
      <c r="F269" t="s">
        <v>663</v>
      </c>
      <c r="G269" s="7">
        <f ca="1">X269</f>
        <v>45928</v>
      </c>
      <c r="H269" s="5" t="s">
        <v>655</v>
      </c>
      <c r="I269" t="s">
        <v>1028</v>
      </c>
      <c r="J269" s="36" t="s">
        <v>2877</v>
      </c>
      <c r="L269" t="s">
        <v>2280</v>
      </c>
      <c r="M269" s="16" t="s">
        <v>656</v>
      </c>
      <c r="N269" s="16" t="s">
        <v>657</v>
      </c>
      <c r="O269" s="7">
        <v>44936</v>
      </c>
      <c r="P269" s="7" t="s">
        <v>926</v>
      </c>
      <c r="Q269" s="18">
        <v>9</v>
      </c>
      <c r="R269" s="18">
        <v>4</v>
      </c>
      <c r="S269" s="18">
        <v>1</v>
      </c>
      <c r="T269" s="4">
        <f>DATE(AI$2,$Q269,1+(($R269-($S269&gt;=WEEKDAY(DATE(AI$2,$Q269,1))))*7)+($S269-WEEKDAY(DATE(AI$2,$Q269,1))))</f>
        <v>45928</v>
      </c>
      <c r="U269" s="4">
        <f>DATE(AJ$2,$Q269,1+(($R269-($S269&gt;=WEEKDAY(DATE(AJ$2,$Q269,1))))*7)+($S269-WEEKDAY(DATE(AJ$2,$Q269,1))))</f>
        <v>46292</v>
      </c>
      <c r="V269" s="20">
        <v>0</v>
      </c>
      <c r="W269" s="20">
        <v>1</v>
      </c>
      <c r="X269" s="4">
        <f ca="1">Y269-(W269-1)</f>
        <v>45928</v>
      </c>
      <c r="Y269" s="5">
        <f ca="1">IF(OR(T269+V269&lt;(NOW()-0.5),ISNUMBER(SEARCH("&lt;h4&gt;",K269))),U269+V269,T269+V269)</f>
        <v>45928</v>
      </c>
      <c r="Z269" t="str">
        <f ca="1">CONCATENATE(IF(OR(Y269=X269,ISBLANK(Y269)),TEXT(X269,"mmmm d"),CONCATENATE(TEXT(X269,"mmmm d"),"-",IF(TEXT(X269,"mmmm")=TEXT(Y269,"mmmm"),TEXT(Y269,"d"),TEXT(Y269,"mmmm d")))),", ",YEAR(Y269))</f>
        <v>September 28, 2025</v>
      </c>
      <c r="AA269" s="7">
        <f>O269</f>
        <v>44936</v>
      </c>
      <c r="AB269" s="14">
        <f>T269+V269-(W269-1)</f>
        <v>45928</v>
      </c>
      <c r="AC269" t="s">
        <v>1366</v>
      </c>
      <c r="AD269" s="23" t="str">
        <f ca="1">CONCATENATE("&lt;add-to-calendar-button  name=",CHAR(34),H269,CHAR(34),
IF(ISBLANK(M269),"",CONCATENATE("   location=",CHAR(34),RIGHT(M269,LEN(M269)-SEARCH("|",M269)-1),CHAR(34))),
"   description=",CHAR(34),IF(ISBLANK(I269),"",CONCATENATE(I269,"; ")),"shapenotesingings.com",CHAR(34),
"   options=",CHAR(34),"'Apple','Google','iCal','Outlook.com'",CHAR(34),"   styleLight=",CHAR(34),"--btn-background: #550000; --btn-text: #fff; --btn-shadow:#fff;",CHAR(34),
IF(W269=1,CONCATENATE(
"startDate=",CHAR(34),TEXT(G269,"yyyy-mm-dd"),CHAR(34),
"{endDate=",CHAR(34),TEXT(G269,"yyyy-mm-dd"),CHAR(34),
IF(OR(ISBLANK(AE269),ISBLANK(AF269)),"",(CONCATENATE(" startTime=",CHAR(34),TEXT(AE269,"hh:mm"),CHAR(34)," endTime=",CHAR(34),TEXT(AF269,"h:mm"),CHAR(34),
" timeZone=",CHAR(34),AG269,CHAR(34))))),
IF(W269=2,CONCATENATE(" dates='[{",
CHAR(34),"startDate",CHAR(34),":",CHAR(34),TEXT(G269,"yyyy-mm-dd"),CHAR(34),", ",
,CHAR(34),"endDate",CHAR(34),":",CHAR(34),TEXT(G269,"yyyy-mm-dd"),CHAR(34),
IF(OR(ISBLANK(AE269),ISBLANK(AF269)),"",(CONCATENATE(", ",CHAR(34),"startTime",CHAR(34),":",CHAR(34),TEXT(AE269,"hh:mm"),CHAR(34),", ",CHAR(34),"endTime",CHAR(34),":",CHAR(34),TEXT(AF269,"hh:mm"),CHAR(34),", ",CHAR(34),"timeZone",CHAR(34),":",CHAR(34),AG269,CHAR(34)))),"}, {",
,CHAR(34),"startDate",CHAR(34),":",CHAR(34),TEXT(G269+1,"yyyy-mm-dd"),CHAR(34),", ",
,CHAR(34),"endDate",CHAR(34),":",CHAR(34),TEXT(G269+W269-1,"yyyy-mm-dd"),CHAR(34),
IF(OR(ISBLANK(AE269),ISBLANK(AF269)),"",(CONCATENATE(", ",CHAR(34),"startTime",CHAR(34),":",CHAR(34),TEXT(AE269,"hh:mm"),CHAR(34),", ",CHAR(34),"endTime",CHAR(34),":",CHAR(34),TEXT(AF269,"hh:mm"),CHAR(34),", ",CHAR(34),"timeZone",CHAR(34),":",CHAR(34),AG269,CHAR(34)))),"}]'"),
CONCATENATE(
"{  startDate=",CHAR(34),TEXT(G269,"yyyy-mm-dd"),CHAR(34),
"  endDate=",CHAR(34),TEXT(G269+W269-1,"yyyy-mm-dd"),CHAR(34),"}"))),
" &gt;&lt;/add-to-calendar-button&gt;")</f>
        <v>&lt;add-to-calendar-button  name="Winston County Convention"   location="Shady Grove Primitive Baptist Church, Double Springs AL - 34.18892986800541, -87.42600710374485"   description="10am; shapenotesingings.com"   options="'Apple','Google','iCal','Outlook.com'"   styleLight="--btn-background: #550000; --btn-text: #fff; --btn-shadow:#fff;"startDate="2025-09-28"{endDate="2025-09-28" &gt;&lt;/add-to-calendar-button&gt;</v>
      </c>
      <c r="AG269" s="25" t="s">
        <v>1533</v>
      </c>
    </row>
    <row r="270" spans="1:33" x14ac:dyDescent="0.3">
      <c r="A270" t="s">
        <v>8</v>
      </c>
      <c r="B270" t="s">
        <v>11</v>
      </c>
      <c r="C270" t="s">
        <v>1134</v>
      </c>
      <c r="D270" t="s">
        <v>361</v>
      </c>
      <c r="E270" t="s">
        <v>34</v>
      </c>
      <c r="F270" t="s">
        <v>664</v>
      </c>
      <c r="G270" s="7">
        <f ca="1">X270</f>
        <v>45934</v>
      </c>
      <c r="H270" s="5" t="s">
        <v>665</v>
      </c>
      <c r="I270" t="s">
        <v>1040</v>
      </c>
      <c r="L270" t="s">
        <v>2483</v>
      </c>
      <c r="M270" s="16" t="s">
        <v>1003</v>
      </c>
      <c r="N270" s="16" t="s">
        <v>363</v>
      </c>
      <c r="O270" s="7">
        <v>45177</v>
      </c>
      <c r="P270" s="7" t="s">
        <v>2002</v>
      </c>
      <c r="Q270" s="18">
        <v>10</v>
      </c>
      <c r="R270" s="18">
        <v>1</v>
      </c>
      <c r="S270" s="18">
        <v>1</v>
      </c>
      <c r="T270" s="4">
        <f>DATE(AI$2,$Q270,1+(($R270-($S270&gt;=WEEKDAY(DATE(AI$2,$Q270,1))))*7)+($S270-WEEKDAY(DATE(AI$2,$Q270,1))))</f>
        <v>45935</v>
      </c>
      <c r="U270" s="4">
        <f>DATE(AJ$2,$Q270,1+(($R270-($S270&gt;=WEEKDAY(DATE(AJ$2,$Q270,1))))*7)+($S270-WEEKDAY(DATE(AJ$2,$Q270,1))))</f>
        <v>46299</v>
      </c>
      <c r="V270" s="20">
        <v>-1</v>
      </c>
      <c r="W270" s="20">
        <v>1</v>
      </c>
      <c r="X270" s="4">
        <f ca="1">Y270-(W270-1)</f>
        <v>45934</v>
      </c>
      <c r="Y270" s="5">
        <f ca="1">IF(OR(T270+V270&lt;(NOW()-0.5),ISNUMBER(SEARCH("&lt;h4&gt;",K270))),U270+V270,T270+V270)</f>
        <v>45934</v>
      </c>
      <c r="Z270" t="str">
        <f ca="1">CONCATENATE(IF(OR(Y270=X270,ISBLANK(Y270)),TEXT(X270,"mmmm d"),CONCATENATE(TEXT(X270,"mmmm d"),"-",IF(TEXT(X270,"mmmm")=TEXT(Y270,"mmmm"),TEXT(Y270,"d"),TEXT(Y270,"mmmm d")))),", ",YEAR(Y270))</f>
        <v>October 4, 2025</v>
      </c>
      <c r="AA270" s="7">
        <f>O270</f>
        <v>45177</v>
      </c>
      <c r="AB270" s="14">
        <f>T270+V270-(W270-1)</f>
        <v>45934</v>
      </c>
      <c r="AC270" t="s">
        <v>1368</v>
      </c>
      <c r="AD270" s="23" t="str">
        <f ca="1">CONCATENATE("&lt;add-to-calendar-button  name=",CHAR(34),H270,CHAR(34),
IF(ISBLANK(M270),"",CONCATENATE("   location=",CHAR(34),RIGHT(M270,LEN(M270)-SEARCH("|",M270)-1),CHAR(34))),
"   description=",CHAR(34),IF(ISBLANK(I270),"",CONCATENATE(I270,"; ")),"shapenotesingings.com",CHAR(34),
"   options=",CHAR(34),"'Apple','Google','iCal','Outlook.com'",CHAR(34),"   styleLight=",CHAR(34),"--btn-background: #550000; --btn-text: #fff; --btn-shadow:#fff;",CHAR(34),
IF(W270=1,CONCATENATE(
"startDate=",CHAR(34),TEXT(G270,"yyyy-mm-dd"),CHAR(34),
"{endDate=",CHAR(34),TEXT(G270,"yyyy-mm-dd"),CHAR(34),
IF(OR(ISBLANK(AE270),ISBLANK(AF270)),"",(CONCATENATE(" startTime=",CHAR(34),TEXT(AE270,"hh:mm"),CHAR(34)," endTime=",CHAR(34),TEXT(AF270,"h:mm"),CHAR(34),
" timeZone=",CHAR(34),AG270,CHAR(34))))),
IF(W270=2,CONCATENATE(" dates='[{",
CHAR(34),"startDate",CHAR(34),":",CHAR(34),TEXT(G270,"yyyy-mm-dd"),CHAR(34),", ",
,CHAR(34),"endDate",CHAR(34),":",CHAR(34),TEXT(G270,"yyyy-mm-dd"),CHAR(34),
IF(OR(ISBLANK(AE270),ISBLANK(AF270)),"",(CONCATENATE(", ",CHAR(34),"startTime",CHAR(34),":",CHAR(34),TEXT(AE270,"hh:mm"),CHAR(34),", ",CHAR(34),"endTime",CHAR(34),":",CHAR(34),TEXT(AF270,"hh:mm"),CHAR(34),", ",CHAR(34),"timeZone",CHAR(34),":",CHAR(34),AG270,CHAR(34)))),"}, {",
,CHAR(34),"startDate",CHAR(34),":",CHAR(34),TEXT(G270+1,"yyyy-mm-dd"),CHAR(34),", ",
,CHAR(34),"endDate",CHAR(34),":",CHAR(34),TEXT(G270+W270-1,"yyyy-mm-dd"),CHAR(34),
IF(OR(ISBLANK(AE270),ISBLANK(AF270)),"",(CONCATENATE(", ",CHAR(34),"startTime",CHAR(34),":",CHAR(34),TEXT(AE270,"hh:mm"),CHAR(34),", ",CHAR(34),"endTime",CHAR(34),":",CHAR(34),TEXT(AF270,"hh:mm"),CHAR(34),", ",CHAR(34),"timeZone",CHAR(34),":",CHAR(34),AG270,CHAR(34)))),"}]'"),
CONCATENATE(
"{  startDate=",CHAR(34),TEXT(G270,"yyyy-mm-dd"),CHAR(34),
"  endDate=",CHAR(34),TEXT(G270+W270-1,"yyyy-mm-dd"),CHAR(34),"}"))),
" &gt;&lt;/add-to-calendar-button&gt;")</f>
        <v>&lt;add-to-calendar-button  name="Shady Grove Cooper Book Singing"   location="Shady Grove Baptist Church, 62-598 Co Rd 408, Dutton, AL 35744"   description="9:30am; shapenotesingings.com"   options="'Apple','Google','iCal','Outlook.com'"   styleLight="--btn-background: #550000; --btn-text: #fff; --btn-shadow:#fff;"startDate="2025-10-04"{endDate="2025-10-04" startTime="09:30" endTime="15:00" timeZone="America/Chicago" &gt;&lt;/add-to-calendar-button&gt;</v>
      </c>
      <c r="AE270" s="24">
        <v>0.39583333333333331</v>
      </c>
      <c r="AF270" s="24">
        <v>0.625</v>
      </c>
      <c r="AG270" s="25" t="s">
        <v>1533</v>
      </c>
    </row>
    <row r="271" spans="1:33" x14ac:dyDescent="0.3">
      <c r="A271" t="s">
        <v>8</v>
      </c>
      <c r="B271" t="s">
        <v>17</v>
      </c>
      <c r="C271" t="s">
        <v>1140</v>
      </c>
      <c r="D271" t="s">
        <v>25</v>
      </c>
      <c r="E271" t="s">
        <v>2178</v>
      </c>
      <c r="F271" t="s">
        <v>664</v>
      </c>
      <c r="G271" s="7">
        <f ca="1">X271</f>
        <v>45934</v>
      </c>
      <c r="H271" s="5" t="s">
        <v>667</v>
      </c>
      <c r="J271" s="36" t="s">
        <v>2974</v>
      </c>
      <c r="L271" t="s">
        <v>1718</v>
      </c>
      <c r="M271" s="16" t="s">
        <v>1010</v>
      </c>
      <c r="N271" s="16" t="s">
        <v>122</v>
      </c>
      <c r="O271" s="7">
        <v>45168</v>
      </c>
      <c r="P271" s="7" t="s">
        <v>1703</v>
      </c>
      <c r="Q271" s="18">
        <v>10</v>
      </c>
      <c r="R271" s="18">
        <v>1</v>
      </c>
      <c r="S271" s="18">
        <v>1</v>
      </c>
      <c r="T271" s="4">
        <f>DATE(AI$2,$Q271,1+(($R271-($S271&gt;=WEEKDAY(DATE(AI$2,$Q271,1))))*7)+($S271-WEEKDAY(DATE(AI$2,$Q271,1))))</f>
        <v>45935</v>
      </c>
      <c r="U271" s="4">
        <f>DATE(AJ$2,$Q271,1+(($R271-($S271&gt;=WEEKDAY(DATE(AJ$2,$Q271,1))))*7)+($S271-WEEKDAY(DATE(AJ$2,$Q271,1))))</f>
        <v>46299</v>
      </c>
      <c r="V271" s="20">
        <v>-1</v>
      </c>
      <c r="W271" s="20">
        <v>1</v>
      </c>
      <c r="X271" s="4">
        <f ca="1">Y271-(W271-1)</f>
        <v>45934</v>
      </c>
      <c r="Y271" s="5">
        <f ca="1">IF(OR(T271+V271&lt;(NOW()-0.5),ISNUMBER(SEARCH("&lt;h4&gt;",K271))),U271+V271,T271+V271)</f>
        <v>45934</v>
      </c>
      <c r="Z271" t="str">
        <f ca="1">CONCATENATE(IF(OR(Y271=X271,ISBLANK(Y271)),TEXT(X271,"mmmm d"),CONCATENATE(TEXT(X271,"mmmm d"),"-",IF(TEXT(X271,"mmmm")=TEXT(Y271,"mmmm"),TEXT(Y271,"d"),TEXT(Y271,"mmmm d")))),", ",YEAR(Y271))</f>
        <v>October 4, 2025</v>
      </c>
      <c r="AA271" s="7">
        <f>O271</f>
        <v>45168</v>
      </c>
      <c r="AB271" s="14">
        <f>T271+V271-(W271-1)</f>
        <v>45934</v>
      </c>
      <c r="AC271" t="s">
        <v>1705</v>
      </c>
      <c r="AD271" s="23" t="str">
        <f ca="1">CONCATENATE("&lt;add-to-calendar-button  name=",CHAR(34),H271,CHAR(34),
IF(ISBLANK(M271),"",CONCATENATE("   location=",CHAR(34),RIGHT(M271,LEN(M271)-SEARCH("|",M271)-1),CHAR(34))),
"   description=",CHAR(34),IF(ISBLANK(I271),"",CONCATENATE(I271,"; ")),"shapenotesingings.com",CHAR(34),
"   options=",CHAR(34),"'Apple','Google','iCal','Outlook.com'",CHAR(34),"   styleLight=",CHAR(34),"--btn-background: #550000; --btn-text: #fff; --btn-shadow:#fff;",CHAR(34),
IF(W271=1,CONCATENATE(
"startDate=",CHAR(34),TEXT(G271,"yyyy-mm-dd"),CHAR(34),
"{endDate=",CHAR(34),TEXT(G271,"yyyy-mm-dd"),CHAR(34),
IF(OR(ISBLANK(AE271),ISBLANK(AF271)),"",(CONCATENATE(" startTime=",CHAR(34),TEXT(AE271,"hh:mm"),CHAR(34)," endTime=",CHAR(34),TEXT(AF271,"h:mm"),CHAR(34),
" timeZone=",CHAR(34),AG271,CHAR(34))))),
IF(W271=2,CONCATENATE(" dates='[{",
CHAR(34),"startDate",CHAR(34),":",CHAR(34),TEXT(G271,"yyyy-mm-dd"),CHAR(34),", ",
,CHAR(34),"endDate",CHAR(34),":",CHAR(34),TEXT(G271,"yyyy-mm-dd"),CHAR(34),
IF(OR(ISBLANK(AE271),ISBLANK(AF271)),"",(CONCATENATE(", ",CHAR(34),"startTime",CHAR(34),":",CHAR(34),TEXT(AE271,"hh:mm"),CHAR(34),", ",CHAR(34),"endTime",CHAR(34),":",CHAR(34),TEXT(AF271,"hh:mm"),CHAR(34),", ",CHAR(34),"timeZone",CHAR(34),":",CHAR(34),AG271,CHAR(34)))),"}, {",
,CHAR(34),"startDate",CHAR(34),":",CHAR(34),TEXT(G271+1,"yyyy-mm-dd"),CHAR(34),", ",
,CHAR(34),"endDate",CHAR(34),":",CHAR(34),TEXT(G271+W271-1,"yyyy-mm-dd"),CHAR(34),
IF(OR(ISBLANK(AE271),ISBLANK(AF271)),"",(CONCATENATE(", ",CHAR(34),"startTime",CHAR(34),":",CHAR(34),TEXT(AE271,"hh:mm"),CHAR(34),", ",CHAR(34),"endTime",CHAR(34),":",CHAR(34),TEXT(AF271,"hh:mm"),CHAR(34),", ",CHAR(34),"timeZone",CHAR(34),":",CHAR(34),AG271,CHAR(34)))),"}]'"),
CONCATENATE(
"{  startDate=",CHAR(34),TEXT(G271,"yyyy-mm-dd"),CHAR(34),
"  endDate=",CHAR(34),TEXT(G271+W271-1,"yyyy-mm-dd"),CHAR(34),"}"))),
" &gt;&lt;/add-to-calendar-button&gt;")</f>
        <v>&lt;add-to-calendar-button  name="South Georgia Sacred Harp Singing Convention"   location="Roberta Civic Center, 93 S Mathews St, Roberta, GA 31078"   description="shapenotesingings.com"   options="'Apple','Google','iCal','Outlook.com'"   styleLight="--btn-background: #550000; --btn-text: #fff; --btn-shadow:#fff;"startDate="2025-10-04"{endDate="2025-10-04" startTime="10:00" endTime="15:00" timeZone="America/New_York" &gt;&lt;/add-to-calendar-button&gt;</v>
      </c>
      <c r="AE271" s="24">
        <v>0.41666666666666669</v>
      </c>
      <c r="AF271" s="24">
        <v>0.625</v>
      </c>
      <c r="AG271" s="25" t="s">
        <v>1532</v>
      </c>
    </row>
    <row r="272" spans="1:33" x14ac:dyDescent="0.3">
      <c r="A272" t="s">
        <v>8</v>
      </c>
      <c r="B272" t="s">
        <v>2822</v>
      </c>
      <c r="C272" t="s">
        <v>2823</v>
      </c>
      <c r="D272" t="s">
        <v>2826</v>
      </c>
      <c r="E272" t="s">
        <v>50</v>
      </c>
      <c r="F272" t="s">
        <v>1701</v>
      </c>
      <c r="G272" s="7">
        <f ca="1">X272</f>
        <v>45934</v>
      </c>
      <c r="H272" s="5" t="s">
        <v>2824</v>
      </c>
      <c r="I272" t="s">
        <v>1101</v>
      </c>
      <c r="L272" t="s">
        <v>2830</v>
      </c>
      <c r="M272" s="16" t="s">
        <v>2827</v>
      </c>
      <c r="N272" s="16" t="s">
        <v>2828</v>
      </c>
      <c r="O272" s="7">
        <v>45725</v>
      </c>
      <c r="P272" s="7" t="s">
        <v>2825</v>
      </c>
      <c r="Q272" s="18">
        <v>10</v>
      </c>
      <c r="R272" s="18">
        <v>1</v>
      </c>
      <c r="S272" s="18">
        <v>1</v>
      </c>
      <c r="T272" s="4">
        <f>DATE(AI$2,$Q272,1+(($R272-($S272&gt;=WEEKDAY(DATE(AI$2,$Q272,1))))*7)+($S272-WEEKDAY(DATE(AI$2,$Q272,1))))</f>
        <v>45935</v>
      </c>
      <c r="U272" s="4">
        <f>DATE(AJ$2,$Q272,1+(($R272-($S272&gt;=WEEKDAY(DATE(AJ$2,$Q272,1))))*7)+($S272-WEEKDAY(DATE(AJ$2,$Q272,1))))</f>
        <v>46299</v>
      </c>
      <c r="V272" s="20">
        <v>-1</v>
      </c>
      <c r="W272" s="20">
        <v>1</v>
      </c>
      <c r="X272" s="4">
        <f ca="1">Y272-(W272-1)</f>
        <v>45934</v>
      </c>
      <c r="Y272" s="5">
        <f ca="1">IF(OR(T272+V272&lt;(NOW()-0.5),ISNUMBER(SEARCH("&lt;h4&gt;",K272))),U272+V272,T272+V272)</f>
        <v>45934</v>
      </c>
      <c r="Z272" t="str">
        <f ca="1">CONCATENATE(IF(OR(Y272=X272,ISBLANK(Y272)),TEXT(X272,"mmmm d"),CONCATENATE(TEXT(X272,"mmmm d"),"-",IF(TEXT(X272,"mmmm")=TEXT(Y272,"mmmm"),TEXT(Y272,"d"),TEXT(Y272,"mmmm d")))),", ",YEAR(Y272))</f>
        <v>October 4, 2025</v>
      </c>
      <c r="AA272" s="7">
        <f>O272</f>
        <v>45725</v>
      </c>
      <c r="AB272" s="14">
        <f>T272+V272-(W272-1)</f>
        <v>45934</v>
      </c>
      <c r="AC272" t="s">
        <v>2829</v>
      </c>
      <c r="AD272" s="23" t="str">
        <f ca="1">CONCATENATE("&lt;add-to-calendar-button  name=",CHAR(34),H272,CHAR(34),
IF(ISBLANK(M272),"",CONCATENATE("   location=",CHAR(34),RIGHT(M272,LEN(M272)-SEARCH("|",M272)-1),CHAR(34))),
"   description=",CHAR(34),IF(ISBLANK(I272),"",CONCATENATE(I272,"; ")),"shapenotesingings.com",CHAR(34),
"   options=",CHAR(34),"'Apple','Google','iCal','Outlook.com'",CHAR(34),"   styleLight=",CHAR(34),"--btn-background: #550000; --btn-text: #fff; --btn-shadow:#fff;",CHAR(34),
IF(W272=1,CONCATENATE(
"startDate=",CHAR(34),TEXT(G272,"yyyy-mm-dd"),CHAR(34),
"{endDate=",CHAR(34),TEXT(G272,"yyyy-mm-dd"),CHAR(34),
IF(OR(ISBLANK(AE272),ISBLANK(AF272)),"",(CONCATENATE(" startTime=",CHAR(34),TEXT(AE272,"hh:mm"),CHAR(34)," endTime=",CHAR(34),TEXT(AF272,"h:mm"),CHAR(34),
" timeZone=",CHAR(34),AG272,CHAR(34))))),
IF(W272=2,CONCATENATE(" dates='[{",
CHAR(34),"startDate",CHAR(34),":",CHAR(34),TEXT(G272,"yyyy-mm-dd"),CHAR(34),", ",
,CHAR(34),"endDate",CHAR(34),":",CHAR(34),TEXT(G272,"yyyy-mm-dd"),CHAR(34),
IF(OR(ISBLANK(AE272),ISBLANK(AF272)),"",(CONCATENATE(", ",CHAR(34),"startTime",CHAR(34),":",CHAR(34),TEXT(AE272,"hh:mm"),CHAR(34),", ",CHAR(34),"endTime",CHAR(34),":",CHAR(34),TEXT(AF272,"hh:mm"),CHAR(34),", ",CHAR(34),"timeZone",CHAR(34),":",CHAR(34),AG272,CHAR(34)))),"}, {",
,CHAR(34),"startDate",CHAR(34),":",CHAR(34),TEXT(G272+1,"yyyy-mm-dd"),CHAR(34),", ",
,CHAR(34),"endDate",CHAR(34),":",CHAR(34),TEXT(G272+W272-1,"yyyy-mm-dd"),CHAR(34),
IF(OR(ISBLANK(AE272),ISBLANK(AF272)),"",(CONCATENATE(", ",CHAR(34),"startTime",CHAR(34),":",CHAR(34),TEXT(AE272,"hh:mm"),CHAR(34),", ",CHAR(34),"endTime",CHAR(34),":",CHAR(34),TEXT(AF272,"hh:mm"),CHAR(34),", ",CHAR(34),"timeZone",CHAR(34),":",CHAR(34),AG272,CHAR(34)))),"}]'"),
CONCATENATE(
"{  startDate=",CHAR(34),TEXT(G272,"yyyy-mm-dd"),CHAR(34),
"  endDate=",CHAR(34),TEXT(G272+W272-1,"yyyy-mm-dd"),CHAR(34),"}"))),
" &gt;&lt;/add-to-calendar-button&gt;")</f>
        <v>&lt;add-to-calendar-button  name="Baltimore-Washington Shenandoah Harmony All-Day Singing"   location="Annapolis Friends Meetinghouse, located at 351 Dubois Rd., Annapolis, MD 21401"   description="10am-4pm; shapenotesingings.com"   options="'Apple','Google','iCal','Outlook.com'"   styleLight="--btn-background: #550000; --btn-text: #fff; --btn-shadow:#fff;"startDate="2025-10-04"{endDate="2025-10-04" startTime="10:00" endTime="16:00" timeZone="America/New_York" &gt;&lt;/add-to-calendar-button&gt;</v>
      </c>
      <c r="AE272" s="24">
        <v>0.41666666666666669</v>
      </c>
      <c r="AF272" s="24">
        <v>0.66666666666666663</v>
      </c>
      <c r="AG272" s="25" t="s">
        <v>1532</v>
      </c>
    </row>
    <row r="273" spans="1:33" ht="13.2" customHeight="1" x14ac:dyDescent="0.3">
      <c r="A273" t="s">
        <v>8</v>
      </c>
      <c r="B273" t="s">
        <v>2808</v>
      </c>
      <c r="C273" t="s">
        <v>2809</v>
      </c>
      <c r="D273" t="s">
        <v>2810</v>
      </c>
      <c r="E273" t="s">
        <v>2178</v>
      </c>
      <c r="F273" t="s">
        <v>1701</v>
      </c>
      <c r="G273" s="7">
        <f ca="1">X273</f>
        <v>45934</v>
      </c>
      <c r="H273" s="5" t="s">
        <v>2811</v>
      </c>
      <c r="I273" t="s">
        <v>1605</v>
      </c>
      <c r="L273" t="s">
        <v>2913</v>
      </c>
      <c r="M273" s="16" t="s">
        <v>2812</v>
      </c>
      <c r="N273" s="16" t="s">
        <v>2813</v>
      </c>
      <c r="O273" s="7">
        <v>45712</v>
      </c>
      <c r="P273" s="7" t="s">
        <v>2343</v>
      </c>
      <c r="Q273" s="18">
        <v>10</v>
      </c>
      <c r="R273" s="18">
        <v>1</v>
      </c>
      <c r="S273" s="18">
        <v>1</v>
      </c>
      <c r="T273" s="4">
        <f>DATE(AI$2,$Q273,1+(($R273-($S273&gt;=WEEKDAY(DATE(AI$2,$Q273,1))))*7)+($S273-WEEKDAY(DATE(AI$2,$Q273,1))))</f>
        <v>45935</v>
      </c>
      <c r="U273" s="4">
        <f>DATE(AJ$2,$Q273,1+(($R273-($S273&gt;=WEEKDAY(DATE(AJ$2,$Q273,1))))*7)+($S273-WEEKDAY(DATE(AJ$2,$Q273,1))))</f>
        <v>46299</v>
      </c>
      <c r="V273" s="20">
        <v>0</v>
      </c>
      <c r="W273" s="20">
        <v>2</v>
      </c>
      <c r="X273" s="4">
        <f ca="1">Y273-(W273-1)</f>
        <v>45934</v>
      </c>
      <c r="Y273" s="5">
        <f ca="1">IF(OR(T273+V273&lt;(NOW()-0.5),ISNUMBER(SEARCH("&lt;h4&gt;",K273))),U273+V273,T273+V273)</f>
        <v>45935</v>
      </c>
      <c r="Z273" t="str">
        <f ca="1">CONCATENATE(IF(OR(Y273=X273,ISBLANK(Y273)),TEXT(X273,"mmmm d"),CONCATENATE(TEXT(X273,"mmmm d"),"-",IF(TEXT(X273,"mmmm")=TEXT(Y273,"mmmm"),TEXT(Y273,"d"),TEXT(Y273,"mmmm d")))),", ",YEAR(Y273))</f>
        <v>October 4-5, 2025</v>
      </c>
      <c r="AA273" s="7">
        <f>O273</f>
        <v>45712</v>
      </c>
      <c r="AB273" s="14">
        <f>T273+V273-(W273-1)</f>
        <v>45934</v>
      </c>
      <c r="AC273" t="s">
        <v>2814</v>
      </c>
      <c r="AD273" s="23" t="str">
        <f ca="1">CONCATENATE("&lt;add-to-calendar-button  name=",CHAR(34),H273,CHAR(34),
IF(ISBLANK(M273),"",CONCATENATE("   location=",CHAR(34),RIGHT(M273,LEN(M273)-SEARCH("|",M273)-1),CHAR(34))),
"   description=",CHAR(34),IF(ISBLANK(I273),"",CONCATENATE(I273,"; ")),"shapenotesingings.com",CHAR(34),
"   options=",CHAR(34),"'Apple','Google','iCal','Outlook.com'",CHAR(34),"   styleLight=",CHAR(34),"--btn-background: #550000; --btn-text: #fff; --btn-shadow:#fff;",CHAR(34),
IF(W273=1,CONCATENATE(
"startDate=",CHAR(34),TEXT(G273,"yyyy-mm-dd"),CHAR(34),
"{endDate=",CHAR(34),TEXT(G273,"yyyy-mm-dd"),CHAR(34),
IF(OR(ISBLANK(AE273),ISBLANK(AF273)),"",(CONCATENATE(" startTime=",CHAR(34),TEXT(AE273,"hh:mm"),CHAR(34)," endTime=",CHAR(34),TEXT(AF273,"h:mm"),CHAR(34),
" timeZone=",CHAR(34),AG273,CHAR(34))))),
IF(W273=2,CONCATENATE(" dates='[{",
CHAR(34),"startDate",CHAR(34),":",CHAR(34),TEXT(G273,"yyyy-mm-dd"),CHAR(34),", ",
,CHAR(34),"endDate",CHAR(34),":",CHAR(34),TEXT(G273,"yyyy-mm-dd"),CHAR(34),
IF(OR(ISBLANK(AE273),ISBLANK(AF273)),"",(CONCATENATE(", ",CHAR(34),"startTime",CHAR(34),":",CHAR(34),TEXT(AE273,"hh:mm"),CHAR(34),", ",CHAR(34),"endTime",CHAR(34),":",CHAR(34),TEXT(AF273,"hh:mm"),CHAR(34),", ",CHAR(34),"timeZone",CHAR(34),":",CHAR(34),AG273,CHAR(34)))),"}, {",
,CHAR(34),"startDate",CHAR(34),":",CHAR(34),TEXT(G273+1,"yyyy-mm-dd"),CHAR(34),", ",
,CHAR(34),"endDate",CHAR(34),":",CHAR(34),TEXT(G273+W273-1,"yyyy-mm-dd"),CHAR(34),
IF(OR(ISBLANK(AE273),ISBLANK(AF273)),"",(CONCATENATE(", ",CHAR(34),"startTime",CHAR(34),":",CHAR(34),TEXT(AE273,"hh:mm"),CHAR(34),", ",CHAR(34),"endTime",CHAR(34),":",CHAR(34),TEXT(AF273,"hh:mm"),CHAR(34),", ",CHAR(34),"timeZone",CHAR(34),":",CHAR(34),AG273,CHAR(34)))),"}]'"),
CONCATENATE(
"{  startDate=",CHAR(34),TEXT(G273,"yyyy-mm-dd"),CHAR(34),
"  endDate=",CHAR(34),TEXT(G273+W273-1,"yyyy-mm-dd"),CHAR(34),"}"))),
" &gt;&lt;/add-to-calendar-button&gt;")</f>
        <v>&lt;add-to-calendar-button  name="New Mexico Sacred Harp Convention"   location="Montezume Lodge, 431 Paseo de Peralta Santa Fe, New Mexico 87501"   description="9:30am-3:00pm; shapenotesingings.com"   options="'Apple','Google','iCal','Outlook.com'"   styleLight="--btn-background: #550000; --btn-text: #fff; --btn-shadow:#fff;" dates='[{"startDate":"2025-10-04", "endDate":"2025-10-04", "startTime":"09:30", "endTime":"15:00", "timeZone":"America/Denver"}, {"startDate":"2025-10-05", "endDate":"2025-10-05", "startTime":"09:30", "endTime":"15:00", "timeZone":"America/Denver"}]' &gt;&lt;/add-to-calendar-button&gt;</v>
      </c>
      <c r="AE273" s="24">
        <v>0.39583333333333331</v>
      </c>
      <c r="AF273" s="24">
        <v>0.625</v>
      </c>
      <c r="AG273" s="25" t="s">
        <v>1537</v>
      </c>
    </row>
    <row r="274" spans="1:33" x14ac:dyDescent="0.3">
      <c r="A274" t="s">
        <v>8</v>
      </c>
      <c r="B274" t="s">
        <v>264</v>
      </c>
      <c r="C274" t="s">
        <v>1164</v>
      </c>
      <c r="D274" t="s">
        <v>2794</v>
      </c>
      <c r="E274" t="s">
        <v>2178</v>
      </c>
      <c r="F274" t="s">
        <v>1701</v>
      </c>
      <c r="G274" s="7">
        <f ca="1">X274</f>
        <v>45934</v>
      </c>
      <c r="H274" s="5" t="s">
        <v>1693</v>
      </c>
      <c r="I274" t="s">
        <v>1045</v>
      </c>
      <c r="J274" s="36" t="s">
        <v>2975</v>
      </c>
      <c r="L274" t="s">
        <v>2793</v>
      </c>
      <c r="M274" s="16" t="s">
        <v>2805</v>
      </c>
      <c r="N274" s="16" t="s">
        <v>2806</v>
      </c>
      <c r="O274" s="7">
        <v>45708</v>
      </c>
      <c r="P274" s="7" t="s">
        <v>2795</v>
      </c>
      <c r="Q274" s="18">
        <v>10</v>
      </c>
      <c r="R274" s="18">
        <v>1</v>
      </c>
      <c r="S274" s="18">
        <v>1</v>
      </c>
      <c r="T274" s="4">
        <f>DATE(AI$2,$Q274,1+(($R274-($S274&gt;=WEEKDAY(DATE(AI$2,$Q274,1))))*7)+($S274-WEEKDAY(DATE(AI$2,$Q274,1))))</f>
        <v>45935</v>
      </c>
      <c r="U274" s="4">
        <f>DATE(AJ$2,$Q274,1+(($R274-($S274&gt;=WEEKDAY(DATE(AJ$2,$Q274,1))))*7)+($S274-WEEKDAY(DATE(AJ$2,$Q274,1))))</f>
        <v>46299</v>
      </c>
      <c r="V274" s="20">
        <v>0</v>
      </c>
      <c r="W274" s="20">
        <v>2</v>
      </c>
      <c r="X274" s="4">
        <f ca="1">Y274-(W274-1)</f>
        <v>45934</v>
      </c>
      <c r="Y274" s="5">
        <f ca="1">IF(OR(T274+V274&lt;(NOW()-0.5),ISNUMBER(SEARCH("&lt;h4&gt;",K274))),U274+V274,T274+V274)</f>
        <v>45935</v>
      </c>
      <c r="Z274" t="str">
        <f ca="1">CONCATENATE(IF(OR(Y274=X274,ISBLANK(Y274)),TEXT(X274,"mmmm d"),CONCATENATE(TEXT(X274,"mmmm d"),"-",IF(TEXT(X274,"mmmm")=TEXT(Y274,"mmmm"),TEXT(Y274,"d"),TEXT(Y274,"mmmm d")))),", ",YEAR(Y274))</f>
        <v>October 4-5, 2025</v>
      </c>
      <c r="AA274" s="7">
        <f>O274</f>
        <v>45708</v>
      </c>
      <c r="AB274" s="14">
        <f>T274+V274-(W274-1)</f>
        <v>45934</v>
      </c>
      <c r="AC274" t="s">
        <v>2807</v>
      </c>
      <c r="AD274" s="23" t="str">
        <f ca="1">CONCATENATE("&lt;add-to-calendar-button  name=",CHAR(34),H274,CHAR(34),
IF(ISBLANK(M274),"",CONCATENATE("   location=",CHAR(34),RIGHT(M274,LEN(M274)-SEARCH("|",M274)-1),CHAR(34))),
"   description=",CHAR(34),IF(ISBLANK(I274),"",CONCATENATE(I274,"; ")),"shapenotesingings.com",CHAR(34),
"   options=",CHAR(34),"'Apple','Google','iCal','Outlook.com'",CHAR(34),"   styleLight=",CHAR(34),"--btn-background: #550000; --btn-text: #fff; --btn-shadow:#fff;",CHAR(34),
IF(W274=1,CONCATENATE(
"startDate=",CHAR(34),TEXT(G274,"yyyy-mm-dd"),CHAR(34),
"{endDate=",CHAR(34),TEXT(G274,"yyyy-mm-dd"),CHAR(34),
IF(OR(ISBLANK(AE274),ISBLANK(AF274)),"",(CONCATENATE(" startTime=",CHAR(34),TEXT(AE274,"hh:mm"),CHAR(34)," endTime=",CHAR(34),TEXT(AF274,"h:mm"),CHAR(34),
" timeZone=",CHAR(34),AG274,CHAR(34))))),
IF(W274=2,CONCATENATE(" dates='[{",
CHAR(34),"startDate",CHAR(34),":",CHAR(34),TEXT(G274,"yyyy-mm-dd"),CHAR(34),", ",
,CHAR(34),"endDate",CHAR(34),":",CHAR(34),TEXT(G274,"yyyy-mm-dd"),CHAR(34),
IF(OR(ISBLANK(AE274),ISBLANK(AF274)),"",(CONCATENATE(", ",CHAR(34),"startTime",CHAR(34),":",CHAR(34),TEXT(AE274,"hh:mm"),CHAR(34),", ",CHAR(34),"endTime",CHAR(34),":",CHAR(34),TEXT(AF274,"hh:mm"),CHAR(34),", ",CHAR(34),"timeZone",CHAR(34),":",CHAR(34),AG274,CHAR(34)))),"}, {",
,CHAR(34),"startDate",CHAR(34),":",CHAR(34),TEXT(G274+1,"yyyy-mm-dd"),CHAR(34),", ",
,CHAR(34),"endDate",CHAR(34),":",CHAR(34),TEXT(G274+W274-1,"yyyy-mm-dd"),CHAR(34),
IF(OR(ISBLANK(AE274),ISBLANK(AF274)),"",(CONCATENATE(", ",CHAR(34),"startTime",CHAR(34),":",CHAR(34),TEXT(AE274,"hh:mm"),CHAR(34),", ",CHAR(34),"endTime",CHAR(34),":",CHAR(34),TEXT(AF274,"hh:mm"),CHAR(34),", ",CHAR(34),"timeZone",CHAR(34),":",CHAR(34),AG274,CHAR(34)))),"}]'"),
CONCATENATE(
"{  startDate=",CHAR(34),TEXT(G274,"yyyy-mm-dd"),CHAR(34),
"  endDate=",CHAR(34),TEXT(G274+W274-1,"yyyy-mm-dd"),CHAR(34),"}"))),
" &gt;&lt;/add-to-calendar-button&gt;")</f>
        <v>&lt;add-to-calendar-button  name="New England Sacred Harp Convention"   location="Contois Auditorium in Burlington's City Hall, 149 Church St, Burlington, VT 05401, United States"   description="9:30am-3:30pm; shapenotesingings.com"   options="'Apple','Google','iCal','Outlook.com'"   styleLight="--btn-background: #550000; --btn-text: #fff; --btn-shadow:#fff;" dates='[{"startDate":"2025-10-04", "endDate":"2025-10-04", "startTime":"09:30", "endTime":"15:30", "timeZone":"America/New_York"}, {"startDate":"2025-10-05", "endDate":"2025-10-05", "startTime":"09:30", "endTime":"15:30", "timeZone":"America/New_York"}]' &gt;&lt;/add-to-calendar-button&gt;</v>
      </c>
      <c r="AE274" s="24">
        <v>0.39583333333333331</v>
      </c>
      <c r="AF274" s="24">
        <v>0.64583333333333337</v>
      </c>
      <c r="AG274" s="25" t="s">
        <v>1532</v>
      </c>
    </row>
    <row r="275" spans="1:33" x14ac:dyDescent="0.3">
      <c r="A275" t="s">
        <v>407</v>
      </c>
      <c r="B275" t="s">
        <v>408</v>
      </c>
      <c r="D275" t="s">
        <v>1441</v>
      </c>
      <c r="E275" t="s">
        <v>2178</v>
      </c>
      <c r="F275" t="s">
        <v>664</v>
      </c>
      <c r="G275" s="7">
        <f ca="1">X275</f>
        <v>45934</v>
      </c>
      <c r="H275" s="5" t="s">
        <v>1442</v>
      </c>
      <c r="I275" t="s">
        <v>1444</v>
      </c>
      <c r="J275" s="36" t="s">
        <v>2976</v>
      </c>
      <c r="K275" t="s">
        <v>1443</v>
      </c>
      <c r="L275" t="s">
        <v>2484</v>
      </c>
      <c r="M275" s="16" t="s">
        <v>1779</v>
      </c>
      <c r="N275" s="16" t="s">
        <v>1780</v>
      </c>
      <c r="O275" s="7">
        <v>45600</v>
      </c>
      <c r="P275" s="7" t="s">
        <v>2383</v>
      </c>
      <c r="Q275" s="18">
        <v>10</v>
      </c>
      <c r="R275" s="18">
        <v>1</v>
      </c>
      <c r="S275" s="18">
        <v>1</v>
      </c>
      <c r="T275" s="4">
        <f>DATE('Annual Singings'!AI$2,$Q275,1+(($R275-($S275&gt;=WEEKDAY(DATE('Annual Singings'!AI$2,$Q275,1))))*7)+($S275-WEEKDAY(DATE('Annual Singings'!AI$2,$Q275,1))))</f>
        <v>45935</v>
      </c>
      <c r="U275" s="4">
        <f>DATE('Annual Singings'!AJ$2,$Q275,1+(($R275-($S275&gt;=WEEKDAY(DATE('Annual Singings'!AJ$2,$Q275,1))))*7)+($S275-WEEKDAY(DATE('Annual Singings'!AJ$2,$Q275,1))))</f>
        <v>46299</v>
      </c>
      <c r="V275" s="20">
        <v>-1</v>
      </c>
      <c r="W275" s="20">
        <v>1</v>
      </c>
      <c r="X275" s="4">
        <f ca="1">Y275-(W275-1)</f>
        <v>45934</v>
      </c>
      <c r="Y275" s="5">
        <f ca="1">IF(OR(T275+V275&lt;(TODAY()-1),ISNUMBER(SEARCH("&lt;h4&gt;",K275))),U275+V275,T275+V275)</f>
        <v>45934</v>
      </c>
      <c r="Z275" t="str">
        <f ca="1">CONCATENATE(IF(OR(Y275=X275,ISBLANK(Y275)),TEXT(X275,"mmmm d"),CONCATENATE(TEXT(X275,"mmmm d"),"-",IF(TEXT(X275,"mmmm")=TEXT(Y275,"mmmm"),TEXT(Y275,"d"),TEXT(Y275,"mmmm d")))),", ",YEAR(Y275))</f>
        <v>October 4, 2025</v>
      </c>
      <c r="AA275" s="7">
        <f>O275</f>
        <v>45600</v>
      </c>
      <c r="AB275" s="14">
        <f>T275+V275-(W275-1)</f>
        <v>45934</v>
      </c>
      <c r="AC275" t="s">
        <v>1781</v>
      </c>
      <c r="AD275" s="23" t="str">
        <f ca="1">CONCATENATE("&lt;add-to-calendar-button  name=",CHAR(34),H275,CHAR(34),
IF(ISBLANK(M275),"",CONCATENATE("   location=",CHAR(34),RIGHT(M275,LEN(M275)-SEARCH("|",M275)-1),CHAR(34))),
"   description=",CHAR(34),IF(ISBLANK(I275),"",CONCATENATE(I275,"; ")),"shapenotesingings.com",CHAR(34),
"   options=",CHAR(34),"'Apple','Google','iCal','Outlook.com'",CHAR(34),"   styleLight=",CHAR(34),"--btn-background: #550000; --btn-text: #fff; --btn-shadow:#fff;",CHAR(34),
IF(W275=1,CONCATENATE(
"startDate=",CHAR(34),TEXT(G275,"yyyy-mm-dd"),CHAR(34),
"{endDate=",CHAR(34),TEXT(G275,"yyyy-mm-dd"),CHAR(34),
IF(OR(ISBLANK(AE275),ISBLANK(AF275)),"",(CONCATENATE(" startTime=",CHAR(34),TEXT(AE275,"hh:mm"),CHAR(34)," endTime=",CHAR(34),TEXT(AF275,"h:mm"),CHAR(34),
" timeZone=",CHAR(34),AG275,CHAR(34))))),
IF(W275=2,CONCATENATE(" dates='[{",
CHAR(34),"startDate",CHAR(34),":",CHAR(34),TEXT(G275,"yyyy-mm-dd"),CHAR(34),", ",
,CHAR(34),"endDate",CHAR(34),":",CHAR(34),TEXT(G275,"yyyy-mm-dd"),CHAR(34),
IF(OR(ISBLANK(AE275),ISBLANK(AF275)),"",(CONCATENATE(", ",CHAR(34),"startTime",CHAR(34),":",CHAR(34),TEXT(AE275,"hh:mm"),CHAR(34),", ",CHAR(34),"endTime",CHAR(34),":",CHAR(34),TEXT(AF275,"hh:mm"),CHAR(34),", ",CHAR(34),"timeZone",CHAR(34),":",CHAR(34),AG275,CHAR(34)))),"}, {",
,CHAR(34),"startDate",CHAR(34),":",CHAR(34),TEXT(G275+1,"yyyy-mm-dd"),CHAR(34),", ",
,CHAR(34),"endDate",CHAR(34),":",CHAR(34),TEXT(G275+W275-1,"yyyy-mm-dd"),CHAR(34),
IF(OR(ISBLANK(AE275),ISBLANK(AF275)),"",(CONCATENATE(", ",CHAR(34),"startTime",CHAR(34),":",CHAR(34),TEXT(AE275,"hh:mm"),CHAR(34),", ",CHAR(34),"endTime",CHAR(34),":",CHAR(34),TEXT(AF275,"hh:mm"),CHAR(34),", ",CHAR(34),"timeZone",CHAR(34),":",CHAR(34),AG275,CHAR(34)))),"}]'"),
CONCATENATE(
"{  startDate=",CHAR(34),TEXT(G275,"yyyy-mm-dd"),CHAR(34),
"  endDate=",CHAR(34),TEXT(G275+W275-1,"yyyy-mm-dd"),CHAR(34),"}"))),
" &gt;&lt;/add-to-calendar-button&gt;")</f>
        <v>&lt;add-to-calendar-button  name="Munich Sacred Harp All-Day Singing"   location="Spirituelles Zentrum St. Martin, Arndtstraße 8, 80469 München, Germany"   description="10:30 am – 4:00 pm; shapenotesingings.com"   options="'Apple','Google','iCal','Outlook.com'"   styleLight="--btn-background: #550000; --btn-text: #fff; --btn-shadow:#fff;"startDate="2025-10-04"{endDate="2025-10-04" startTime="10:30" endTime="16:00" timeZone="Europe/Berlin" &gt;&lt;/add-to-calendar-button&gt;</v>
      </c>
      <c r="AE275" s="24">
        <v>0.4375</v>
      </c>
      <c r="AF275" s="24">
        <v>0.66666666666666663</v>
      </c>
      <c r="AG275" s="25" t="s">
        <v>1540</v>
      </c>
    </row>
    <row r="276" spans="1:33" x14ac:dyDescent="0.3">
      <c r="A276" t="s">
        <v>8</v>
      </c>
      <c r="B276" t="s">
        <v>176</v>
      </c>
      <c r="C276" t="s">
        <v>1157</v>
      </c>
      <c r="D276" t="s">
        <v>721</v>
      </c>
      <c r="E276" t="s">
        <v>34</v>
      </c>
      <c r="F276" t="s">
        <v>1745</v>
      </c>
      <c r="G276" s="7">
        <f ca="1">X276</f>
        <v>45934</v>
      </c>
      <c r="H276" s="5" t="s">
        <v>719</v>
      </c>
      <c r="I276" t="s">
        <v>1028</v>
      </c>
      <c r="J276" s="36" t="s">
        <v>2977</v>
      </c>
      <c r="L276" t="s">
        <v>2485</v>
      </c>
      <c r="M276" s="16" t="s">
        <v>1024</v>
      </c>
      <c r="N276" s="16" t="s">
        <v>720</v>
      </c>
      <c r="O276" s="7">
        <v>44936</v>
      </c>
      <c r="P276" s="7" t="s">
        <v>926</v>
      </c>
      <c r="Q276" s="18">
        <v>10</v>
      </c>
      <c r="R276" s="18">
        <v>1</v>
      </c>
      <c r="S276" s="18">
        <v>7</v>
      </c>
      <c r="T276" s="4">
        <f>DATE(AI$2,$Q276,1+(($R276-($S276&gt;=WEEKDAY(DATE(AI$2,$Q276,1))))*7)+($S276-WEEKDAY(DATE(AI$2,$Q276,1))))</f>
        <v>45934</v>
      </c>
      <c r="U276" s="4">
        <f>DATE(AJ$2,$Q276,1+(($R276-($S276&gt;=WEEKDAY(DATE(AJ$2,$Q276,1))))*7)+($S276-WEEKDAY(DATE(AJ$2,$Q276,1))))</f>
        <v>46298</v>
      </c>
      <c r="V276" s="20">
        <v>0</v>
      </c>
      <c r="W276" s="20">
        <v>1</v>
      </c>
      <c r="X276" s="4">
        <f ca="1">Y276-(W276-1)</f>
        <v>45934</v>
      </c>
      <c r="Y276" s="5">
        <f ca="1">IF(OR(T276+V276&lt;(NOW()-0.5),ISNUMBER(SEARCH("&lt;h4&gt;",K276))),U276+V276,T276+V276)</f>
        <v>45934</v>
      </c>
      <c r="Z276" t="str">
        <f ca="1">CONCATENATE(IF(OR(Y276=X276,ISBLANK(Y276)),TEXT(X276,"mmmm d"),CONCATENATE(TEXT(X276,"mmmm d"),"-",IF(TEXT(X276,"mmmm")=TEXT(Y276,"mmmm"),TEXT(Y276,"d"),TEXT(Y276,"mmmm d")))),", ",YEAR(Y276))</f>
        <v>October 4, 2025</v>
      </c>
      <c r="AA276" s="7">
        <f>O276</f>
        <v>44936</v>
      </c>
      <c r="AB276" s="14">
        <f>T276+V276-(W276-1)</f>
        <v>45934</v>
      </c>
      <c r="AC276" t="s">
        <v>1192</v>
      </c>
      <c r="AD276" s="23" t="str">
        <f ca="1">CONCATENATE("&lt;add-to-calendar-button  name=",CHAR(34),H276,CHAR(34),
IF(ISBLANK(M276),"",CONCATENATE("   location=",CHAR(34),RIGHT(M276,LEN(M276)-SEARCH("|",M276)-1),CHAR(34))),
"   description=",CHAR(34),IF(ISBLANK(I276),"",CONCATENATE(I276,"; ")),"shapenotesingings.com",CHAR(34),
"   options=",CHAR(34),"'Apple','Google','iCal','Outlook.com'",CHAR(34),"   styleLight=",CHAR(34),"--btn-background: #550000; --btn-text: #fff; --btn-shadow:#fff;",CHAR(34),
IF(W276=1,CONCATENATE(
"startDate=",CHAR(34),TEXT(G276,"yyyy-mm-dd"),CHAR(34),
"{endDate=",CHAR(34),TEXT(G276,"yyyy-mm-dd"),CHAR(34),
IF(OR(ISBLANK(AE276),ISBLANK(AF276)),"",(CONCATENATE(" startTime=",CHAR(34),TEXT(AE276,"hh:mm"),CHAR(34)," endTime=",CHAR(34),TEXT(AF276,"h:mm"),CHAR(34),
" timeZone=",CHAR(34),AG276,CHAR(34))))),
IF(W276=2,CONCATENATE(" dates='[{",
CHAR(34),"startDate",CHAR(34),":",CHAR(34),TEXT(G276,"yyyy-mm-dd"),CHAR(34),", ",
,CHAR(34),"endDate",CHAR(34),":",CHAR(34),TEXT(G276,"yyyy-mm-dd"),CHAR(34),
IF(OR(ISBLANK(AE276),ISBLANK(AF276)),"",(CONCATENATE(", ",CHAR(34),"startTime",CHAR(34),":",CHAR(34),TEXT(AE276,"hh:mm"),CHAR(34),", ",CHAR(34),"endTime",CHAR(34),":",CHAR(34),TEXT(AF276,"hh:mm"),CHAR(34),", ",CHAR(34),"timeZone",CHAR(34),":",CHAR(34),AG276,CHAR(34)))),"}, {",
,CHAR(34),"startDate",CHAR(34),":",CHAR(34),TEXT(G276+1,"yyyy-mm-dd"),CHAR(34),", ",
,CHAR(34),"endDate",CHAR(34),":",CHAR(34),TEXT(G276+W276-1,"yyyy-mm-dd"),CHAR(34),
IF(OR(ISBLANK(AE276),ISBLANK(AF276)),"",(CONCATENATE(", ",CHAR(34),"startTime",CHAR(34),":",CHAR(34),TEXT(AE276,"hh:mm"),CHAR(34),", ",CHAR(34),"endTime",CHAR(34),":",CHAR(34),TEXT(AF276,"hh:mm"),CHAR(34),", ",CHAR(34),"timeZone",CHAR(34),":",CHAR(34),AG276,CHAR(34)))),"}]'"),
CONCATENATE(
"{  startDate=",CHAR(34),TEXT(G276,"yyyy-mm-dd"),CHAR(34),
"  endDate=",CHAR(34),TEXT(G276+W276-1,"yyyy-mm-dd"),CHAR(34),"}"))),
" &gt;&lt;/add-to-calendar-button&gt;")</f>
        <v>&lt;add-to-calendar-button  name="Sadsbury Cooper Book Singing"   location="Sadsbury Meeting, 1089 Simmontown Road, Gap, PA 17527"   description="10am; shapenotesingings.com"   options="'Apple','Google','iCal','Outlook.com'"   styleLight="--btn-background: #550000; --btn-text: #fff; --btn-shadow:#fff;"startDate="2025-10-04"{endDate="2025-10-04" startTime="10:00" endTime="15:00" timeZone="America/New_York" &gt;&lt;/add-to-calendar-button&gt;</v>
      </c>
      <c r="AE276" s="24">
        <v>0.41666666666666669</v>
      </c>
      <c r="AF276" s="24">
        <v>0.625</v>
      </c>
      <c r="AG276" s="25" t="s">
        <v>1532</v>
      </c>
    </row>
    <row r="277" spans="1:33" x14ac:dyDescent="0.3">
      <c r="A277" t="s">
        <v>407</v>
      </c>
      <c r="B277" t="s">
        <v>408</v>
      </c>
      <c r="D277" t="s">
        <v>1686</v>
      </c>
      <c r="E277" t="s">
        <v>2178</v>
      </c>
      <c r="F277" t="s">
        <v>664</v>
      </c>
      <c r="G277" s="7">
        <f ca="1">X277</f>
        <v>45934</v>
      </c>
      <c r="H277" s="5" t="s">
        <v>1685</v>
      </c>
      <c r="I277" t="s">
        <v>1081</v>
      </c>
      <c r="J277" s="36" t="s">
        <v>2978</v>
      </c>
      <c r="L277" t="s">
        <v>2167</v>
      </c>
      <c r="M277" s="16" t="s">
        <v>1687</v>
      </c>
      <c r="N277" s="16" t="s">
        <v>1688</v>
      </c>
      <c r="O277" s="7">
        <v>45143</v>
      </c>
      <c r="P277" s="7" t="s">
        <v>2168</v>
      </c>
      <c r="Q277" s="18">
        <v>10</v>
      </c>
      <c r="R277" s="18">
        <v>1</v>
      </c>
      <c r="S277" s="18">
        <v>1</v>
      </c>
      <c r="T277" s="4">
        <f>DATE(AI$2,$Q277,1+(($R277-($S277&gt;=WEEKDAY(DATE(AI$2,$Q277,1))))*7)+($S277-WEEKDAY(DATE(AI$2,$Q277,1))))</f>
        <v>45935</v>
      </c>
      <c r="U277" s="4">
        <f>DATE(AJ$2,$Q277,1+(($R277-($S277&gt;=WEEKDAY(DATE(AJ$2,$Q277,1))))*7)+($S277-WEEKDAY(DATE(AJ$2,$Q277,1))))</f>
        <v>46299</v>
      </c>
      <c r="V277" s="20">
        <v>-1</v>
      </c>
      <c r="W277" s="20">
        <v>1</v>
      </c>
      <c r="X277" s="4">
        <f ca="1">Y277-(W277-1)</f>
        <v>45934</v>
      </c>
      <c r="Y277" s="5">
        <f ca="1">IF(OR(T277+V277&lt;(NOW()-0.5),ISNUMBER(SEARCH("&lt;h4&gt;",K277))),U277+V277,T277+V277)</f>
        <v>45934</v>
      </c>
      <c r="Z277" t="str">
        <f ca="1">CONCATENATE(IF(OR(Y277=X277,ISBLANK(Y277)),TEXT(X277,"mmmm d"),CONCATENATE(TEXT(X277,"mmmm d"),"-",IF(TEXT(X277,"mmmm")=TEXT(Y277,"mmmm"),TEXT(Y277,"d"),TEXT(Y277,"mmmm d")))),", ",YEAR(Y277))</f>
        <v>October 4, 2025</v>
      </c>
      <c r="AA277" s="7">
        <f>O277</f>
        <v>45143</v>
      </c>
      <c r="AB277" s="14">
        <f>T277+V277-(W277-1)</f>
        <v>45934</v>
      </c>
      <c r="AC277" t="s">
        <v>1689</v>
      </c>
      <c r="AD277" s="23" t="str">
        <f ca="1">CONCATENATE("&lt;add-to-calendar-button  name=",CHAR(34),H277,CHAR(34),
IF(ISBLANK(M277),"",CONCATENATE("   location=",CHAR(34),RIGHT(M277,LEN(M277)-SEARCH("|",M277)-1),CHAR(34))),
"   description=",CHAR(34),IF(ISBLANK(I277),"",CONCATENATE(I277,"; ")),"shapenotesingings.com",CHAR(34),
"   options=",CHAR(34),"'Apple','Google','iCal','Outlook.com'",CHAR(34),"   styleLight=",CHAR(34),"--btn-background: #550000; --btn-text: #fff; --btn-shadow:#fff;",CHAR(34),
IF(W277=1,CONCATENATE(
"startDate=",CHAR(34),TEXT(G277,"yyyy-mm-dd"),CHAR(34),
"{endDate=",CHAR(34),TEXT(G277,"yyyy-mm-dd"),CHAR(34),
IF(OR(ISBLANK(AE277),ISBLANK(AF277)),"",(CONCATENATE(" startTime=",CHAR(34),TEXT(AE277,"hh:mm"),CHAR(34)," endTime=",CHAR(34),TEXT(AF277,"h:mm"),CHAR(34),
" timeZone=",CHAR(34),AG277,CHAR(34))))),
IF(W277=2,CONCATENATE(" dates='[{",
CHAR(34),"startDate",CHAR(34),":",CHAR(34),TEXT(G277,"yyyy-mm-dd"),CHAR(34),", ",
,CHAR(34),"endDate",CHAR(34),":",CHAR(34),TEXT(G277,"yyyy-mm-dd"),CHAR(34),
IF(OR(ISBLANK(AE277),ISBLANK(AF277)),"",(CONCATENATE(", ",CHAR(34),"startTime",CHAR(34),":",CHAR(34),TEXT(AE277,"hh:mm"),CHAR(34),", ",CHAR(34),"endTime",CHAR(34),":",CHAR(34),TEXT(AF277,"hh:mm"),CHAR(34),", ",CHAR(34),"timeZone",CHAR(34),":",CHAR(34),AG277,CHAR(34)))),"}, {",
,CHAR(34),"startDate",CHAR(34),":",CHAR(34),TEXT(G277+1,"yyyy-mm-dd"),CHAR(34),", ",
,CHAR(34),"endDate",CHAR(34),":",CHAR(34),TEXT(G277+W277-1,"yyyy-mm-dd"),CHAR(34),
IF(OR(ISBLANK(AE277),ISBLANK(AF277)),"",(CONCATENATE(", ",CHAR(34),"startTime",CHAR(34),":",CHAR(34),TEXT(AE277,"hh:mm"),CHAR(34),", ",CHAR(34),"endTime",CHAR(34),":",CHAR(34),TEXT(AF277,"hh:mm"),CHAR(34),", ",CHAR(34),"timeZone",CHAR(34),":",CHAR(34),AG277,CHAR(34)))),"}]'"),
CONCATENATE(
"{  startDate=",CHAR(34),TEXT(G277,"yyyy-mm-dd"),CHAR(34),
"  endDate=",CHAR(34),TEXT(G277+W277-1,"yyyy-mm-dd"),CHAR(34),"}"))),
" &gt;&lt;/add-to-calendar-button&gt;")</f>
        <v>&lt;add-to-calendar-button  name="Hamburg Singing"   location="Ecumenical Forum HafenCity, Shanghaiallee 12, 20457 Hamburg, Germany"   description="10:30am-4:30pm; shapenotesingings.com"   options="'Apple','Google','iCal','Outlook.com'"   styleLight="--btn-background: #550000; --btn-text: #fff; --btn-shadow:#fff;"startDate="2025-10-04"{endDate="2025-10-04" startTime="10:30" endTime="16:00" timeZone="Europe/Berlin" &gt;&lt;/add-to-calendar-button&gt;</v>
      </c>
      <c r="AE277" s="24">
        <v>0.4375</v>
      </c>
      <c r="AF277" s="24">
        <v>0.66666666666666663</v>
      </c>
      <c r="AG277" s="25" t="s">
        <v>1540</v>
      </c>
    </row>
    <row r="278" spans="1:33" x14ac:dyDescent="0.3">
      <c r="A278" t="s">
        <v>8</v>
      </c>
      <c r="B278" t="s">
        <v>151</v>
      </c>
      <c r="C278" t="s">
        <v>1137</v>
      </c>
      <c r="D278" t="s">
        <v>643</v>
      </c>
      <c r="E278" t="s">
        <v>2178</v>
      </c>
      <c r="F278" t="s">
        <v>666</v>
      </c>
      <c r="G278" s="7">
        <f ca="1">X278</f>
        <v>45935</v>
      </c>
      <c r="H278" s="5" t="s">
        <v>642</v>
      </c>
      <c r="I278" t="s">
        <v>1037</v>
      </c>
      <c r="J278" s="36" t="s">
        <v>2979</v>
      </c>
      <c r="L278" t="s">
        <v>2233</v>
      </c>
      <c r="M278" s="16" t="s">
        <v>1715</v>
      </c>
      <c r="N278" s="16" t="s">
        <v>1716</v>
      </c>
      <c r="O278" s="7">
        <v>45526</v>
      </c>
      <c r="P278" s="7" t="s">
        <v>2232</v>
      </c>
      <c r="Q278" s="18">
        <v>10</v>
      </c>
      <c r="R278" s="18">
        <v>1</v>
      </c>
      <c r="S278" s="18">
        <v>1</v>
      </c>
      <c r="T278" s="4">
        <f>DATE(AI$2,$Q278,1+(($R278-($S278&gt;=WEEKDAY(DATE(AI$2,$Q278,1))))*7)+($S278-WEEKDAY(DATE(AI$2,$Q278,1))))</f>
        <v>45935</v>
      </c>
      <c r="U278" s="4">
        <f>DATE(AJ$2,$Q278,1+(($R278-($S278&gt;=WEEKDAY(DATE(AJ$2,$Q278,1))))*7)+($S278-WEEKDAY(DATE(AJ$2,$Q278,1))))</f>
        <v>46299</v>
      </c>
      <c r="V278" s="20">
        <v>0</v>
      </c>
      <c r="W278" s="20">
        <v>1</v>
      </c>
      <c r="X278" s="4">
        <f ca="1">Y278-(W278-1)</f>
        <v>45935</v>
      </c>
      <c r="Y278" s="5">
        <f ca="1">IF(OR(T278+V278&lt;(NOW()-0.5),ISNUMBER(SEARCH("&lt;h4&gt;",K278))),U278+V278,T278+V278)</f>
        <v>45935</v>
      </c>
      <c r="Z278" t="str">
        <f ca="1">CONCATENATE(IF(OR(Y278=X278,ISBLANK(Y278)),TEXT(X278,"mmmm d"),CONCATENATE(TEXT(X278,"mmmm d"),"-",IF(TEXT(X278,"mmmm")=TEXT(Y278,"mmmm"),TEXT(Y278,"d"),TEXT(Y278,"mmmm d")))),", ",YEAR(Y278))</f>
        <v>October 5, 2025</v>
      </c>
      <c r="AA278" s="7">
        <f>O278</f>
        <v>45526</v>
      </c>
      <c r="AB278" s="14">
        <f>T278+V278-(W278-1)</f>
        <v>45935</v>
      </c>
      <c r="AC278" t="s">
        <v>1714</v>
      </c>
      <c r="AD278" s="23" t="str">
        <f ca="1">CONCATENATE("&lt;add-to-calendar-button  name=",CHAR(34),H278,CHAR(34),
IF(ISBLANK(M278),"",CONCATENATE("   location=",CHAR(34),RIGHT(M278,LEN(M278)-SEARCH("|",M278)-1),CHAR(34))),
"   description=",CHAR(34),IF(ISBLANK(I278),"",CONCATENATE(I278,"; ")),"shapenotesingings.com",CHAR(34),
"   options=",CHAR(34),"'Apple','Google','iCal','Outlook.com'",CHAR(34),"   styleLight=",CHAR(34),"--btn-background: #550000; --btn-text: #fff; --btn-shadow:#fff;",CHAR(34),
IF(W278=1,CONCATENATE(
"startDate=",CHAR(34),TEXT(G278,"yyyy-mm-dd"),CHAR(34),
"{endDate=",CHAR(34),TEXT(G278,"yyyy-mm-dd"),CHAR(34),
IF(OR(ISBLANK(AE278),ISBLANK(AF278)),"",(CONCATENATE(" startTime=",CHAR(34),TEXT(AE278,"hh:mm"),CHAR(34)," endTime=",CHAR(34),TEXT(AF278,"h:mm"),CHAR(34),
" timeZone=",CHAR(34),AG278,CHAR(34))))),
IF(W278=2,CONCATENATE(" dates='[{",
CHAR(34),"startDate",CHAR(34),":",CHAR(34),TEXT(G278,"yyyy-mm-dd"),CHAR(34),", ",
,CHAR(34),"endDate",CHAR(34),":",CHAR(34),TEXT(G278,"yyyy-mm-dd"),CHAR(34),
IF(OR(ISBLANK(AE278),ISBLANK(AF278)),"",(CONCATENATE(", ",CHAR(34),"startTime",CHAR(34),":",CHAR(34),TEXT(AE278,"hh:mm"),CHAR(34),", ",CHAR(34),"endTime",CHAR(34),":",CHAR(34),TEXT(AF278,"hh:mm"),CHAR(34),", ",CHAR(34),"timeZone",CHAR(34),":",CHAR(34),AG278,CHAR(34)))),"}, {",
,CHAR(34),"startDate",CHAR(34),":",CHAR(34),TEXT(G278+1,"yyyy-mm-dd"),CHAR(34),", ",
,CHAR(34),"endDate",CHAR(34),":",CHAR(34),TEXT(G278+W278-1,"yyyy-mm-dd"),CHAR(34),
IF(OR(ISBLANK(AE278),ISBLANK(AF278)),"",(CONCATENATE(", ",CHAR(34),"startTime",CHAR(34),":",CHAR(34),TEXT(AE278,"hh:mm"),CHAR(34),", ",CHAR(34),"endTime",CHAR(34),":",CHAR(34),TEXT(AF278,"hh:mm"),CHAR(34),", ",CHAR(34),"timeZone",CHAR(34),":",CHAR(34),AG278,CHAR(34)))),"}]'"),
CONCATENATE(
"{  startDate=",CHAR(34),TEXT(G278,"yyyy-mm-dd"),CHAR(34),
"  endDate=",CHAR(34),TEXT(G278+W278-1,"yyyy-mm-dd"),CHAR(34),"}"))),
" &gt;&lt;/add-to-calendar-button&gt;")</f>
        <v>&lt;add-to-calendar-button  name="Santa Cruz Singing"   location="Pie Ranch, 2080 Green Oaks Way, Pescadero CA 94060"   description="10am-3pm; shapenotesingings.com"   options="'Apple','Google','iCal','Outlook.com'"   styleLight="--btn-background: #550000; --btn-text: #fff; --btn-shadow:#fff;"startDate="2025-10-05"{endDate="2025-10-05" startTime="10:00" endTime="15:00" timeZone="America/Los_Angeles" &gt;&lt;/add-to-calendar-button&gt;</v>
      </c>
      <c r="AE278" s="24">
        <v>0.41666666666666669</v>
      </c>
      <c r="AF278" s="24">
        <v>0.625</v>
      </c>
      <c r="AG278" s="25" t="s">
        <v>1534</v>
      </c>
    </row>
    <row r="279" spans="1:33" ht="13.8" customHeight="1" x14ac:dyDescent="0.3">
      <c r="A279" t="s">
        <v>8</v>
      </c>
      <c r="B279" t="s">
        <v>669</v>
      </c>
      <c r="C279" t="s">
        <v>1134</v>
      </c>
      <c r="D279" t="s">
        <v>458</v>
      </c>
      <c r="E279" t="s">
        <v>2178</v>
      </c>
      <c r="F279" t="s">
        <v>666</v>
      </c>
      <c r="G279" s="7">
        <f ca="1">X279</f>
        <v>45935</v>
      </c>
      <c r="H279" s="5" t="s">
        <v>668</v>
      </c>
      <c r="J279" s="36" t="s">
        <v>2980</v>
      </c>
      <c r="M279" s="16" t="s">
        <v>456</v>
      </c>
      <c r="N279" s="16" t="s">
        <v>457</v>
      </c>
      <c r="O279" s="7">
        <v>44936</v>
      </c>
      <c r="P279" s="7" t="s">
        <v>926</v>
      </c>
      <c r="Q279" s="18">
        <v>10</v>
      </c>
      <c r="R279" s="18">
        <v>1</v>
      </c>
      <c r="S279" s="18">
        <v>1</v>
      </c>
      <c r="T279" s="4">
        <f>DATE(AI$2,$Q279,1+(($R279-($S279&gt;=WEEKDAY(DATE(AI$2,$Q279,1))))*7)+($S279-WEEKDAY(DATE(AI$2,$Q279,1))))</f>
        <v>45935</v>
      </c>
      <c r="U279" s="4">
        <f>DATE(AJ$2,$Q279,1+(($R279-($S279&gt;=WEEKDAY(DATE(AJ$2,$Q279,1))))*7)+($S279-WEEKDAY(DATE(AJ$2,$Q279,1))))</f>
        <v>46299</v>
      </c>
      <c r="V279" s="20">
        <v>0</v>
      </c>
      <c r="W279" s="20">
        <v>1</v>
      </c>
      <c r="X279" s="4">
        <f ca="1">Y279-(W279-1)</f>
        <v>45935</v>
      </c>
      <c r="Y279" s="5">
        <f ca="1">IF(OR(T279+V279&lt;(NOW()-0.5),ISNUMBER(SEARCH("&lt;h4&gt;",K279))),U279+V279,T279+V279)</f>
        <v>45935</v>
      </c>
      <c r="Z279" t="str">
        <f ca="1">CONCATENATE(IF(OR(Y279=X279,ISBLANK(Y279)),TEXT(X279,"mmmm d"),CONCATENATE(TEXT(X279,"mmmm d"),"-",IF(TEXT(X279,"mmmm")=TEXT(Y279,"mmmm"),TEXT(Y279,"d"),TEXT(Y279,"mmmm d")))),", ",YEAR(Y279))</f>
        <v>October 5, 2025</v>
      </c>
      <c r="AA279" s="7">
        <f>O279</f>
        <v>44936</v>
      </c>
      <c r="AB279" s="14">
        <f>T279+V279-(W279-1)</f>
        <v>45935</v>
      </c>
      <c r="AC279" t="s">
        <v>1370</v>
      </c>
      <c r="AD279" s="23" t="str">
        <f ca="1">CONCATENATE("&lt;add-to-calendar-button  name=",CHAR(34),H279,CHAR(34),
IF(ISBLANK(M279),"",CONCATENATE("   location=",CHAR(34),RIGHT(M279,LEN(M279)-SEARCH("|",M279)-1),CHAR(34))),
"   description=",CHAR(34),IF(ISBLANK(I279),"",CONCATENATE(I279,"; ")),"shapenotesingings.com",CHAR(34),
"   options=",CHAR(34),"'Apple','Google','iCal','Outlook.com'",CHAR(34),"   styleLight=",CHAR(34),"--btn-background: #550000; --btn-text: #fff; --btn-shadow:#fff;",CHAR(34),
IF(W279=1,CONCATENATE(
"startDate=",CHAR(34),TEXT(G279,"yyyy-mm-dd"),CHAR(34),
"{endDate=",CHAR(34),TEXT(G279,"yyyy-mm-dd"),CHAR(34),
IF(OR(ISBLANK(AE279),ISBLANK(AF279)),"",(CONCATENATE(" startTime=",CHAR(34),TEXT(AE279,"hh:mm"),CHAR(34)," endTime=",CHAR(34),TEXT(AF279,"h:mm"),CHAR(34),
" timeZone=",CHAR(34),AG279,CHAR(34))))),
IF(W279=2,CONCATENATE(" dates='[{",
CHAR(34),"startDate",CHAR(34),":",CHAR(34),TEXT(G279,"yyyy-mm-dd"),CHAR(34),", ",
,CHAR(34),"endDate",CHAR(34),":",CHAR(34),TEXT(G279,"yyyy-mm-dd"),CHAR(34),
IF(OR(ISBLANK(AE279),ISBLANK(AF279)),"",(CONCATENATE(", ",CHAR(34),"startTime",CHAR(34),":",CHAR(34),TEXT(AE279,"hh:mm"),CHAR(34),", ",CHAR(34),"endTime",CHAR(34),":",CHAR(34),TEXT(AF279,"hh:mm"),CHAR(34),", ",CHAR(34),"timeZone",CHAR(34),":",CHAR(34),AG279,CHAR(34)))),"}, {",
,CHAR(34),"startDate",CHAR(34),":",CHAR(34),TEXT(G279+1,"yyyy-mm-dd"),CHAR(34),", ",
,CHAR(34),"endDate",CHAR(34),":",CHAR(34),TEXT(G279+W279-1,"yyyy-mm-dd"),CHAR(34),
IF(OR(ISBLANK(AE279),ISBLANK(AF279)),"",(CONCATENATE(", ",CHAR(34),"startTime",CHAR(34),":",CHAR(34),TEXT(AE279,"hh:mm"),CHAR(34),", ",CHAR(34),"endTime",CHAR(34),":",CHAR(34),TEXT(AF279,"hh:mm"),CHAR(34),", ",CHAR(34),"timeZone",CHAR(34),":",CHAR(34),AG279,CHAR(34)))),"}]'"),
CONCATENATE(
"{  startDate=",CHAR(34),TEXT(G279,"yyyy-mm-dd"),CHAR(34),
"  endDate=",CHAR(34),TEXT(G279+W279-1,"yyyy-mm-dd"),CHAR(34),"}"))),
" &gt;&lt;/add-to-calendar-button&gt;")</f>
        <v>&lt;add-to-calendar-button  name="Alexander, Hullett, Lowe, Brothers, Wootten Memorial"   location="Hopewell Primitive Baptist Church, 3596 Airport Road, Altoona, AL"   description="shapenotesingings.com"   options="'Apple','Google','iCal','Outlook.com'"   styleLight="--btn-background: #550000; --btn-text: #fff; --btn-shadow:#fff;"startDate="2025-10-05"{endDate="2025-10-05" &gt;&lt;/add-to-calendar-button&gt;</v>
      </c>
      <c r="AG279" s="25" t="s">
        <v>1533</v>
      </c>
    </row>
    <row r="280" spans="1:33" ht="13.8" customHeight="1" x14ac:dyDescent="0.3">
      <c r="A280" t="s">
        <v>8</v>
      </c>
      <c r="B280" t="s">
        <v>114</v>
      </c>
      <c r="C280" t="s">
        <v>1153</v>
      </c>
      <c r="D280" t="s">
        <v>2171</v>
      </c>
      <c r="E280" t="s">
        <v>2176</v>
      </c>
      <c r="F280" t="s">
        <v>2229</v>
      </c>
      <c r="G280" s="7">
        <f ca="1">X280</f>
        <v>45941</v>
      </c>
      <c r="H280" s="5" t="s">
        <v>2799</v>
      </c>
      <c r="I280" t="s">
        <v>1039</v>
      </c>
      <c r="J280" s="36" t="s">
        <v>2981</v>
      </c>
      <c r="K280" s="39" t="s">
        <v>2803</v>
      </c>
      <c r="L280" t="s">
        <v>2801</v>
      </c>
      <c r="M280" s="16" t="s">
        <v>2804</v>
      </c>
      <c r="N280" s="16" t="s">
        <v>2800</v>
      </c>
      <c r="O280" s="7">
        <v>45712</v>
      </c>
      <c r="P280" s="7" t="s">
        <v>2802</v>
      </c>
      <c r="Q280" s="18">
        <v>10</v>
      </c>
      <c r="R280" s="18">
        <v>2</v>
      </c>
      <c r="S280" s="18">
        <v>1</v>
      </c>
      <c r="T280" s="4">
        <f>DATE(AI$2,$Q280,1+(($R280-($S280&gt;=WEEKDAY(DATE(AI$2,$Q280,1))))*7)+($S280-WEEKDAY(DATE(AI$2,$Q280,1))))</f>
        <v>45942</v>
      </c>
      <c r="U280" s="4">
        <f>DATE(AJ$2,$Q280,1+(($R280-($S280&gt;=WEEKDAY(DATE(AJ$2,$Q280,1))))*7)+($S280-WEEKDAY(DATE(AJ$2,$Q280,1))))</f>
        <v>46306</v>
      </c>
      <c r="V280" s="20">
        <v>0</v>
      </c>
      <c r="W280" s="20">
        <v>2</v>
      </c>
      <c r="X280" s="4">
        <f ca="1">Y280-(W280-1)</f>
        <v>45941</v>
      </c>
      <c r="Y280" s="5">
        <f ca="1">IF(OR(T280+V280&lt;(NOW()-0.5),ISNUMBER(SEARCH("&lt;h4&gt;",K279))),U280+V280,T280+V280)</f>
        <v>45942</v>
      </c>
      <c r="Z280" t="str">
        <f ca="1">CONCATENATE(IF(OR(Y280=X280,ISBLANK(Y280)),TEXT(X280,"mmmm d"),CONCATENATE(TEXT(X280,"mmmm d"),"-",IF(TEXT(X280,"mmmm")=TEXT(Y280,"mmmm"),TEXT(Y280,"d"),TEXT(Y280,"mmmm d")))),", ",YEAR(Y280))</f>
        <v>October 11-12, 2025</v>
      </c>
      <c r="AA280" s="7">
        <f>O280</f>
        <v>45712</v>
      </c>
      <c r="AB280" s="14">
        <f>T280+V280-(W280-1)</f>
        <v>45941</v>
      </c>
      <c r="AC280" t="s">
        <v>2172</v>
      </c>
      <c r="AD280" s="23" t="str">
        <f ca="1">CONCATENATE("&lt;add-to-calendar-button  name=",CHAR(34),H280,CHAR(34),
IF(ISBLANK(M280),"",CONCATENATE("   location=",CHAR(34),RIGHT(M280,LEN(M280)-SEARCH("|",M280)-1),CHAR(34))),
"   description=",CHAR(34),IF(ISBLANK(I280),"",CONCATENATE(I280,"; ")),"shapenotesingings.com",CHAR(34),
"   options=",CHAR(34),"'Apple','Google','iCal','Outlook.com'",CHAR(34),"   styleLight=",CHAR(34),"--btn-background: #550000; --btn-text: #fff; --btn-shadow:#fff;",CHAR(34),
IF(W280=1,CONCATENATE(
"startDate=",CHAR(34),TEXT(G280,"yyyy-mm-dd"),CHAR(34),
"{endDate=",CHAR(34),TEXT(G280,"yyyy-mm-dd"),CHAR(34),
IF(OR(ISBLANK(AE280),ISBLANK(AF280)),"",(CONCATENATE(" startTime=",CHAR(34),TEXT(AE280,"hh:mm"),CHAR(34)," endTime=",CHAR(34),TEXT(AF280,"h:mm"),CHAR(34),
" timeZone=",CHAR(34),AG280,CHAR(34))))),
IF(W280=2,CONCATENATE(" dates='[{",
CHAR(34),"startDate",CHAR(34),":",CHAR(34),TEXT(G280,"yyyy-mm-dd"),CHAR(34),", ",
,CHAR(34),"endDate",CHAR(34),":",CHAR(34),TEXT(G280,"yyyy-mm-dd"),CHAR(34),
IF(OR(ISBLANK(AE280),ISBLANK(AF280)),"",(CONCATENATE(", ",CHAR(34),"startTime",CHAR(34),":",CHAR(34),TEXT(AE280,"hh:mm"),CHAR(34),", ",CHAR(34),"endTime",CHAR(34),":",CHAR(34),TEXT(AF280,"hh:mm"),CHAR(34),", ",CHAR(34),"timeZone",CHAR(34),":",CHAR(34),AG280,CHAR(34)))),"}, {",
,CHAR(34),"startDate",CHAR(34),":",CHAR(34),TEXT(G280+1,"yyyy-mm-dd"),CHAR(34),", ",
,CHAR(34),"endDate",CHAR(34),":",CHAR(34),TEXT(G280+W280-1,"yyyy-mm-dd"),CHAR(34),
IF(OR(ISBLANK(AE280),ISBLANK(AF280)),"",(CONCATENATE(", ",CHAR(34),"startTime",CHAR(34),":",CHAR(34),TEXT(AE280,"hh:mm"),CHAR(34),", ",CHAR(34),"endTime",CHAR(34),":",CHAR(34),TEXT(AF280,"hh:mm"),CHAR(34),", ",CHAR(34),"timeZone",CHAR(34),":",CHAR(34),AG280,CHAR(34)))),"}]'"),
CONCATENATE(
"{  startDate=",CHAR(34),TEXT(G280,"yyyy-mm-dd"),CHAR(34),
"  endDate=",CHAR(34),TEXT(G280+W280-1,"yyyy-mm-dd"),CHAR(34),"}"))),
" &gt;&lt;/add-to-calendar-button&gt;")</f>
        <v>&lt;add-to-calendar-button  name="Winston-Salem Convention"   location="Saturday - Fries Memorial Moravian Church, 251 N Hawthorne Rd. Winston-Salem, NC 27104, Sunday - Moravian Music Foundation Archives, 457 S Church St, Winston-Salem, NC 27101"   description="10am-3:30pm; shapenotesingings.com"   options="'Apple','Google','iCal','Outlook.com'"   styleLight="--btn-background: #550000; --btn-text: #fff; --btn-shadow:#fff;" dates='[{"startDate":"2025-10-11", "endDate":"2025-10-11", "startTime":"10:00", "endTime":"15:30", "timeZone":"America/New_York"}, {"startDate":"2025-10-12", "endDate":"2025-10-12", "startTime":"10:00", "endTime":"15:30", "timeZone":"America/New_York"}]' &gt;&lt;/add-to-calendar-button&gt;</v>
      </c>
      <c r="AE280" s="24">
        <v>0.41666666666666669</v>
      </c>
      <c r="AF280" s="24">
        <v>0.64583333333333337</v>
      </c>
      <c r="AG280" s="25" t="s">
        <v>1532</v>
      </c>
    </row>
    <row r="281" spans="1:33" x14ac:dyDescent="0.3">
      <c r="A281" t="s">
        <v>8</v>
      </c>
      <c r="B281" t="s">
        <v>250</v>
      </c>
      <c r="C281" t="s">
        <v>1152</v>
      </c>
      <c r="D281" t="s">
        <v>678</v>
      </c>
      <c r="E281" t="s">
        <v>2178</v>
      </c>
      <c r="F281" t="s">
        <v>672</v>
      </c>
      <c r="G281" s="7">
        <f ca="1">X281</f>
        <v>45941</v>
      </c>
      <c r="H281" s="5" t="s">
        <v>677</v>
      </c>
      <c r="I281" t="s">
        <v>1028</v>
      </c>
      <c r="J281" s="36" t="s">
        <v>2982</v>
      </c>
      <c r="L281" t="s">
        <v>2297</v>
      </c>
      <c r="M281" s="16" t="s">
        <v>675</v>
      </c>
      <c r="N281" s="16" t="s">
        <v>676</v>
      </c>
      <c r="O281" s="7">
        <v>44936</v>
      </c>
      <c r="P281" s="7" t="s">
        <v>926</v>
      </c>
      <c r="Q281" s="18">
        <v>10</v>
      </c>
      <c r="R281" s="18">
        <v>2</v>
      </c>
      <c r="S281" s="18">
        <v>1</v>
      </c>
      <c r="T281" s="4">
        <f>DATE(AI$2,$Q281,1+(($R281-($S281&gt;=WEEKDAY(DATE(AI$2,$Q281,1))))*7)+($S281-WEEKDAY(DATE(AI$2,$Q281,1))))</f>
        <v>45942</v>
      </c>
      <c r="U281" s="4">
        <f>DATE(AJ$2,$Q281,1+(($R281-($S281&gt;=WEEKDAY(DATE(AJ$2,$Q281,1))))*7)+($S281-WEEKDAY(DATE(AJ$2,$Q281,1))))</f>
        <v>46306</v>
      </c>
      <c r="V281" s="20">
        <v>-1</v>
      </c>
      <c r="W281" s="20">
        <v>1</v>
      </c>
      <c r="X281" s="4">
        <f ca="1">Y281-(W281-1)</f>
        <v>45941</v>
      </c>
      <c r="Y281" s="5">
        <f ca="1">IF(OR(T281+V281&lt;(NOW()-0.5),ISNUMBER(SEARCH("&lt;h4&gt;",K281))),U281+V281,T281+V281)</f>
        <v>45941</v>
      </c>
      <c r="Z281" t="str">
        <f ca="1">CONCATENATE(IF(OR(Y281=X281,ISBLANK(Y281)),TEXT(X281,"mmmm d"),CONCATENATE(TEXT(X281,"mmmm d"),"-",IF(TEXT(X281,"mmmm")=TEXT(Y281,"mmmm"),TEXT(Y281,"d"),TEXT(Y281,"mmmm d")))),", ",YEAR(Y281))</f>
        <v>October 11, 2025</v>
      </c>
      <c r="AA281" s="7">
        <f>O281</f>
        <v>44936</v>
      </c>
      <c r="AB281" s="14">
        <f>T281+V281-(W281-1)</f>
        <v>45941</v>
      </c>
      <c r="AC281" t="s">
        <v>1372</v>
      </c>
      <c r="AD281" s="23" t="str">
        <f ca="1">CONCATENATE("&lt;add-to-calendar-button  name=",CHAR(34),H281,CHAR(34),
IF(ISBLANK(M281),"",CONCATENATE("   location=",CHAR(34),RIGHT(M281,LEN(M281)-SEARCH("|",M281)-1),CHAR(34))),
"   description=",CHAR(34),IF(ISBLANK(I281),"",CONCATENATE(I281,"; ")),"shapenotesingings.com",CHAR(34),
"   options=",CHAR(34),"'Apple','Google','iCal','Outlook.com'",CHAR(34),"   styleLight=",CHAR(34),"--btn-background: #550000; --btn-text: #fff; --btn-shadow:#fff;",CHAR(34),
IF(W281=1,CONCATENATE(
"startDate=",CHAR(34),TEXT(G281,"yyyy-mm-dd"),CHAR(34),
"{endDate=",CHAR(34),TEXT(G281,"yyyy-mm-dd"),CHAR(34),
IF(OR(ISBLANK(AE281),ISBLANK(AF281)),"",(CONCATENATE(" startTime=",CHAR(34),TEXT(AE281,"hh:mm"),CHAR(34)," endTime=",CHAR(34),TEXT(AF281,"h:mm"),CHAR(34),
" timeZone=",CHAR(34),AG281,CHAR(34))))),
IF(W281=2,CONCATENATE(" dates='[{",
CHAR(34),"startDate",CHAR(34),":",CHAR(34),TEXT(G281,"yyyy-mm-dd"),CHAR(34),", ",
,CHAR(34),"endDate",CHAR(34),":",CHAR(34),TEXT(G281,"yyyy-mm-dd"),CHAR(34),
IF(OR(ISBLANK(AE281),ISBLANK(AF281)),"",(CONCATENATE(", ",CHAR(34),"startTime",CHAR(34),":",CHAR(34),TEXT(AE281,"hh:mm"),CHAR(34),", ",CHAR(34),"endTime",CHAR(34),":",CHAR(34),TEXT(AF281,"hh:mm"),CHAR(34),", ",CHAR(34),"timeZone",CHAR(34),":",CHAR(34),AG281,CHAR(34)))),"}, {",
,CHAR(34),"startDate",CHAR(34),":",CHAR(34),TEXT(G281+1,"yyyy-mm-dd"),CHAR(34),", ",
,CHAR(34),"endDate",CHAR(34),":",CHAR(34),TEXT(G281+W281-1,"yyyy-mm-dd"),CHAR(34),
IF(OR(ISBLANK(AE281),ISBLANK(AF281)),"",(CONCATENATE(", ",CHAR(34),"startTime",CHAR(34),":",CHAR(34),TEXT(AE281,"hh:mm"),CHAR(34),", ",CHAR(34),"endTime",CHAR(34),":",CHAR(34),TEXT(AF281,"hh:mm"),CHAR(34),", ",CHAR(34),"timeZone",CHAR(34),":",CHAR(34),AG281,CHAR(34)))),"}]'"),
CONCATENATE(
"{  startDate=",CHAR(34),TEXT(G281,"yyyy-mm-dd"),CHAR(34),
"  endDate=",CHAR(34),TEXT(G281+W281-1,"yyyy-mm-dd"),CHAR(34),"}"))),
" &gt;&lt;/add-to-calendar-button&gt;")</f>
        <v>&lt;add-to-calendar-button  name="Taylor United Methodist Church Singing"   location="Taylor UMC, 11 Main St, Taylor, MS 38673"   description="10am; shapenotesingings.com"   options="'Apple','Google','iCal','Outlook.com'"   styleLight="--btn-background: #550000; --btn-text: #fff; --btn-shadow:#fff;"startDate="2025-10-11"{endDate="2025-10-11" startTime="10:00" endTime="15:00" timeZone="America/Chicago" &gt;&lt;/add-to-calendar-button&gt;</v>
      </c>
      <c r="AE281" s="24">
        <v>0.41666666666666669</v>
      </c>
      <c r="AF281" s="24">
        <v>0.625</v>
      </c>
      <c r="AG281" s="25" t="s">
        <v>1533</v>
      </c>
    </row>
    <row r="282" spans="1:33" x14ac:dyDescent="0.3">
      <c r="A282" t="s">
        <v>144</v>
      </c>
      <c r="B282" t="s">
        <v>144</v>
      </c>
      <c r="C282" t="s">
        <v>1162</v>
      </c>
      <c r="D282" t="s">
        <v>1595</v>
      </c>
      <c r="E282" t="s">
        <v>2183</v>
      </c>
      <c r="F282" t="s">
        <v>2229</v>
      </c>
      <c r="G282" s="7">
        <f ca="1">X282</f>
        <v>45941</v>
      </c>
      <c r="H282" s="5" t="s">
        <v>1596</v>
      </c>
      <c r="I282" t="s">
        <v>1101</v>
      </c>
      <c r="J282" s="36" t="s">
        <v>2983</v>
      </c>
      <c r="K282" t="s">
        <v>2230</v>
      </c>
      <c r="L282" t="s">
        <v>2228</v>
      </c>
      <c r="M282" s="16" t="s">
        <v>1597</v>
      </c>
      <c r="N282" s="16" t="s">
        <v>1598</v>
      </c>
      <c r="O282" s="7">
        <v>45067</v>
      </c>
      <c r="P282" s="7" t="s">
        <v>1599</v>
      </c>
      <c r="Q282" s="18">
        <v>10</v>
      </c>
      <c r="R282" s="18">
        <v>2</v>
      </c>
      <c r="S282" s="18">
        <v>1</v>
      </c>
      <c r="T282" s="4">
        <f>DATE(AI$2,$Q282,1+(($R282-($S282&gt;=WEEKDAY(DATE(AI$2,$Q282,1))))*7)+($S282-WEEKDAY(DATE(AI$2,$Q282,1))))</f>
        <v>45942</v>
      </c>
      <c r="U282" s="4">
        <f>DATE(AJ$2,$Q282,1+(($R282-($S282&gt;=WEEKDAY(DATE(AJ$2,$Q282,1))))*7)+($S282-WEEKDAY(DATE(AJ$2,$Q282,1))))</f>
        <v>46306</v>
      </c>
      <c r="V282" s="20">
        <v>0</v>
      </c>
      <c r="W282" s="20">
        <v>2</v>
      </c>
      <c r="X282" s="4">
        <f ca="1">Y282-(W282-1)</f>
        <v>45941</v>
      </c>
      <c r="Y282" s="5">
        <f ca="1">IF(OR(T282+V282&lt;(NOW()-0.5),ISNUMBER(SEARCH("&lt;h4&gt;",K282))),U282+V282,T282+V282)</f>
        <v>45942</v>
      </c>
      <c r="Z282" t="str">
        <f ca="1">CONCATENATE(IF(OR(Y282=X282,ISBLANK(Y282)),TEXT(X282,"mmmm d"),CONCATENATE(TEXT(X282,"mmmm d"),"-",IF(TEXT(X282,"mmmm")=TEXT(Y282,"mmmm"),TEXT(Y282,"d"),TEXT(Y282,"mmmm d")))),", ",YEAR(Y282))</f>
        <v>October 11-12, 2025</v>
      </c>
      <c r="AA282" s="7">
        <f>O282</f>
        <v>45067</v>
      </c>
      <c r="AB282" s="14">
        <f>T282+V282-(W282-1)</f>
        <v>45941</v>
      </c>
      <c r="AC282" t="s">
        <v>1600</v>
      </c>
      <c r="AD282" s="23" t="str">
        <f ca="1">CONCATENATE("&lt;add-to-calendar-button  name=",CHAR(34),H282,CHAR(34),
IF(ISBLANK(M282),"",CONCATENATE("   location=",CHAR(34),RIGHT(M282,LEN(M282)-SEARCH("|",M282)-1),CHAR(34))),
"   description=",CHAR(34),IF(ISBLANK(I282),"",CONCATENATE(I282,"; ")),"shapenotesingings.com",CHAR(34),
"   options=",CHAR(34),"'Apple','Google','iCal','Outlook.com'",CHAR(34),"   styleLight=",CHAR(34),"--btn-background: #550000; --btn-text: #fff; --btn-shadow:#fff;",CHAR(34),
IF(W282=1,CONCATENATE(
"startDate=",CHAR(34),TEXT(G282,"yyyy-mm-dd"),CHAR(34),
"{endDate=",CHAR(34),TEXT(G282,"yyyy-mm-dd"),CHAR(34),
IF(OR(ISBLANK(AE282),ISBLANK(AF282)),"",(CONCATENATE(" startTime=",CHAR(34),TEXT(AE282,"hh:mm"),CHAR(34)," endTime=",CHAR(34),TEXT(AF282,"h:mm"),CHAR(34),
" timeZone=",CHAR(34),AG282,CHAR(34))))),
IF(W282=2,CONCATENATE(" dates='[{",
CHAR(34),"startDate",CHAR(34),":",CHAR(34),TEXT(G282,"yyyy-mm-dd"),CHAR(34),", ",
,CHAR(34),"endDate",CHAR(34),":",CHAR(34),TEXT(G282,"yyyy-mm-dd"),CHAR(34),
IF(OR(ISBLANK(AE282),ISBLANK(AF282)),"",(CONCATENATE(", ",CHAR(34),"startTime",CHAR(34),":",CHAR(34),TEXT(AE282,"hh:mm"),CHAR(34),", ",CHAR(34),"endTime",CHAR(34),":",CHAR(34),TEXT(AF282,"hh:mm"),CHAR(34),", ",CHAR(34),"timeZone",CHAR(34),":",CHAR(34),AG282,CHAR(34)))),"}, {",
,CHAR(34),"startDate",CHAR(34),":",CHAR(34),TEXT(G282+1,"yyyy-mm-dd"),CHAR(34),", ",
,CHAR(34),"endDate",CHAR(34),":",CHAR(34),TEXT(G282+W282-1,"yyyy-mm-dd"),CHAR(34),
IF(OR(ISBLANK(AE282),ISBLANK(AF282)),"",(CONCATENATE(", ",CHAR(34),"startTime",CHAR(34),":",CHAR(34),TEXT(AE282,"hh:mm"),CHAR(34),", ",CHAR(34),"endTime",CHAR(34),":",CHAR(34),TEXT(AF282,"hh:mm"),CHAR(34),", ",CHAR(34),"timeZone",CHAR(34),":",CHAR(34),AG282,CHAR(34)))),"}]'"),
CONCATENATE(
"{  startDate=",CHAR(34),TEXT(G282,"yyyy-mm-dd"),CHAR(34),
"  endDate=",CHAR(34),TEXT(G282+W282-1,"yyyy-mm-dd"),CHAR(34),"}"))),
" &gt;&lt;/add-to-calendar-button&gt;")</f>
        <v>&lt;add-to-calendar-button  name="Manchester Singing"   location="Withington Methodist Church, 439 Wilmslow Rd, Withington, Manchester M20 4AN, United Kingdom"   description="10am-4pm; shapenotesingings.com"   options="'Apple','Google','iCal','Outlook.com'"   styleLight="--btn-background: #550000; --btn-text: #fff; --btn-shadow:#fff;" dates='[{"startDate":"2025-10-11", "endDate":"2025-10-11", "startTime":"10:30", "endTime":"16:00", "timeZone":"Europe/London"}, {"startDate":"2025-10-12", "endDate":"2025-10-12", "startTime":"10:30", "endTime":"16:00", "timeZone":"Europe/London"}]' &gt;&lt;/add-to-calendar-button&gt;</v>
      </c>
      <c r="AE282" s="24">
        <v>0.4375</v>
      </c>
      <c r="AF282" s="24">
        <v>0.66666666666666663</v>
      </c>
      <c r="AG282" s="25" t="s">
        <v>1535</v>
      </c>
    </row>
    <row r="283" spans="1:33" x14ac:dyDescent="0.3">
      <c r="A283" t="s">
        <v>8</v>
      </c>
      <c r="B283" t="s">
        <v>17</v>
      </c>
      <c r="C283" t="s">
        <v>1140</v>
      </c>
      <c r="D283" t="s">
        <v>155</v>
      </c>
      <c r="E283" t="s">
        <v>2178</v>
      </c>
      <c r="F283" t="s">
        <v>1025</v>
      </c>
      <c r="G283" s="7">
        <f ca="1">X283</f>
        <v>45942</v>
      </c>
      <c r="H283" s="5" t="s">
        <v>873</v>
      </c>
      <c r="I283" s="27" t="s">
        <v>1028</v>
      </c>
      <c r="J283" s="37" t="s">
        <v>2984</v>
      </c>
      <c r="L283" t="s">
        <v>2317</v>
      </c>
      <c r="M283" s="16" t="s">
        <v>1026</v>
      </c>
      <c r="N283" s="16" t="s">
        <v>129</v>
      </c>
      <c r="O283" s="7">
        <v>44936</v>
      </c>
      <c r="P283" s="7" t="s">
        <v>926</v>
      </c>
      <c r="Q283" s="18">
        <v>10</v>
      </c>
      <c r="R283" s="18">
        <v>2</v>
      </c>
      <c r="S283" s="18">
        <v>1</v>
      </c>
      <c r="T283" s="4">
        <f>DATE(AI$2,$Q283,1+(($R283-($S283&gt;=WEEKDAY(DATE(AI$2,$Q283,1))))*7)+($S283-WEEKDAY(DATE(AI$2,$Q283,1))))</f>
        <v>45942</v>
      </c>
      <c r="U283" s="4">
        <f>DATE(AJ$2,$Q283,1+(($R283-($S283&gt;=WEEKDAY(DATE(AJ$2,$Q283,1))))*7)+($S283-WEEKDAY(DATE(AJ$2,$Q283,1))))</f>
        <v>46306</v>
      </c>
      <c r="V283" s="20">
        <v>0</v>
      </c>
      <c r="W283" s="20">
        <v>1</v>
      </c>
      <c r="X283" s="4">
        <f ca="1">Y283-(W283-1)</f>
        <v>45942</v>
      </c>
      <c r="Y283" s="5">
        <f ca="1">IF(OR(T283+V283&lt;(NOW()-0.5),ISNUMBER(SEARCH("&lt;h4&gt;",K283))),U283+V283,T283+V283)</f>
        <v>45942</v>
      </c>
      <c r="Z283" t="str">
        <f ca="1">CONCATENATE(IF(OR(Y283=X283,ISBLANK(Y283)),TEXT(X283,"mmmm d"),CONCATENATE(TEXT(X283,"mmmm d"),"-",IF(TEXT(X283,"mmmm")=TEXT(Y283,"mmmm"),TEXT(Y283,"d"),TEXT(Y283,"mmmm d")))),", ",YEAR(Y283))</f>
        <v>October 12, 2025</v>
      </c>
      <c r="AA283" s="7">
        <f>O283</f>
        <v>44936</v>
      </c>
      <c r="AB283" s="14">
        <f>T283+V283-(W283-1)</f>
        <v>45942</v>
      </c>
      <c r="AC283" t="s">
        <v>1193</v>
      </c>
      <c r="AD283" s="23" t="str">
        <f ca="1">CONCATENATE("&lt;add-to-calendar-button  name=",CHAR(34),H283,CHAR(34),
IF(ISBLANK(M283),"",CONCATENATE("   location=",CHAR(34),RIGHT(M283,LEN(M283)-SEARCH("|",M283)-1),CHAR(34))),
"   description=",CHAR(34),IF(ISBLANK(I283),"",CONCATENATE(I283,"; ")),"shapenotesingings.com",CHAR(34),
"   options=",CHAR(34),"'Apple','Google','iCal','Outlook.com'",CHAR(34),"   styleLight=",CHAR(34),"--btn-background: #550000; --btn-text: #fff; --btn-shadow:#fff;",CHAR(34),
IF(W283=1,CONCATENATE(
"startDate=",CHAR(34),TEXT(G283,"yyyy-mm-dd"),CHAR(34),
"{endDate=",CHAR(34),TEXT(G283,"yyyy-mm-dd"),CHAR(34),
IF(OR(ISBLANK(AE283),ISBLANK(AF283)),"",(CONCATENATE(" startTime=",CHAR(34),TEXT(AE283,"hh:mm"),CHAR(34)," endTime=",CHAR(34),TEXT(AF283,"h:mm"),CHAR(34),
" timeZone=",CHAR(34),AG283,CHAR(34))))),
IF(W283=2,CONCATENATE(" dates='[{",
CHAR(34),"startDate",CHAR(34),":",CHAR(34),TEXT(G283,"yyyy-mm-dd"),CHAR(34),", ",
,CHAR(34),"endDate",CHAR(34),":",CHAR(34),TEXT(G283,"yyyy-mm-dd"),CHAR(34),
IF(OR(ISBLANK(AE283),ISBLANK(AF283)),"",(CONCATENATE(", ",CHAR(34),"startTime",CHAR(34),":",CHAR(34),TEXT(AE283,"hh:mm"),CHAR(34),", ",CHAR(34),"endTime",CHAR(34),":",CHAR(34),TEXT(AF283,"hh:mm"),CHAR(34),", ",CHAR(34),"timeZone",CHAR(34),":",CHAR(34),AG283,CHAR(34)))),"}, {",
,CHAR(34),"startDate",CHAR(34),":",CHAR(34),TEXT(G283+1,"yyyy-mm-dd"),CHAR(34),", ",
,CHAR(34),"endDate",CHAR(34),":",CHAR(34),TEXT(G283+W283-1,"yyyy-mm-dd"),CHAR(34),
IF(OR(ISBLANK(AE283),ISBLANK(AF283)),"",(CONCATENATE(", ",CHAR(34),"startTime",CHAR(34),":",CHAR(34),TEXT(AE283,"hh:mm"),CHAR(34),", ",CHAR(34),"endTime",CHAR(34),":",CHAR(34),TEXT(AF283,"hh:mm"),CHAR(34),", ",CHAR(34),"timeZone",CHAR(34),":",CHAR(34),AG283,CHAR(34)))),"}]'"),
CONCATENATE(
"{  startDate=",CHAR(34),TEXT(G283,"yyyy-mm-dd"),CHAR(34),
"  endDate=",CHAR(34),TEXT(G283+W283-1,"yyyy-mm-dd"),CHAR(34),"}"))),
" &gt;&lt;/add-to-calendar-button&gt;")</f>
        <v>&lt;add-to-calendar-button  name="Albright, Cates, Brown, and Sheppard Memorial"   location="Holly Springs Primitive Baptist Church, 760 Holly Springs Rd, Carrollton, GA 30117"   description="10am; shapenotesingings.com"   options="'Apple','Google','iCal','Outlook.com'"   styleLight="--btn-background: #550000; --btn-text: #fff; --btn-shadow:#fff;"startDate="2025-10-12"{endDate="2025-10-12" startTime="10:00" endTime="15:00" timeZone="America/New_York" &gt;&lt;/add-to-calendar-button&gt;</v>
      </c>
      <c r="AE283" s="24">
        <v>0.41666666666666669</v>
      </c>
      <c r="AF283" s="24">
        <v>0.625</v>
      </c>
      <c r="AG283" s="25" t="s">
        <v>1532</v>
      </c>
    </row>
    <row r="284" spans="1:33" x14ac:dyDescent="0.3">
      <c r="A284" t="s">
        <v>8</v>
      </c>
      <c r="B284" t="s">
        <v>11</v>
      </c>
      <c r="C284" t="s">
        <v>1134</v>
      </c>
      <c r="D284" t="s">
        <v>2199</v>
      </c>
      <c r="E284" t="s">
        <v>1435</v>
      </c>
      <c r="F284" t="s">
        <v>2430</v>
      </c>
      <c r="G284" s="7">
        <f ca="1">X284</f>
        <v>45948</v>
      </c>
      <c r="H284" s="5" t="s">
        <v>2205</v>
      </c>
      <c r="I284" t="s">
        <v>2204</v>
      </c>
      <c r="J284" s="36" t="s">
        <v>2626</v>
      </c>
      <c r="L284" t="s">
        <v>2207</v>
      </c>
      <c r="M284" s="16" t="s">
        <v>2201</v>
      </c>
      <c r="N284" s="16" t="s">
        <v>2202</v>
      </c>
      <c r="O284" s="7">
        <v>45644</v>
      </c>
      <c r="P284" s="7" t="s">
        <v>2429</v>
      </c>
      <c r="Q284" s="18">
        <v>10</v>
      </c>
      <c r="R284" s="18">
        <v>3</v>
      </c>
      <c r="S284" s="18">
        <v>7</v>
      </c>
      <c r="T284" s="4">
        <f>DATE(AI$2,$Q284,1+(($R284-($S284&gt;=WEEKDAY(DATE(AI$2,$Q284,1))))*7)+($S284-WEEKDAY(DATE(AI$2,$Q284,1))))</f>
        <v>45948</v>
      </c>
      <c r="U284" s="4">
        <f>DATE(AJ$2,$Q284,1+(($R284-($S284&gt;=WEEKDAY(DATE(AJ$2,$Q284,1))))*7)+($S284-WEEKDAY(DATE(AJ$2,$Q284,1))))</f>
        <v>46312</v>
      </c>
      <c r="V284" s="20">
        <v>0</v>
      </c>
      <c r="W284" s="20">
        <v>1</v>
      </c>
      <c r="X284" s="4">
        <f ca="1">Y284-(W284-1)</f>
        <v>45948</v>
      </c>
      <c r="Y284" s="5">
        <f ca="1">IF(OR(T284+V284&lt;(NOW()-0.5),ISNUMBER(SEARCH("&lt;h4&gt;",K284))),U284+V284,T284+V284)</f>
        <v>45948</v>
      </c>
      <c r="Z284" t="str">
        <f ca="1">CONCATENATE(IF(OR(Y284=X284,ISBLANK(Y284)),TEXT(X284,"mmmm d"),CONCATENATE(TEXT(X284,"mmmm d"),"-",IF(TEXT(X284,"mmmm")=TEXT(Y284,"mmmm"),TEXT(Y284,"d"),TEXT(Y284,"mmmm d")))),", ",YEAR(Y284))</f>
        <v>October 18, 2025</v>
      </c>
      <c r="AA284" s="7">
        <f>O284</f>
        <v>45644</v>
      </c>
      <c r="AB284" s="14">
        <f>T284+V284-(W284-1)</f>
        <v>45948</v>
      </c>
      <c r="AC284" t="s">
        <v>2203</v>
      </c>
      <c r="AD284" s="23" t="str">
        <f ca="1">CONCATENATE("&lt;add-to-calendar-button  name=",CHAR(34),H284,CHAR(34),
IF(ISBLANK(M284),"",CONCATENATE("   location=",CHAR(34),RIGHT(M284,LEN(M284)-SEARCH("|",M284)-1),CHAR(34))),
"   description=",CHAR(34),IF(ISBLANK(I284),"",CONCATENATE(I284,"; ")),"shapenotesingings.com",CHAR(34),
"   options=",CHAR(34),"'Apple','Google','iCal','Outlook.com'",CHAR(34),"   styleLight=",CHAR(34),"--btn-background: #550000; --btn-text: #fff; --btn-shadow:#fff;",CHAR(34),
IF(W284=1,CONCATENATE(
"startDate=",CHAR(34),TEXT(G284,"yyyy-mm-dd"),CHAR(34),
"{endDate=",CHAR(34),TEXT(G284,"yyyy-mm-dd"),CHAR(34),
IF(OR(ISBLANK(AE284),ISBLANK(AF284)),"",(CONCATENATE(" startTime=",CHAR(34),TEXT(AE284,"hh:mm"),CHAR(34)," endTime=",CHAR(34),TEXT(AF284,"h:mm"),CHAR(34),
" timeZone=",CHAR(34),AG284,CHAR(34))))),
IF(W284=2,CONCATENATE(" dates='[{",
CHAR(34),"startDate",CHAR(34),":",CHAR(34),TEXT(G284,"yyyy-mm-dd"),CHAR(34),", ",
,CHAR(34),"endDate",CHAR(34),":",CHAR(34),TEXT(G284,"yyyy-mm-dd"),CHAR(34),
IF(OR(ISBLANK(AE284),ISBLANK(AF284)),"",(CONCATENATE(", ",CHAR(34),"startTime",CHAR(34),":",CHAR(34),TEXT(AE284,"hh:mm"),CHAR(34),", ",CHAR(34),"endTime",CHAR(34),":",CHAR(34),TEXT(AF284,"hh:mm"),CHAR(34),", ",CHAR(34),"timeZone",CHAR(34),":",CHAR(34),AG284,CHAR(34)))),"}, {",
,CHAR(34),"startDate",CHAR(34),":",CHAR(34),TEXT(G284+1,"yyyy-mm-dd"),CHAR(34),", ",
,CHAR(34),"endDate",CHAR(34),":",CHAR(34),TEXT(G284+W284-1,"yyyy-mm-dd"),CHAR(34),
IF(OR(ISBLANK(AE284),ISBLANK(AF284)),"",(CONCATENATE(", ",CHAR(34),"startTime",CHAR(34),":",CHAR(34),TEXT(AE284,"hh:mm"),CHAR(34),", ",CHAR(34),"endTime",CHAR(34),":",CHAR(34),TEXT(AF284,"hh:mm"),CHAR(34),", ",CHAR(34),"timeZone",CHAR(34),":",CHAR(34),AG284,CHAR(34)))),"}]'"),
CONCATENATE(
"{  startDate=",CHAR(34),TEXT(G284,"yyyy-mm-dd"),CHAR(34),
"  endDate=",CHAR(34),TEXT(G284+W284-1,"yyyy-mm-dd"),CHAR(34),"}"))),
" &gt;&lt;/add-to-calendar-button&gt;")</f>
        <v>&lt;add-to-calendar-button  name="Shiloh October Singing"   location="33.013635, -87.389662, Shiloh Methodist Church, Lake Payne Road, Duncanville AL 35456"   description="10am-2pm; shapenotesingings.com"   options="'Apple','Google','iCal','Outlook.com'"   styleLight="--btn-background: #550000; --btn-text: #fff; --btn-shadow:#fff;"startDate="2025-10-18"{endDate="2025-10-18" startTime="10:00" endTime="14:00" timeZone="America/Chicago" &gt;&lt;/add-to-calendar-button&gt;</v>
      </c>
      <c r="AE284" s="24">
        <v>0.41666666666666669</v>
      </c>
      <c r="AF284" s="24">
        <v>0.58333333333333337</v>
      </c>
      <c r="AG284" s="25" t="s">
        <v>1533</v>
      </c>
    </row>
    <row r="285" spans="1:33" x14ac:dyDescent="0.3">
      <c r="A285" t="s">
        <v>8</v>
      </c>
      <c r="B285" t="s">
        <v>273</v>
      </c>
      <c r="C285" t="s">
        <v>1160</v>
      </c>
      <c r="D285" t="s">
        <v>274</v>
      </c>
      <c r="E285" t="s">
        <v>2178</v>
      </c>
      <c r="F285" t="s">
        <v>60</v>
      </c>
      <c r="G285" s="7">
        <f ca="1">X285</f>
        <v>45948</v>
      </c>
      <c r="H285" s="5" t="s">
        <v>679</v>
      </c>
      <c r="I285" t="s">
        <v>1040</v>
      </c>
      <c r="J285" s="36" t="s">
        <v>2985</v>
      </c>
      <c r="L285" t="s">
        <v>2283</v>
      </c>
      <c r="M285" s="16" t="s">
        <v>680</v>
      </c>
      <c r="N285" s="16" t="s">
        <v>681</v>
      </c>
      <c r="O285" s="7">
        <v>45187</v>
      </c>
      <c r="P285" s="7" t="s">
        <v>2003</v>
      </c>
      <c r="Q285" s="18">
        <v>10</v>
      </c>
      <c r="R285" s="18">
        <v>3</v>
      </c>
      <c r="S285" s="18">
        <v>1</v>
      </c>
      <c r="T285" s="4">
        <f>DATE(AI$2,$Q285,1+(($R285-($S285&gt;=WEEKDAY(DATE(AI$2,$Q285,1))))*7)+($S285-WEEKDAY(DATE(AI$2,$Q285,1))))</f>
        <v>45949</v>
      </c>
      <c r="U285" s="4">
        <f>DATE(AJ$2,$Q285,1+(($R285-($S285&gt;=WEEKDAY(DATE(AJ$2,$Q285,1))))*7)+($S285-WEEKDAY(DATE(AJ$2,$Q285,1))))</f>
        <v>46313</v>
      </c>
      <c r="V285" s="20">
        <v>-1</v>
      </c>
      <c r="W285" s="20">
        <v>1</v>
      </c>
      <c r="X285" s="4">
        <f ca="1">Y285-(W285-1)</f>
        <v>45948</v>
      </c>
      <c r="Y285" s="5">
        <f ca="1">IF(OR(T285+V285&lt;(NOW()-0.5),ISNUMBER(SEARCH("&lt;h4&gt;",K285))),U285+V285,T285+V285)</f>
        <v>45948</v>
      </c>
      <c r="Z285" t="str">
        <f ca="1">CONCATENATE(IF(OR(Y285=X285,ISBLANK(Y285)),TEXT(X285,"mmmm d"),CONCATENATE(TEXT(X285,"mmmm d"),"-",IF(TEXT(X285,"mmmm")=TEXT(Y285,"mmmm"),TEXT(Y285,"d"),TEXT(Y285,"mmmm d")))),", ",YEAR(Y285))</f>
        <v>October 18, 2025</v>
      </c>
      <c r="AA285" s="7">
        <f>O285</f>
        <v>45187</v>
      </c>
      <c r="AB285" s="14">
        <f>T285+V285-(W285-1)</f>
        <v>45948</v>
      </c>
      <c r="AC285" t="s">
        <v>1373</v>
      </c>
      <c r="AD285" s="23" t="str">
        <f ca="1">CONCATENATE("&lt;add-to-calendar-button  name=",CHAR(34),H285,CHAR(34),
IF(ISBLANK(M285),"",CONCATENATE("   location=",CHAR(34),RIGHT(M285,LEN(M285)-SEARCH("|",M285)-1),CHAR(34))),
"   description=",CHAR(34),IF(ISBLANK(I285),"",CONCATENATE(I285,"; ")),"shapenotesingings.com",CHAR(34),
"   options=",CHAR(34),"'Apple','Google','iCal','Outlook.com'",CHAR(34),"   styleLight=",CHAR(34),"--btn-background: #550000; --btn-text: #fff; --btn-shadow:#fff;",CHAR(34),
IF(W285=1,CONCATENATE(
"startDate=",CHAR(34),TEXT(G285,"yyyy-mm-dd"),CHAR(34),
"{endDate=",CHAR(34),TEXT(G285,"yyyy-mm-dd"),CHAR(34),
IF(OR(ISBLANK(AE285),ISBLANK(AF285)),"",(CONCATENATE(" startTime=",CHAR(34),TEXT(AE285,"hh:mm"),CHAR(34)," endTime=",CHAR(34),TEXT(AF285,"h:mm"),CHAR(34),
" timeZone=",CHAR(34),AG285,CHAR(34))))),
IF(W285=2,CONCATENATE(" dates='[{",
CHAR(34),"startDate",CHAR(34),":",CHAR(34),TEXT(G285,"yyyy-mm-dd"),CHAR(34),", ",
,CHAR(34),"endDate",CHAR(34),":",CHAR(34),TEXT(G285,"yyyy-mm-dd"),CHAR(34),
IF(OR(ISBLANK(AE285),ISBLANK(AF285)),"",(CONCATENATE(", ",CHAR(34),"startTime",CHAR(34),":",CHAR(34),TEXT(AE285,"hh:mm"),CHAR(34),", ",CHAR(34),"endTime",CHAR(34),":",CHAR(34),TEXT(AF285,"hh:mm"),CHAR(34),", ",CHAR(34),"timeZone",CHAR(34),":",CHAR(34),AG285,CHAR(34)))),"}, {",
,CHAR(34),"startDate",CHAR(34),":",CHAR(34),TEXT(G285+1,"yyyy-mm-dd"),CHAR(34),", ",
,CHAR(34),"endDate",CHAR(34),":",CHAR(34),TEXT(G285+W285-1,"yyyy-mm-dd"),CHAR(34),
IF(OR(ISBLANK(AE285),ISBLANK(AF285)),"",(CONCATENATE(", ",CHAR(34),"startTime",CHAR(34),":",CHAR(34),TEXT(AE285,"hh:mm"),CHAR(34),", ",CHAR(34),"endTime",CHAR(34),":",CHAR(34),TEXT(AF285,"hh:mm"),CHAR(34),", ",CHAR(34),"timeZone",CHAR(34),":",CHAR(34),AG285,CHAR(34)))),"}]'"),
CONCATENATE(
"{  startDate=",CHAR(34),TEXT(G285,"yyyy-mm-dd"),CHAR(34),
"  endDate=",CHAR(34),TEXT(G285+W285-1,"yyyy-mm-dd"),CHAR(34),"}"))),
" &gt;&lt;/add-to-calendar-button&gt;")</f>
        <v>&lt;add-to-calendar-button  name="Tennessee State Sacred Harp Singing"   location="Arlington UMC, 1360 Murfreesboro Pike, Nashville, TN 37217"   description="9:30am; shapenotesingings.com"   options="'Apple','Google','iCal','Outlook.com'"   styleLight="--btn-background: #550000; --btn-text: #fff; --btn-shadow:#fff;"startDate="2025-10-18"{endDate="2025-10-18" startTime="09:30" endTime="15:00" timeZone="America/Chicago" &gt;&lt;/add-to-calendar-button&gt;</v>
      </c>
      <c r="AE285" s="24">
        <v>0.39583333333333331</v>
      </c>
      <c r="AF285" s="24">
        <v>0.625</v>
      </c>
      <c r="AG285" s="25" t="s">
        <v>1533</v>
      </c>
    </row>
    <row r="286" spans="1:33" x14ac:dyDescent="0.3">
      <c r="A286" t="s">
        <v>23</v>
      </c>
      <c r="B286" t="s">
        <v>478</v>
      </c>
      <c r="D286" t="s">
        <v>24</v>
      </c>
      <c r="E286" t="s">
        <v>2178</v>
      </c>
      <c r="F286" t="s">
        <v>60</v>
      </c>
      <c r="G286" s="7">
        <f ca="1">X286</f>
        <v>45948</v>
      </c>
      <c r="H286" s="5" t="s">
        <v>1874</v>
      </c>
      <c r="I286" t="s">
        <v>1052</v>
      </c>
      <c r="J286" s="36" t="s">
        <v>2986</v>
      </c>
      <c r="K286" t="s">
        <v>1875</v>
      </c>
      <c r="L286" t="s">
        <v>1741</v>
      </c>
      <c r="O286" s="7">
        <v>45600</v>
      </c>
      <c r="P286" s="7" t="s">
        <v>2383</v>
      </c>
      <c r="Q286" s="18">
        <v>10</v>
      </c>
      <c r="R286" s="18">
        <v>3</v>
      </c>
      <c r="S286" s="18">
        <v>1</v>
      </c>
      <c r="T286" s="4">
        <f>DATE('Annual Singings'!AI$2,$Q286,1+(($R286-($S286&gt;=WEEKDAY(DATE('Annual Singings'!AI$2,$Q286,1))))*7)+($S286-WEEKDAY(DATE('Annual Singings'!AI$2,$Q286,1))))</f>
        <v>45949</v>
      </c>
      <c r="U286" s="4">
        <f>DATE('Annual Singings'!AJ$2,$Q286,1+(($R286-($S286&gt;=WEEKDAY(DATE('Annual Singings'!AJ$2,$Q286,1))))*7)+($S286-WEEKDAY(DATE('Annual Singings'!AJ$2,$Q286,1))))</f>
        <v>46313</v>
      </c>
      <c r="V286" s="20">
        <v>-1</v>
      </c>
      <c r="W286" s="20">
        <v>1</v>
      </c>
      <c r="X286" s="4">
        <f ca="1">Y286-(W286-1)</f>
        <v>45948</v>
      </c>
      <c r="Y286" s="5">
        <f ca="1">IF(OR(T286+V286&lt;(NOW()-0.5),ISNUMBER(SEARCH("&lt;h4&gt;",K286))),U286+V286,T286+V286)</f>
        <v>45948</v>
      </c>
      <c r="Z286" t="str">
        <f ca="1">CONCATENATE(IF(OR(Y286=X286,ISBLANK(Y286)),TEXT(X286,"mmmm d"),CONCATENATE(TEXT(X286,"mmmm d"),"-",IF(TEXT(X286,"mmmm")=TEXT(Y286,"mmmm"),TEXT(Y286,"d"),TEXT(Y286,"mmmm d")))),", ",YEAR(Y286))</f>
        <v>October 18, 2025</v>
      </c>
      <c r="AA286" s="7">
        <f>O286</f>
        <v>45600</v>
      </c>
      <c r="AB286" s="14">
        <f>T286+V286-(W286-1)</f>
        <v>45948</v>
      </c>
      <c r="AD286" s="23" t="str">
        <f ca="1">CONCATENATE("&lt;add-to-calendar-button  name=",CHAR(34),H286,CHAR(34),
IF(ISBLANK(M286),"",CONCATENATE("   location=",CHAR(34),RIGHT(M286,LEN(M286)-SEARCH("|",M286)-1),CHAR(34))),
"   description=",CHAR(34),IF(ISBLANK(I286),"",CONCATENATE(I286,"; ")),"shapenotesingings.com",CHAR(34),
"   options=",CHAR(34),"'Apple','Google','iCal','Outlook.com'",CHAR(34),"   styleLight=",CHAR(34),"--btn-background: #550000; --btn-text: #fff; --btn-shadow:#fff;",CHAR(34),
IF(W286=1,CONCATENATE(
"startDate=",CHAR(34),TEXT(G286,"yyyy-mm-dd"),CHAR(34),
"{endDate=",CHAR(34),TEXT(G286,"yyyy-mm-dd"),CHAR(34),
IF(OR(ISBLANK(AE286),ISBLANK(AF286)),"",(CONCATENATE(" startTime=",CHAR(34),TEXT(AE286,"hh:mm"),CHAR(34)," endTime=",CHAR(34),TEXT(AF286,"h:mm"),CHAR(34),
" timeZone=",CHAR(34),AG286,CHAR(34))))),
IF(W286=2,CONCATENATE(" dates='[{",
CHAR(34),"startDate",CHAR(34),":",CHAR(34),TEXT(G286,"yyyy-mm-dd"),CHAR(34),", ",
,CHAR(34),"endDate",CHAR(34),":",CHAR(34),TEXT(G286,"yyyy-mm-dd"),CHAR(34),
IF(OR(ISBLANK(AE286),ISBLANK(AF286)),"",(CONCATENATE(", ",CHAR(34),"startTime",CHAR(34),":",CHAR(34),TEXT(AE286,"hh:mm"),CHAR(34),", ",CHAR(34),"endTime",CHAR(34),":",CHAR(34),TEXT(AF286,"hh:mm"),CHAR(34),", ",CHAR(34),"timeZone",CHAR(34),":",CHAR(34),AG286,CHAR(34)))),"}, {",
,CHAR(34),"startDate",CHAR(34),":",CHAR(34),TEXT(G286+1,"yyyy-mm-dd"),CHAR(34),", ",
,CHAR(34),"endDate",CHAR(34),":",CHAR(34),TEXT(G286+W286-1,"yyyy-mm-dd"),CHAR(34),
IF(OR(ISBLANK(AE286),ISBLANK(AF286)),"",(CONCATENATE(", ",CHAR(34),"startTime",CHAR(34),":",CHAR(34),TEXT(AE286,"hh:mm"),CHAR(34),", ",CHAR(34),"endTime",CHAR(34),":",CHAR(34),TEXT(AF286,"hh:mm"),CHAR(34),", ",CHAR(34),"timeZone",CHAR(34),":",CHAR(34),AG286,CHAR(34)))),"}]'"),
CONCATENATE(
"{  startDate=",CHAR(34),TEXT(G286,"yyyy-mm-dd"),CHAR(34),
"  endDate=",CHAR(34),TEXT(G286+W286-1,"yyyy-mm-dd"),CHAR(34),"}"))),
" &gt;&lt;/add-to-calendar-button&gt;")</f>
        <v>&lt;add-to-calendar-button  name="France Singing"   description="10:30-4pm; shapenotesingings.com"   options="'Apple','Google','iCal','Outlook.com'"   styleLight="--btn-background: #550000; --btn-text: #fff; --btn-shadow:#fff;"startDate="2025-10-18"{endDate="2025-10-18" startTime="10:30" endTime="16:00" timeZone="Europe/Paris" &gt;&lt;/add-to-calendar-button&gt;</v>
      </c>
      <c r="AE286" s="24">
        <v>0.4375</v>
      </c>
      <c r="AF286" s="24">
        <v>0.66666666666666663</v>
      </c>
      <c r="AG286" s="25" t="s">
        <v>1545</v>
      </c>
    </row>
    <row r="287" spans="1:33" x14ac:dyDescent="0.3">
      <c r="A287" t="s">
        <v>8</v>
      </c>
      <c r="B287" t="s">
        <v>20</v>
      </c>
      <c r="C287" t="s">
        <v>1156</v>
      </c>
      <c r="D287" t="s">
        <v>21</v>
      </c>
      <c r="E287" t="s">
        <v>2178</v>
      </c>
      <c r="F287" t="s">
        <v>683</v>
      </c>
      <c r="G287" s="7">
        <f ca="1">X287</f>
        <v>45948</v>
      </c>
      <c r="H287" s="5" t="s">
        <v>22</v>
      </c>
      <c r="I287" t="s">
        <v>1048</v>
      </c>
      <c r="J287" s="36" t="s">
        <v>2987</v>
      </c>
      <c r="K287" t="s">
        <v>1815</v>
      </c>
      <c r="L287" t="s">
        <v>2284</v>
      </c>
      <c r="M287" s="16" t="s">
        <v>685</v>
      </c>
      <c r="N287" s="16" t="s">
        <v>686</v>
      </c>
      <c r="O287" s="7">
        <v>45524</v>
      </c>
      <c r="P287" t="s">
        <v>2231</v>
      </c>
      <c r="Q287" s="18">
        <v>10</v>
      </c>
      <c r="R287" s="18">
        <v>3</v>
      </c>
      <c r="S287" s="18">
        <v>1</v>
      </c>
      <c r="T287" s="4">
        <f>DATE(AI$2,$Q287,1+(($R287-($S287&gt;=WEEKDAY(DATE(AI$2,$Q287,1))))*7)+($S287-WEEKDAY(DATE(AI$2,$Q287,1))))</f>
        <v>45949</v>
      </c>
      <c r="U287" s="4">
        <f>DATE(AJ$2,$Q287,1+(($R287-($S287&gt;=WEEKDAY(DATE(AJ$2,$Q287,1))))*7)+($S287-WEEKDAY(DATE(AJ$2,$Q287,1))))</f>
        <v>46313</v>
      </c>
      <c r="V287" s="20">
        <v>0</v>
      </c>
      <c r="W287" s="20">
        <v>2</v>
      </c>
      <c r="X287" s="4">
        <f ca="1">Y287-(W287-1)</f>
        <v>45948</v>
      </c>
      <c r="Y287" s="5">
        <f ca="1">IF(OR(T287+V287&lt;(NOW()-0.5),ISNUMBER(SEARCH("&lt;h4&gt;",K287))),U287+V287,T287+V287)</f>
        <v>45949</v>
      </c>
      <c r="Z287" t="str">
        <f ca="1">CONCATENATE(IF(OR(Y287=X287,ISBLANK(Y287)),TEXT(X287,"mmmm d"),CONCATENATE(TEXT(X287,"mmmm d"),"-",IF(TEXT(X287,"mmmm")=TEXT(Y287,"mmmm"),TEXT(Y287,"d"),TEXT(Y287,"mmmm d")))),", ",YEAR(Y287))</f>
        <v>October 18-19, 2025</v>
      </c>
      <c r="AA287" s="7">
        <f>O287</f>
        <v>45524</v>
      </c>
      <c r="AB287" s="14">
        <f>T287+V287-(W287-1)</f>
        <v>45948</v>
      </c>
      <c r="AC287" t="s">
        <v>1260</v>
      </c>
      <c r="AD287" s="23" t="str">
        <f ca="1">CONCATENATE("&lt;add-to-calendar-button  name=",CHAR(34),H287,CHAR(34),
IF(ISBLANK(M287),"",CONCATENATE("   location=",CHAR(34),RIGHT(M287,LEN(M287)-SEARCH("|",M287)-1),CHAR(34))),
"   description=",CHAR(34),IF(ISBLANK(I287),"",CONCATENATE(I287,"; ")),"shapenotesingings.com",CHAR(34),
"   options=",CHAR(34),"'Apple','Google','iCal','Outlook.com'",CHAR(34),"   styleLight=",CHAR(34),"--btn-background: #550000; --btn-text: #fff; --btn-shadow:#fff;",CHAR(34),
IF(W287=1,CONCATENATE(
"startDate=",CHAR(34),TEXT(G287,"yyyy-mm-dd"),CHAR(34),
"{endDate=",CHAR(34),TEXT(G287,"yyyy-mm-dd"),CHAR(34),
IF(OR(ISBLANK(AE287),ISBLANK(AF287)),"",(CONCATENATE(" startTime=",CHAR(34),TEXT(AE287,"hh:mm"),CHAR(34)," endTime=",CHAR(34),TEXT(AF287,"h:mm"),CHAR(34),
" timeZone=",CHAR(34),AG287,CHAR(34))))),
IF(W287=2,CONCATENATE(" dates='[{",
CHAR(34),"startDate",CHAR(34),":",CHAR(34),TEXT(G287,"yyyy-mm-dd"),CHAR(34),", ",
,CHAR(34),"endDate",CHAR(34),":",CHAR(34),TEXT(G287,"yyyy-mm-dd"),CHAR(34),
IF(OR(ISBLANK(AE287),ISBLANK(AF287)),"",(CONCATENATE(", ",CHAR(34),"startTime",CHAR(34),":",CHAR(34),TEXT(AE287,"hh:mm"),CHAR(34),", ",CHAR(34),"endTime",CHAR(34),":",CHAR(34),TEXT(AF287,"hh:mm"),CHAR(34),", ",CHAR(34),"timeZone",CHAR(34),":",CHAR(34),AG287,CHAR(34)))),"}, {",
,CHAR(34),"startDate",CHAR(34),":",CHAR(34),TEXT(G287+1,"yyyy-mm-dd"),CHAR(34),", ",
,CHAR(34),"endDate",CHAR(34),":",CHAR(34),TEXT(G287+W287-1,"yyyy-mm-dd"),CHAR(34),
IF(OR(ISBLANK(AE287),ISBLANK(AF287)),"",(CONCATENATE(", ",CHAR(34),"startTime",CHAR(34),":",CHAR(34),TEXT(AE287,"hh:mm"),CHAR(34),", ",CHAR(34),"endTime",CHAR(34),":",CHAR(34),TEXT(AF287,"hh:mm"),CHAR(34),", ",CHAR(34),"timeZone",CHAR(34),":",CHAR(34),AG287,CHAR(34)))),"}]'"),
CONCATENATE(
"{  startDate=",CHAR(34),TEXT(G287,"yyyy-mm-dd"),CHAR(34),
"  endDate=",CHAR(34),TEXT(G287+W287-1,"yyyy-mm-dd"),CHAR(34),"}"))),
" &gt;&lt;/add-to-calendar-button&gt;")</f>
        <v>&lt;add-to-calendar-button  name="Pacific Northwest Sacred Harp Convention"   location="The Laurelhurst Club, 3721 SE Ankeny St, Portland, OR 97214"   description="9:30am-3pm; shapenotesingings.com"   options="'Apple','Google','iCal','Outlook.com'"   styleLight="--btn-background: #550000; --btn-text: #fff; --btn-shadow:#fff;" dates='[{"startDate":"2025-10-18", "endDate":"2025-10-18", "startTime":"09:30", "endTime":"15:00", "timeZone":"America/Los_Angeles"}, {"startDate":"2025-10-19", "endDate":"2025-10-19", "startTime":"09:30", "endTime":"15:00", "timeZone":"America/Los_Angeles"}]' &gt;&lt;/add-to-calendar-button&gt;</v>
      </c>
      <c r="AE287" s="24">
        <v>0.39583333333333331</v>
      </c>
      <c r="AF287" s="24">
        <v>0.625</v>
      </c>
      <c r="AG287" s="25" t="s">
        <v>1534</v>
      </c>
    </row>
    <row r="288" spans="1:33" x14ac:dyDescent="0.3">
      <c r="A288" t="s">
        <v>8</v>
      </c>
      <c r="B288" t="s">
        <v>11</v>
      </c>
      <c r="C288" t="s">
        <v>1134</v>
      </c>
      <c r="D288" t="s">
        <v>184</v>
      </c>
      <c r="E288" t="s">
        <v>34</v>
      </c>
      <c r="F288" t="s">
        <v>60</v>
      </c>
      <c r="G288" s="7">
        <f ca="1">X288</f>
        <v>45948</v>
      </c>
      <c r="H288" s="5" t="s">
        <v>843</v>
      </c>
      <c r="J288" s="36" t="s">
        <v>2988</v>
      </c>
      <c r="L288" t="s">
        <v>953</v>
      </c>
      <c r="M288" s="16" t="s">
        <v>999</v>
      </c>
      <c r="N288" s="16" t="s">
        <v>186</v>
      </c>
      <c r="O288" s="7">
        <v>45187</v>
      </c>
      <c r="P288" t="s">
        <v>1727</v>
      </c>
      <c r="Q288" s="18">
        <v>10</v>
      </c>
      <c r="R288" s="18">
        <v>3</v>
      </c>
      <c r="S288" s="18">
        <v>1</v>
      </c>
      <c r="T288" s="4">
        <f>DATE(AI$2,$Q288,1+(($R288-($S288&gt;=WEEKDAY(DATE(AI$2,$Q288,1))))*7)+($S288-WEEKDAY(DATE(AI$2,$Q288,1))))</f>
        <v>45949</v>
      </c>
      <c r="U288" s="4">
        <f>DATE(AJ$2,$Q288,1+(($R288-($S288&gt;=WEEKDAY(DATE(AJ$2,$Q288,1))))*7)+($S288-WEEKDAY(DATE(AJ$2,$Q288,1))))</f>
        <v>46313</v>
      </c>
      <c r="V288" s="20">
        <v>-1</v>
      </c>
      <c r="W288" s="20">
        <v>1</v>
      </c>
      <c r="X288" s="4">
        <f ca="1">Y288-(W288-1)</f>
        <v>45948</v>
      </c>
      <c r="Y288" s="5">
        <f ca="1">IF(OR(T288+V288&lt;(NOW()-0.5),ISNUMBER(SEARCH("&lt;h4&gt;",K288))),U288+V288,T288+V288)</f>
        <v>45948</v>
      </c>
      <c r="Z288" t="str">
        <f ca="1">CONCATENATE(IF(OR(Y288=X288,ISBLANK(Y288)),TEXT(X288,"mmmm d"),CONCATENATE(TEXT(X288,"mmmm d"),"-",IF(TEXT(X288,"mmmm")=TEXT(Y288,"mmmm"),TEXT(Y288,"d"),TEXT(Y288,"mmmm d")))),", ",YEAR(Y288))</f>
        <v>October 18, 2025</v>
      </c>
      <c r="AA288" s="7">
        <f>O288</f>
        <v>45187</v>
      </c>
      <c r="AB288" s="14">
        <f>T288+V288-(W288-1)</f>
        <v>45948</v>
      </c>
      <c r="AC288" t="s">
        <v>1728</v>
      </c>
      <c r="AD288" s="23" t="str">
        <f ca="1">CONCATENATE("&lt;add-to-calendar-button  name=",CHAR(34),H288,CHAR(34),
IF(ISBLANK(M288),"",CONCATENATE("   location=",CHAR(34),RIGHT(M288,LEN(M288)-SEARCH("|",M288)-1),CHAR(34))),
"   description=",CHAR(34),IF(ISBLANK(I288),"",CONCATENATE(I288,"; ")),"shapenotesingings.com",CHAR(34),
"   options=",CHAR(34),"'Apple','Google','iCal','Outlook.com'",CHAR(34),"   styleLight=",CHAR(34),"--btn-background: #550000; --btn-text: #fff; --btn-shadow:#fff;",CHAR(34),
IF(W288=1,CONCATENATE(
"startDate=",CHAR(34),TEXT(G288,"yyyy-mm-dd"),CHAR(34),
"{endDate=",CHAR(34),TEXT(G288,"yyyy-mm-dd"),CHAR(34),
IF(OR(ISBLANK(AE288),ISBLANK(AF288)),"",(CONCATENATE(" startTime=",CHAR(34),TEXT(AE288,"hh:mm"),CHAR(34)," endTime=",CHAR(34),TEXT(AF288,"h:mm"),CHAR(34),
" timeZone=",CHAR(34),AG288,CHAR(34))))),
IF(W288=2,CONCATENATE(" dates='[{",
CHAR(34),"startDate",CHAR(34),":",CHAR(34),TEXT(G288,"yyyy-mm-dd"),CHAR(34),", ",
,CHAR(34),"endDate",CHAR(34),":",CHAR(34),TEXT(G288,"yyyy-mm-dd"),CHAR(34),
IF(OR(ISBLANK(AE288),ISBLANK(AF288)),"",(CONCATENATE(", ",CHAR(34),"startTime",CHAR(34),":",CHAR(34),TEXT(AE288,"hh:mm"),CHAR(34),", ",CHAR(34),"endTime",CHAR(34),":",CHAR(34),TEXT(AF288,"hh:mm"),CHAR(34),", ",CHAR(34),"timeZone",CHAR(34),":",CHAR(34),AG288,CHAR(34)))),"}, {",
,CHAR(34),"startDate",CHAR(34),":",CHAR(34),TEXT(G288+1,"yyyy-mm-dd"),CHAR(34),", ",
,CHAR(34),"endDate",CHAR(34),":",CHAR(34),TEXT(G288+W288-1,"yyyy-mm-dd"),CHAR(34),
IF(OR(ISBLANK(AE288),ISBLANK(AF288)),"",(CONCATENATE(", ",CHAR(34),"startTime",CHAR(34),":",CHAR(34),TEXT(AE288,"hh:mm"),CHAR(34),", ",CHAR(34),"endTime",CHAR(34),":",CHAR(34),TEXT(AF288,"hh:mm"),CHAR(34),", ",CHAR(34),"timeZone",CHAR(34),":",CHAR(34),AG288,CHAR(34)))),"}]'"),
CONCATENATE(
"{  startDate=",CHAR(34),TEXT(G288,"yyyy-mm-dd"),CHAR(34),
"  endDate=",CHAR(34),TEXT(G288+W288-1,"yyyy-mm-dd"),CHAR(34),"}"))),
" &gt;&lt;/add-to-calendar-button&gt;")</f>
        <v>&lt;add-to-calendar-button  name="Tri-State Convention"   location="Traveler's Rest Church, 654 Traveler's Rest Rd, Samson, AL 36477"   description="shapenotesingings.com"   options="'Apple','Google','iCal','Outlook.com'"   styleLight="--btn-background: #550000; --btn-text: #fff; --btn-shadow:#fff;"startDate="2025-10-18"{endDate="2025-10-18" startTime="09:00" endTime="14:00" timeZone="America/Chicago" &gt;&lt;/add-to-calendar-button&gt;</v>
      </c>
      <c r="AE288" s="24">
        <v>0.375</v>
      </c>
      <c r="AF288" s="24">
        <v>0.58333333333333337</v>
      </c>
      <c r="AG288" s="25" t="s">
        <v>1533</v>
      </c>
    </row>
    <row r="289" spans="1:33" x14ac:dyDescent="0.3">
      <c r="A289" t="s">
        <v>8</v>
      </c>
      <c r="B289" t="s">
        <v>17</v>
      </c>
      <c r="C289" t="s">
        <v>1140</v>
      </c>
      <c r="D289" t="s">
        <v>2333</v>
      </c>
      <c r="E289" t="s">
        <v>2178</v>
      </c>
      <c r="F289" t="s">
        <v>60</v>
      </c>
      <c r="G289" s="7">
        <f ca="1">X289</f>
        <v>45948</v>
      </c>
      <c r="H289" s="5" t="s">
        <v>687</v>
      </c>
      <c r="J289" s="36" t="s">
        <v>2989</v>
      </c>
      <c r="L289" t="s">
        <v>981</v>
      </c>
      <c r="M289" s="16" t="s">
        <v>2330</v>
      </c>
      <c r="N289" s="16" t="s">
        <v>2331</v>
      </c>
      <c r="O289" s="7">
        <v>45575</v>
      </c>
      <c r="P289" t="s">
        <v>2329</v>
      </c>
      <c r="Q289" s="18">
        <v>10</v>
      </c>
      <c r="R289" s="18">
        <v>3</v>
      </c>
      <c r="S289" s="18">
        <v>1</v>
      </c>
      <c r="T289" s="4">
        <f>DATE(AI$2,$Q289,1+(($R289-($S289&gt;=WEEKDAY(DATE(AI$2,$Q289,1))))*7)+($S289-WEEKDAY(DATE(AI$2,$Q289,1))))</f>
        <v>45949</v>
      </c>
      <c r="U289" s="4">
        <f>DATE(AJ$2,$Q289,1+(($R289-($S289&gt;=WEEKDAY(DATE(AJ$2,$Q289,1))))*7)+($S289-WEEKDAY(DATE(AJ$2,$Q289,1))))</f>
        <v>46313</v>
      </c>
      <c r="V289" s="20">
        <v>-1</v>
      </c>
      <c r="W289" s="20">
        <v>1</v>
      </c>
      <c r="X289" s="4">
        <f ca="1">Y289-(W289-1)</f>
        <v>45948</v>
      </c>
      <c r="Y289" s="5">
        <f ca="1">IF(OR(T289+V289&lt;(NOW()-0.5),ISNUMBER(SEARCH("&lt;h4&gt;",K289))),U289+V289,T289+V289)</f>
        <v>45948</v>
      </c>
      <c r="Z289" t="str">
        <f ca="1">CONCATENATE(IF(OR(Y289=X289,ISBLANK(Y289)),TEXT(X289,"mmmm d"),CONCATENATE(TEXT(X289,"mmmm d"),"-",IF(TEXT(X289,"mmmm")=TEXT(Y289,"mmmm"),TEXT(Y289,"d"),TEXT(Y289,"mmmm d")))),", ",YEAR(Y289))</f>
        <v>October 18, 2025</v>
      </c>
      <c r="AA289" s="7">
        <f>O289</f>
        <v>45575</v>
      </c>
      <c r="AB289" s="14">
        <f>T289+V289-(W289-1)</f>
        <v>45948</v>
      </c>
      <c r="AC289" t="s">
        <v>2332</v>
      </c>
      <c r="AD289" s="23" t="str">
        <f ca="1">CONCATENATE("&lt;add-to-calendar-button  name=",CHAR(34),H289,CHAR(34),
IF(ISBLANK(M289),"",CONCATENATE("   location=",CHAR(34),RIGHT(M289,LEN(M289)-SEARCH("|",M289)-1),CHAR(34))),
"   description=",CHAR(34),IF(ISBLANK(I289),"",CONCATENATE(I289,"; ")),"shapenotesingings.com",CHAR(34),
"   options=",CHAR(34),"'Apple','Google','iCal','Outlook.com'",CHAR(34),"   styleLight=",CHAR(34),"--btn-background: #550000; --btn-text: #fff; --btn-shadow:#fff;",CHAR(34),
IF(W289=1,CONCATENATE(
"startDate=",CHAR(34),TEXT(G289,"yyyy-mm-dd"),CHAR(34),
"{endDate=",CHAR(34),TEXT(G289,"yyyy-mm-dd"),CHAR(34),
IF(OR(ISBLANK(AE289),ISBLANK(AF289)),"",(CONCATENATE(" startTime=",CHAR(34),TEXT(AE289,"hh:mm"),CHAR(34)," endTime=",CHAR(34),TEXT(AF289,"h:mm"),CHAR(34),
" timeZone=",CHAR(34),AG289,CHAR(34))))),
IF(W289=2,CONCATENATE(" dates='[{",
CHAR(34),"startDate",CHAR(34),":",CHAR(34),TEXT(G289,"yyyy-mm-dd"),CHAR(34),", ",
,CHAR(34),"endDate",CHAR(34),":",CHAR(34),TEXT(G289,"yyyy-mm-dd"),CHAR(34),
IF(OR(ISBLANK(AE289),ISBLANK(AF289)),"",(CONCATENATE(", ",CHAR(34),"startTime",CHAR(34),":",CHAR(34),TEXT(AE289,"hh:mm"),CHAR(34),", ",CHAR(34),"endTime",CHAR(34),":",CHAR(34),TEXT(AF289,"hh:mm"),CHAR(34),", ",CHAR(34),"timeZone",CHAR(34),":",CHAR(34),AG289,CHAR(34)))),"}, {",
,CHAR(34),"startDate",CHAR(34),":",CHAR(34),TEXT(G289+1,"yyyy-mm-dd"),CHAR(34),", ",
,CHAR(34),"endDate",CHAR(34),":",CHAR(34),TEXT(G289+W289-1,"yyyy-mm-dd"),CHAR(34),
IF(OR(ISBLANK(AE289),ISBLANK(AF289)),"",(CONCATENATE(", ",CHAR(34),"startTime",CHAR(34),":",CHAR(34),TEXT(AE289,"hh:mm"),CHAR(34),", ",CHAR(34),"endTime",CHAR(34),":",CHAR(34),TEXT(AF289,"hh:mm"),CHAR(34),", ",CHAR(34),"timeZone",CHAR(34),":",CHAR(34),AG289,CHAR(34)))),"}]'"),
CONCATENATE(
"{  startDate=",CHAR(34),TEXT(G289,"yyyy-mm-dd"),CHAR(34),
"  endDate=",CHAR(34),TEXT(G289+W289-1,"yyyy-mm-dd"),CHAR(34),"}"))),
" &gt;&lt;/add-to-calendar-button&gt;")</f>
        <v>&lt;add-to-calendar-button  name="Andrew’s Chapel Singing"   location="Andrews Chapel, 1800 Andrews Chapel Rd, Thomaston, GA 30286"   description="shapenotesingings.com"   options="'Apple','Google','iCal','Outlook.com'"   styleLight="--btn-background: #550000; --btn-text: #fff; --btn-shadow:#fff;"startDate="2025-10-18"{endDate="2025-10-18" &gt;&lt;/add-to-calendar-button&gt;</v>
      </c>
      <c r="AG289" s="25" t="s">
        <v>1532</v>
      </c>
    </row>
    <row r="290" spans="1:33" x14ac:dyDescent="0.3">
      <c r="A290" t="s">
        <v>8</v>
      </c>
      <c r="B290" t="s">
        <v>333</v>
      </c>
      <c r="C290" t="s">
        <v>452</v>
      </c>
      <c r="D290" t="s">
        <v>682</v>
      </c>
      <c r="E290" t="s">
        <v>2178</v>
      </c>
      <c r="F290" t="s">
        <v>683</v>
      </c>
      <c r="G290" s="7">
        <f ca="1">X290</f>
        <v>45948</v>
      </c>
      <c r="H290" s="5" t="s">
        <v>684</v>
      </c>
      <c r="I290" t="s">
        <v>1101</v>
      </c>
      <c r="J290" s="36" t="s">
        <v>2666</v>
      </c>
      <c r="L290" t="s">
        <v>2381</v>
      </c>
      <c r="O290" s="7">
        <v>45600</v>
      </c>
      <c r="P290" t="s">
        <v>2382</v>
      </c>
      <c r="Q290" s="18">
        <v>10</v>
      </c>
      <c r="R290" s="18">
        <v>3</v>
      </c>
      <c r="S290" s="18">
        <v>1</v>
      </c>
      <c r="T290" s="4">
        <f>DATE(AI$2,$Q290,1+(($R290-($S290&gt;=WEEKDAY(DATE(AI$2,$Q290,1))))*7)+($S290-WEEKDAY(DATE(AI$2,$Q290,1))))</f>
        <v>45949</v>
      </c>
      <c r="U290" s="4">
        <f>DATE(AJ$2,$Q290,1+(($R290-($S290&gt;=WEEKDAY(DATE(AJ$2,$Q290,1))))*7)+($S290-WEEKDAY(DATE(AJ$2,$Q290,1))))</f>
        <v>46313</v>
      </c>
      <c r="V290" s="20">
        <v>0</v>
      </c>
      <c r="W290" s="20">
        <v>2</v>
      </c>
      <c r="X290" s="4">
        <f ca="1">Y290-(W290-1)</f>
        <v>45948</v>
      </c>
      <c r="Y290" s="5">
        <f ca="1">IF(OR(T290+V290&lt;(NOW()-0.5),ISNUMBER(SEARCH("&lt;h4&gt;",K290))),U290+V290,T290+V290)</f>
        <v>45949</v>
      </c>
      <c r="Z290" t="str">
        <f ca="1">CONCATENATE(IF(OR(Y290=X290,ISBLANK(Y290)),TEXT(X290,"mmmm d"),CONCATENATE(TEXT(X290,"mmmm d"),"-",IF(TEXT(X290,"mmmm")=TEXT(Y290,"mmmm"),TEXT(Y290,"d"),TEXT(Y290,"mmmm d")))),", ",YEAR(Y290))</f>
        <v>October 18-19, 2025</v>
      </c>
      <c r="AA290" s="7">
        <f>O290</f>
        <v>45600</v>
      </c>
      <c r="AB290" s="14">
        <f>T290+V290-(W290-1)</f>
        <v>45948</v>
      </c>
      <c r="AC290" t="s">
        <v>2166</v>
      </c>
      <c r="AD290" s="23" t="str">
        <f ca="1">CONCATENATE("&lt;add-to-calendar-button  name=",CHAR(34),H290,CHAR(34),
IF(ISBLANK(M290),"",CONCATENATE("   location=",CHAR(34),RIGHT(M290,LEN(M290)-SEARCH("|",M290)-1),CHAR(34))),
"   description=",CHAR(34),IF(ISBLANK(I290),"",CONCATENATE(I290,"; ")),"shapenotesingings.com",CHAR(34),
"   options=",CHAR(34),"'Apple','Google','iCal','Outlook.com'",CHAR(34),"   styleLight=",CHAR(34),"--btn-background: #550000; --btn-text: #fff; --btn-shadow:#fff;",CHAR(34),
IF(W290=1,CONCATENATE(
"startDate=",CHAR(34),TEXT(G290,"yyyy-mm-dd"),CHAR(34),
"{endDate=",CHAR(34),TEXT(G290,"yyyy-mm-dd"),CHAR(34),
IF(OR(ISBLANK(AE290),ISBLANK(AF290)),"",(CONCATENATE(" startTime=",CHAR(34),TEXT(AE290,"hh:mm"),CHAR(34)," endTime=",CHAR(34),TEXT(AF290,"h:mm"),CHAR(34),
" timeZone=",CHAR(34),AG290,CHAR(34))))),
IF(W290=2,CONCATENATE(" dates='[{",
CHAR(34),"startDate",CHAR(34),":",CHAR(34),TEXT(G290,"yyyy-mm-dd"),CHAR(34),", ",
,CHAR(34),"endDate",CHAR(34),":",CHAR(34),TEXT(G290,"yyyy-mm-dd"),CHAR(34),
IF(OR(ISBLANK(AE290),ISBLANK(AF290)),"",(CONCATENATE(", ",CHAR(34),"startTime",CHAR(34),":",CHAR(34),TEXT(AE290,"hh:mm"),CHAR(34),", ",CHAR(34),"endTime",CHAR(34),":",CHAR(34),TEXT(AF290,"hh:mm"),CHAR(34),", ",CHAR(34),"timeZone",CHAR(34),":",CHAR(34),AG290,CHAR(34)))),"}, {",
,CHAR(34),"startDate",CHAR(34),":",CHAR(34),TEXT(G290+1,"yyyy-mm-dd"),CHAR(34),", ",
,CHAR(34),"endDate",CHAR(34),":",CHAR(34),TEXT(G290+W290-1,"yyyy-mm-dd"),CHAR(34),
IF(OR(ISBLANK(AE290),ISBLANK(AF290)),"",(CONCATENATE(", ",CHAR(34),"startTime",CHAR(34),":",CHAR(34),TEXT(AE290,"hh:mm"),CHAR(34),", ",CHAR(34),"endTime",CHAR(34),":",CHAR(34),TEXT(AF290,"hh:mm"),CHAR(34),", ",CHAR(34),"timeZone",CHAR(34),":",CHAR(34),AG290,CHAR(34)))),"}]'"),
CONCATENATE(
"{  startDate=",CHAR(34),TEXT(G290,"yyyy-mm-dd"),CHAR(34),
"  endDate=",CHAR(34),TEXT(G290+W290-1,"yyyy-mm-dd"),CHAR(34),"}"))),
" &gt;&lt;/add-to-calendar-button&gt;")</f>
        <v>&lt;add-to-calendar-button  name="New York State Convention"   description="10am-4pm; shapenotesingings.com"   options="'Apple','Google','iCal','Outlook.com'"   styleLight="--btn-background: #550000; --btn-text: #fff; --btn-shadow:#fff;" dates='[{"startDate":"2025-10-18", "endDate":"2025-10-18", "startTime":"10:00", "endTime":"15:30", "timeZone":"America/New_York"}, {"startDate":"2025-10-19", "endDate":"2025-10-19", "startTime":"10:00", "endTime":"15:30", "timeZone":"America/New_York"}]' &gt;&lt;/add-to-calendar-button&gt;</v>
      </c>
      <c r="AE290" s="24">
        <v>0.41666666666666669</v>
      </c>
      <c r="AF290" s="24">
        <v>0.64583333333333337</v>
      </c>
      <c r="AG290" s="25" t="s">
        <v>1532</v>
      </c>
    </row>
    <row r="291" spans="1:33" x14ac:dyDescent="0.3">
      <c r="A291" t="s">
        <v>8</v>
      </c>
      <c r="B291" t="s">
        <v>11</v>
      </c>
      <c r="C291" t="s">
        <v>1134</v>
      </c>
      <c r="D291" t="s">
        <v>173</v>
      </c>
      <c r="E291" t="s">
        <v>2178</v>
      </c>
      <c r="F291" t="s">
        <v>688</v>
      </c>
      <c r="G291" s="7">
        <f ca="1">X291</f>
        <v>45949</v>
      </c>
      <c r="H291" s="5" t="s">
        <v>689</v>
      </c>
      <c r="I291" s="28" t="s">
        <v>1040</v>
      </c>
      <c r="J291" s="38" t="s">
        <v>2990</v>
      </c>
      <c r="M291" s="16" t="s">
        <v>614</v>
      </c>
      <c r="N291" s="16" t="s">
        <v>175</v>
      </c>
      <c r="O291" s="7">
        <v>44936</v>
      </c>
      <c r="P291" s="7" t="s">
        <v>926</v>
      </c>
      <c r="Q291" s="18">
        <v>10</v>
      </c>
      <c r="R291" s="18">
        <v>3</v>
      </c>
      <c r="S291" s="18">
        <v>1</v>
      </c>
      <c r="T291" s="4">
        <f>DATE(AI$2,$Q291,1+(($R291-($S291&gt;=WEEKDAY(DATE(AI$2,$Q291,1))))*7)+($S291-WEEKDAY(DATE(AI$2,$Q291,1))))</f>
        <v>45949</v>
      </c>
      <c r="U291" s="4">
        <f>DATE(AJ$2,$Q291,1+(($R291-($S291&gt;=WEEKDAY(DATE(AJ$2,$Q291,1))))*7)+($S291-WEEKDAY(DATE(AJ$2,$Q291,1))))</f>
        <v>46313</v>
      </c>
      <c r="V291" s="20">
        <v>0</v>
      </c>
      <c r="W291" s="20">
        <v>1</v>
      </c>
      <c r="X291" s="4">
        <f ca="1">Y291-(W291-1)</f>
        <v>45949</v>
      </c>
      <c r="Y291" s="5">
        <f ca="1">IF(OR(T291+V291&lt;(NOW()-0.5),ISNUMBER(SEARCH("&lt;h4&gt;",K291))),U291+V291,T291+V291)</f>
        <v>45949</v>
      </c>
      <c r="Z291" t="str">
        <f ca="1">CONCATENATE(IF(OR(Y291=X291,ISBLANK(Y291)),TEXT(X291,"mmmm d"),CONCATENATE(TEXT(X291,"mmmm d"),"-",IF(TEXT(X291,"mmmm")=TEXT(Y291,"mmmm"),TEXT(Y291,"d"),TEXT(Y291,"mmmm d")))),", ",YEAR(Y291))</f>
        <v>October 19, 2025</v>
      </c>
      <c r="AA291" s="7">
        <f>O291</f>
        <v>44936</v>
      </c>
      <c r="AB291" s="14">
        <f>T291+V291-(W291-1)</f>
        <v>45949</v>
      </c>
      <c r="AC291" t="s">
        <v>1374</v>
      </c>
      <c r="AD291" s="23" t="str">
        <f ca="1">CONCATENATE("&lt;add-to-calendar-button  name=",CHAR(34),H291,CHAR(34),
IF(ISBLANK(M291),"",CONCATENATE("   location=",CHAR(34),RIGHT(M291,LEN(M291)-SEARCH("|",M291)-1),CHAR(34))),
"   description=",CHAR(34),IF(ISBLANK(I291),"",CONCATENATE(I291,"; ")),"shapenotesingings.com",CHAR(34),
"   options=",CHAR(34),"'Apple','Google','iCal','Outlook.com'",CHAR(34),"   styleLight=",CHAR(34),"--btn-background: #550000; --btn-text: #fff; --btn-shadow:#fff;",CHAR(34),
IF(W291=1,CONCATENATE(
"startDate=",CHAR(34),TEXT(G291,"yyyy-mm-dd"),CHAR(34),
"{endDate=",CHAR(34),TEXT(G291,"yyyy-mm-dd"),CHAR(34),
IF(OR(ISBLANK(AE291),ISBLANK(AF291)),"",(CONCATENATE(" startTime=",CHAR(34),TEXT(AE291,"hh:mm"),CHAR(34)," endTime=",CHAR(34),TEXT(AF291,"h:mm"),CHAR(34),
" timeZone=",CHAR(34),AG291,CHAR(34))))),
IF(W291=2,CONCATENATE(" dates='[{",
CHAR(34),"startDate",CHAR(34),":",CHAR(34),TEXT(G291,"yyyy-mm-dd"),CHAR(34),", ",
,CHAR(34),"endDate",CHAR(34),":",CHAR(34),TEXT(G291,"yyyy-mm-dd"),CHAR(34),
IF(OR(ISBLANK(AE291),ISBLANK(AF291)),"",(CONCATENATE(", ",CHAR(34),"startTime",CHAR(34),":",CHAR(34),TEXT(AE291,"hh:mm"),CHAR(34),", ",CHAR(34),"endTime",CHAR(34),":",CHAR(34),TEXT(AF291,"hh:mm"),CHAR(34),", ",CHAR(34),"timeZone",CHAR(34),":",CHAR(34),AG291,CHAR(34)))),"}, {",
,CHAR(34),"startDate",CHAR(34),":",CHAR(34),TEXT(G291+1,"yyyy-mm-dd"),CHAR(34),", ",
,CHAR(34),"endDate",CHAR(34),":",CHAR(34),TEXT(G291+W291-1,"yyyy-mm-dd"),CHAR(34),
IF(OR(ISBLANK(AE291),ISBLANK(AF291)),"",(CONCATENATE(", ",CHAR(34),"startTime",CHAR(34),":",CHAR(34),TEXT(AE291,"hh:mm"),CHAR(34),", ",CHAR(34),"endTime",CHAR(34),":",CHAR(34),TEXT(AF291,"hh:mm"),CHAR(34),", ",CHAR(34),"timeZone",CHAR(34),":",CHAR(34),AG291,CHAR(34)))),"}]'"),
CONCATENATE(
"{  startDate=",CHAR(34),TEXT(G291,"yyyy-mm-dd"),CHAR(34),
"  endDate=",CHAR(34),TEXT(G291+W291-1,"yyyy-mm-dd"),CHAR(34),"}"))),
" &gt;&lt;/add-to-calendar-button&gt;")</f>
        <v>&lt;add-to-calendar-button  name="Reid Memorial Singing"   location="Old County Line Church, 9282 Miller Rd, Warrior, AL 35180"   description="9:30am; shapenotesingings.com"   options="'Apple','Google','iCal','Outlook.com'"   styleLight="--btn-background: #550000; --btn-text: #fff; --btn-shadow:#fff;"startDate="2025-10-19"{endDate="2025-10-19" startTime="09:30" endTime="15:00" timeZone="America/Chicago" &gt;&lt;/add-to-calendar-button&gt;</v>
      </c>
      <c r="AE291" s="24">
        <v>0.39583333333333331</v>
      </c>
      <c r="AF291" s="24">
        <v>0.625</v>
      </c>
      <c r="AG291" s="25" t="s">
        <v>1533</v>
      </c>
    </row>
    <row r="292" spans="1:33" x14ac:dyDescent="0.3">
      <c r="A292" t="s">
        <v>8</v>
      </c>
      <c r="B292" t="s">
        <v>1500</v>
      </c>
      <c r="C292" t="s">
        <v>1501</v>
      </c>
      <c r="D292" t="s">
        <v>2080</v>
      </c>
      <c r="E292" t="s">
        <v>2178</v>
      </c>
      <c r="F292" t="s">
        <v>692</v>
      </c>
      <c r="G292" s="7">
        <f ca="1">X292</f>
        <v>45955</v>
      </c>
      <c r="H292" s="5" t="s">
        <v>1502</v>
      </c>
      <c r="I292" t="s">
        <v>1039</v>
      </c>
      <c r="J292" s="36" t="s">
        <v>2991</v>
      </c>
      <c r="K292" t="s">
        <v>2173</v>
      </c>
      <c r="L292" t="s">
        <v>2078</v>
      </c>
      <c r="M292" s="16" t="s">
        <v>2075</v>
      </c>
      <c r="N292" s="16" t="s">
        <v>2076</v>
      </c>
      <c r="O292" s="7">
        <v>45424</v>
      </c>
      <c r="P292" s="7" t="s">
        <v>2074</v>
      </c>
      <c r="Q292" s="18">
        <v>10</v>
      </c>
      <c r="R292" s="18">
        <v>4</v>
      </c>
      <c r="S292" s="18">
        <v>1</v>
      </c>
      <c r="T292" s="4">
        <f>DATE(AI$2,$Q292,1+(($R292-($S292&gt;=WEEKDAY(DATE(AI$2,$Q292,1))))*7)+($S292-WEEKDAY(DATE(AI$2,$Q292,1))))</f>
        <v>45956</v>
      </c>
      <c r="U292" s="4">
        <f>DATE(AJ$2,$Q292,1+(($R292-($S292&gt;=WEEKDAY(DATE(AJ$2,$Q292,1))))*7)+($S292-WEEKDAY(DATE(AJ$2,$Q292,1))))</f>
        <v>46320</v>
      </c>
      <c r="V292" s="20">
        <v>-1</v>
      </c>
      <c r="W292" s="20">
        <v>1</v>
      </c>
      <c r="X292" s="4">
        <f ca="1">Y292-(W292-1)</f>
        <v>45955</v>
      </c>
      <c r="Y292" s="5">
        <f ca="1">IF(OR(T292+V292&lt;(NOW()-0.5),ISNUMBER(SEARCH("&lt;h4&gt;",#REF!))),U292+V292,T292+V292)</f>
        <v>45955</v>
      </c>
      <c r="Z292" t="str">
        <f ca="1">CONCATENATE(IF(OR(Y292=X292,ISBLANK(Y292)),TEXT(X292,"mmmm d"),CONCATENATE(TEXT(X292,"mmmm d"),"-",IF(TEXT(X292,"mmmm")=TEXT(Y292,"mmmm"),TEXT(Y292,"d"),TEXT(Y292,"mmmm d")))),", ",YEAR(Y292))</f>
        <v>October 25, 2025</v>
      </c>
      <c r="AA292" s="7">
        <f>O292</f>
        <v>45424</v>
      </c>
      <c r="AB292" s="14">
        <f>T292+V292-(W292-1)</f>
        <v>45955</v>
      </c>
      <c r="AC292" t="s">
        <v>2077</v>
      </c>
      <c r="AD292" s="23" t="str">
        <f ca="1">CONCATENATE("&lt;add-to-calendar-button  name=",CHAR(34),H292,CHAR(34),
IF(ISBLANK(M292),"",CONCATENATE("   location=",CHAR(34),RIGHT(M292,LEN(M292)-SEARCH("|",M292)-1),CHAR(34))),
"   description=",CHAR(34),IF(ISBLANK(I292),"",CONCATENATE(I292,"; ")),"shapenotesingings.com",CHAR(34),
"   options=",CHAR(34),"'Apple','Google','iCal','Outlook.com'",CHAR(34),"   styleLight=",CHAR(34),"--btn-background: #550000; --btn-text: #fff; --btn-shadow:#fff;",CHAR(34),
IF(W292=1,CONCATENATE(
"startDate=",CHAR(34),TEXT(G292,"yyyy-mm-dd"),CHAR(34),
"{endDate=",CHAR(34),TEXT(G292,"yyyy-mm-dd"),CHAR(34),
IF(OR(ISBLANK(AE292),ISBLANK(AF292)),"",(CONCATENATE(" startTime=",CHAR(34),TEXT(AE292,"hh:mm"),CHAR(34)," endTime=",CHAR(34),TEXT(AF292,"h:mm"),CHAR(34),
" timeZone=",CHAR(34),AG292,CHAR(34))))),
IF(W292=2,CONCATENATE(" dates='[{",
CHAR(34),"startDate",CHAR(34),":",CHAR(34),TEXT(G292,"yyyy-mm-dd"),CHAR(34),", ",
,CHAR(34),"endDate",CHAR(34),":",CHAR(34),TEXT(G292,"yyyy-mm-dd"),CHAR(34),
IF(OR(ISBLANK(AE292),ISBLANK(AF292)),"",(CONCATENATE(", ",CHAR(34),"startTime",CHAR(34),":",CHAR(34),TEXT(AE292,"hh:mm"),CHAR(34),", ",CHAR(34),"endTime",CHAR(34),":",CHAR(34),TEXT(AF292,"hh:mm"),CHAR(34),", ",CHAR(34),"timeZone",CHAR(34),":",CHAR(34),AG292,CHAR(34)))),"}, {",
,CHAR(34),"startDate",CHAR(34),":",CHAR(34),TEXT(G292+1,"yyyy-mm-dd"),CHAR(34),", ",
,CHAR(34),"endDate",CHAR(34),":",CHAR(34),TEXT(G292+W292-1,"yyyy-mm-dd"),CHAR(34),
IF(OR(ISBLANK(AE292),ISBLANK(AF292)),"",(CONCATENATE(", ",CHAR(34),"startTime",CHAR(34),":",CHAR(34),TEXT(AE292,"hh:mm"),CHAR(34),", ",CHAR(34),"endTime",CHAR(34),":",CHAR(34),TEXT(AF292,"hh:mm"),CHAR(34),", ",CHAR(34),"timeZone",CHAR(34),":",CHAR(34),AG292,CHAR(34)))),"}]'"),
CONCATENATE(
"{  startDate=",CHAR(34),TEXT(G292,"yyyy-mm-dd"),CHAR(34),
"  endDate=",CHAR(34),TEXT(G292+W292-1,"yyyy-mm-dd"),CHAR(34),"}"))),
" &gt;&lt;/add-to-calendar-button&gt;")</f>
        <v>&lt;add-to-calendar-button  name="Nebraska All-Day Singing"   location=" Trinity North Lutheran Church, 6340 N 30th St, Omaha, NE 68111"   description="10am-3:30pm; shapenotesingings.com"   options="'Apple','Google','iCal','Outlook.com'"   styleLight="--btn-background: #550000; --btn-text: #fff; --btn-shadow:#fff;"startDate="2025-10-25"{endDate="2025-10-25" startTime="10:00" endTime="15:30" timeZone="America/Chicago" &gt;&lt;/add-to-calendar-button&gt;</v>
      </c>
      <c r="AE292" s="24">
        <v>0.41666666666666669</v>
      </c>
      <c r="AF292" s="24">
        <v>0.64583333333333337</v>
      </c>
      <c r="AG292" s="25" t="s">
        <v>1533</v>
      </c>
    </row>
    <row r="293" spans="1:33" x14ac:dyDescent="0.3">
      <c r="A293" t="s">
        <v>8</v>
      </c>
      <c r="B293" t="s">
        <v>11</v>
      </c>
      <c r="C293" t="s">
        <v>1134</v>
      </c>
      <c r="D293" t="s">
        <v>697</v>
      </c>
      <c r="E293" t="s">
        <v>2178</v>
      </c>
      <c r="F293" t="s">
        <v>692</v>
      </c>
      <c r="G293" s="7">
        <f ca="1">X293</f>
        <v>45955</v>
      </c>
      <c r="H293" s="5" t="s">
        <v>694</v>
      </c>
      <c r="I293" t="s">
        <v>1028</v>
      </c>
      <c r="J293" s="36" t="s">
        <v>2992</v>
      </c>
      <c r="K293" t="s">
        <v>1047</v>
      </c>
      <c r="L293" t="s">
        <v>2274</v>
      </c>
      <c r="M293" s="16" t="s">
        <v>695</v>
      </c>
      <c r="N293" s="16" t="s">
        <v>696</v>
      </c>
      <c r="O293" s="7">
        <v>44936</v>
      </c>
      <c r="P293" s="7" t="s">
        <v>926</v>
      </c>
      <c r="Q293" s="18">
        <v>10</v>
      </c>
      <c r="R293" s="18">
        <v>4</v>
      </c>
      <c r="S293" s="18">
        <v>1</v>
      </c>
      <c r="T293" s="4">
        <f>DATE(AI$2,$Q293,1+(($R293-($S293&gt;=WEEKDAY(DATE(AI$2,$Q293,1))))*7)+($S293-WEEKDAY(DATE(AI$2,$Q293,1))))</f>
        <v>45956</v>
      </c>
      <c r="U293" s="4">
        <f>DATE(AJ$2,$Q293,1+(($R293-($S293&gt;=WEEKDAY(DATE(AJ$2,$Q293,1))))*7)+($S293-WEEKDAY(DATE(AJ$2,$Q293,1))))</f>
        <v>46320</v>
      </c>
      <c r="V293" s="20">
        <v>-1</v>
      </c>
      <c r="W293" s="20">
        <v>1</v>
      </c>
      <c r="X293" s="4">
        <f ca="1">Y293-(W293-1)</f>
        <v>45955</v>
      </c>
      <c r="Y293" s="5">
        <f t="shared" ref="Y293:Y330" ca="1" si="0">IF(OR(T293+V293&lt;(NOW()-0.5),ISNUMBER(SEARCH("&lt;h4&gt;",K293))),U293+V293,T293+V293)</f>
        <v>45955</v>
      </c>
      <c r="Z293" t="str">
        <f ca="1">CONCATENATE(IF(OR(Y293=X293,ISBLANK(Y293)),TEXT(X293,"mmmm d"),CONCATENATE(TEXT(X293,"mmmm d"),"-",IF(TEXT(X293,"mmmm")=TEXT(Y293,"mmmm"),TEXT(Y293,"d"),TEXT(Y293,"mmmm d")))),", ",YEAR(Y293))</f>
        <v>October 25, 2025</v>
      </c>
      <c r="AA293" s="7">
        <f>O293</f>
        <v>44936</v>
      </c>
      <c r="AB293" s="14">
        <f>T293+V293-(W293-1)</f>
        <v>45955</v>
      </c>
      <c r="AC293" t="s">
        <v>1375</v>
      </c>
      <c r="AD293" s="23" t="str">
        <f ca="1">CONCATENATE("&lt;add-to-calendar-button  name=",CHAR(34),H293,CHAR(34),
IF(ISBLANK(M293),"",CONCATENATE("   location=",CHAR(34),RIGHT(M293,LEN(M293)-SEARCH("|",M293)-1),CHAR(34))),
"   description=",CHAR(34),IF(ISBLANK(I293),"",CONCATENATE(I293,"; ")),"shapenotesingings.com",CHAR(34),
"   options=",CHAR(34),"'Apple','Google','iCal','Outlook.com'",CHAR(34),"   styleLight=",CHAR(34),"--btn-background: #550000; --btn-text: #fff; --btn-shadow:#fff;",CHAR(34),
IF(W293=1,CONCATENATE(
"startDate=",CHAR(34),TEXT(G293,"yyyy-mm-dd"),CHAR(34),
"{endDate=",CHAR(34),TEXT(G293,"yyyy-mm-dd"),CHAR(34),
IF(OR(ISBLANK(AE293),ISBLANK(AF293)),"",(CONCATENATE(" startTime=",CHAR(34),TEXT(AE293,"hh:mm"),CHAR(34)," endTime=",CHAR(34),TEXT(AF293,"h:mm"),CHAR(34),
" timeZone=",CHAR(34),AG293,CHAR(34))))),
IF(W293=2,CONCATENATE(" dates='[{",
CHAR(34),"startDate",CHAR(34),":",CHAR(34),TEXT(G293,"yyyy-mm-dd"),CHAR(34),", ",
,CHAR(34),"endDate",CHAR(34),":",CHAR(34),TEXT(G293,"yyyy-mm-dd"),CHAR(34),
IF(OR(ISBLANK(AE293),ISBLANK(AF293)),"",(CONCATENATE(", ",CHAR(34),"startTime",CHAR(34),":",CHAR(34),TEXT(AE293,"hh:mm"),CHAR(34),", ",CHAR(34),"endTime",CHAR(34),":",CHAR(34),TEXT(AF293,"hh:mm"),CHAR(34),", ",CHAR(34),"timeZone",CHAR(34),":",CHAR(34),AG293,CHAR(34)))),"}, {",
,CHAR(34),"startDate",CHAR(34),":",CHAR(34),TEXT(G293+1,"yyyy-mm-dd"),CHAR(34),", ",
,CHAR(34),"endDate",CHAR(34),":",CHAR(34),TEXT(G293+W293-1,"yyyy-mm-dd"),CHAR(34),
IF(OR(ISBLANK(AE293),ISBLANK(AF293)),"",(CONCATENATE(", ",CHAR(34),"startTime",CHAR(34),":",CHAR(34),TEXT(AE293,"hh:mm"),CHAR(34),", ",CHAR(34),"endTime",CHAR(34),":",CHAR(34),TEXT(AF293,"hh:mm"),CHAR(34),", ",CHAR(34),"timeZone",CHAR(34),":",CHAR(34),AG293,CHAR(34)))),"}]'"),
CONCATENATE(
"{  startDate=",CHAR(34),TEXT(G293,"yyyy-mm-dd"),CHAR(34),
"  endDate=",CHAR(34),TEXT(G293+W293-1,"yyyy-mm-dd"),CHAR(34),"}"))),
" &gt;&lt;/add-to-calendar-button&gt;")</f>
        <v>&lt;add-to-calendar-button  name="Putnam, Light, and King Memorial"   location="Mount Oak Methodist Church, 3375 Ruth Rd, Arab, AL 35016"   description="10am; shapenotesingings.com"   options="'Apple','Google','iCal','Outlook.com'"   styleLight="--btn-background: #550000; --btn-text: #fff; --btn-shadow:#fff;"startDate="2025-10-25"{endDate="2025-10-25" startTime="10:00" endTime="15:00" timeZone="America/Chicago" &gt;&lt;/add-to-calendar-button&gt;</v>
      </c>
      <c r="AE293" s="24">
        <v>0.41666666666666669</v>
      </c>
      <c r="AF293" s="24">
        <v>0.625</v>
      </c>
      <c r="AG293" s="25" t="s">
        <v>1533</v>
      </c>
    </row>
    <row r="294" spans="1:33" x14ac:dyDescent="0.3">
      <c r="A294" t="s">
        <v>8</v>
      </c>
      <c r="B294" t="s">
        <v>17</v>
      </c>
      <c r="C294" t="s">
        <v>1140</v>
      </c>
      <c r="D294" t="s">
        <v>30</v>
      </c>
      <c r="E294" t="s">
        <v>2178</v>
      </c>
      <c r="F294" t="s">
        <v>692</v>
      </c>
      <c r="G294" s="7">
        <f ca="1">X294</f>
        <v>45955</v>
      </c>
      <c r="H294" s="5" t="s">
        <v>693</v>
      </c>
      <c r="I294" t="s">
        <v>1028</v>
      </c>
      <c r="J294" s="36" t="s">
        <v>2993</v>
      </c>
      <c r="L294" t="s">
        <v>2352</v>
      </c>
      <c r="M294" s="16" t="s">
        <v>1886</v>
      </c>
      <c r="O294" s="7">
        <v>45105</v>
      </c>
      <c r="P294" s="7" t="s">
        <v>1618</v>
      </c>
      <c r="Q294" s="18">
        <v>10</v>
      </c>
      <c r="R294" s="18">
        <v>4</v>
      </c>
      <c r="S294" s="18">
        <v>1</v>
      </c>
      <c r="T294" s="4">
        <f>DATE(AI$2,$Q294,1+(($R294-($S294&gt;=WEEKDAY(DATE(AI$2,$Q294,1))))*7)+($S294-WEEKDAY(DATE(AI$2,$Q294,1))))</f>
        <v>45956</v>
      </c>
      <c r="U294" s="4">
        <f>DATE(AJ$2,$Q294,1+(($R294-($S294&gt;=WEEKDAY(DATE(AJ$2,$Q294,1))))*7)+($S294-WEEKDAY(DATE(AJ$2,$Q294,1))))</f>
        <v>46320</v>
      </c>
      <c r="V294" s="20">
        <v>-1</v>
      </c>
      <c r="W294" s="20">
        <v>1</v>
      </c>
      <c r="X294" s="4">
        <f ca="1">Y294-(W294-1)</f>
        <v>45955</v>
      </c>
      <c r="Y294" s="5">
        <f t="shared" ca="1" si="0"/>
        <v>45955</v>
      </c>
      <c r="Z294" t="str">
        <f ca="1">CONCATENATE(IF(OR(Y294=X294,ISBLANK(Y294)),TEXT(X294,"mmmm d"),CONCATENATE(TEXT(X294,"mmmm d"),"-",IF(TEXT(X294,"mmmm")=TEXT(Y294,"mmmm"),TEXT(Y294,"d"),TEXT(Y294,"mmmm d")))),", ",YEAR(Y294))</f>
        <v>October 25, 2025</v>
      </c>
      <c r="AA294" s="7">
        <f>O294</f>
        <v>45105</v>
      </c>
      <c r="AB294" s="14">
        <f>T294+V294-(W294-1)</f>
        <v>45955</v>
      </c>
      <c r="AC294" t="s">
        <v>1647</v>
      </c>
      <c r="AD294" s="23" t="str">
        <f ca="1">CONCATENATE("&lt;add-to-calendar-button  name=",CHAR(34),H294,CHAR(34),
IF(ISBLANK(M294),"",CONCATENATE("   location=",CHAR(34),RIGHT(M294,LEN(M294)-SEARCH("|",M294)-1),CHAR(34))),
"   description=",CHAR(34),IF(ISBLANK(I294),"",CONCATENATE(I294,"; ")),"shapenotesingings.com",CHAR(34),
"   options=",CHAR(34),"'Apple','Google','iCal','Outlook.com'",CHAR(34),"   styleLight=",CHAR(34),"--btn-background: #550000; --btn-text: #fff; --btn-shadow:#fff;",CHAR(34),
IF(W294=1,CONCATENATE(
"startDate=",CHAR(34),TEXT(G294,"yyyy-mm-dd"),CHAR(34),
"{endDate=",CHAR(34),TEXT(G294,"yyyy-mm-dd"),CHAR(34),
IF(OR(ISBLANK(AE294),ISBLANK(AF294)),"",(CONCATENATE(" startTime=",CHAR(34),TEXT(AE294,"hh:mm"),CHAR(34)," endTime=",CHAR(34),TEXT(AF294,"h:mm"),CHAR(34),
" timeZone=",CHAR(34),AG294,CHAR(34))))),
IF(W294=2,CONCATENATE(" dates='[{",
CHAR(34),"startDate",CHAR(34),":",CHAR(34),TEXT(G294,"yyyy-mm-dd"),CHAR(34),", ",
,CHAR(34),"endDate",CHAR(34),":",CHAR(34),TEXT(G294,"yyyy-mm-dd"),CHAR(34),
IF(OR(ISBLANK(AE294),ISBLANK(AF294)),"",(CONCATENATE(", ",CHAR(34),"startTime",CHAR(34),":",CHAR(34),TEXT(AE294,"hh:mm"),CHAR(34),", ",CHAR(34),"endTime",CHAR(34),":",CHAR(34),TEXT(AF294,"hh:mm"),CHAR(34),", ",CHAR(34),"timeZone",CHAR(34),":",CHAR(34),AG294,CHAR(34)))),"}, {",
,CHAR(34),"startDate",CHAR(34),":",CHAR(34),TEXT(G294+1,"yyyy-mm-dd"),CHAR(34),", ",
,CHAR(34),"endDate",CHAR(34),":",CHAR(34),TEXT(G294+W294-1,"yyyy-mm-dd"),CHAR(34),
IF(OR(ISBLANK(AE294),ISBLANK(AF294)),"",(CONCATENATE(", ",CHAR(34),"startTime",CHAR(34),":",CHAR(34),TEXT(AE294,"hh:mm"),CHAR(34),", ",CHAR(34),"endTime",CHAR(34),":",CHAR(34),TEXT(AF294,"hh:mm"),CHAR(34),", ",CHAR(34),"timeZone",CHAR(34),":",CHAR(34),AG294,CHAR(34)))),"}]'"),
CONCATENATE(
"{  startDate=",CHAR(34),TEXT(G294,"yyyy-mm-dd"),CHAR(34),
"  endDate=",CHAR(34),TEXT(G294+W294-1,"yyyy-mm-dd"),CHAR(34),"}"))),
" &gt;&lt;/add-to-calendar-button&gt;")</f>
        <v>&lt;add-to-calendar-button  name="Seed and Feed Sacred Harp Singing"   location="TBA"   description="10am; shapenotesingings.com"   options="'Apple','Google','iCal','Outlook.com'"   styleLight="--btn-background: #550000; --btn-text: #fff; --btn-shadow:#fff;"startDate="2025-10-25"{endDate="2025-10-25" startTime="10:00" endTime="15:00" timeZone="America/New_York" &gt;&lt;/add-to-calendar-button&gt;</v>
      </c>
      <c r="AE294" s="24">
        <v>0.41666666666666669</v>
      </c>
      <c r="AF294" s="24">
        <v>0.625</v>
      </c>
      <c r="AG294" s="25" t="s">
        <v>1532</v>
      </c>
    </row>
    <row r="295" spans="1:33" ht="13.8" customHeight="1" x14ac:dyDescent="0.3">
      <c r="A295" t="s">
        <v>8</v>
      </c>
      <c r="B295" t="s">
        <v>523</v>
      </c>
      <c r="C295" t="s">
        <v>1145</v>
      </c>
      <c r="D295" t="s">
        <v>258</v>
      </c>
      <c r="E295" t="s">
        <v>2176</v>
      </c>
      <c r="F295" t="s">
        <v>692</v>
      </c>
      <c r="G295" s="7">
        <f ca="1">X295</f>
        <v>45955</v>
      </c>
      <c r="H295" s="5" t="s">
        <v>698</v>
      </c>
      <c r="I295" t="s">
        <v>1037</v>
      </c>
      <c r="J295" s="36" t="s">
        <v>2994</v>
      </c>
      <c r="L295" t="s">
        <v>2293</v>
      </c>
      <c r="M295" s="16" t="s">
        <v>2289</v>
      </c>
      <c r="N295" s="16" t="s">
        <v>2290</v>
      </c>
      <c r="O295" s="7">
        <v>45552</v>
      </c>
      <c r="P295" s="7" t="s">
        <v>2292</v>
      </c>
      <c r="Q295" s="18">
        <v>10</v>
      </c>
      <c r="R295" s="18">
        <v>4</v>
      </c>
      <c r="S295" s="18">
        <v>1</v>
      </c>
      <c r="T295" s="4">
        <f>DATE(AI$2,$Q295,1+(($R295-($S295&gt;=WEEKDAY(DATE(AI$2,$Q295,1))))*7)+($S295-WEEKDAY(DATE(AI$2,$Q295,1))))</f>
        <v>45956</v>
      </c>
      <c r="U295" s="4">
        <f>DATE(AJ$2,$Q295,1+(($R295-($S295&gt;=WEEKDAY(DATE(AJ$2,$Q295,1))))*7)+($S295-WEEKDAY(DATE(AJ$2,$Q295,1))))</f>
        <v>46320</v>
      </c>
      <c r="V295" s="20">
        <v>-1</v>
      </c>
      <c r="W295" s="20">
        <v>1</v>
      </c>
      <c r="X295" s="4">
        <f ca="1">Y295-(W295-1)</f>
        <v>45955</v>
      </c>
      <c r="Y295" s="5">
        <f t="shared" ca="1" si="0"/>
        <v>45955</v>
      </c>
      <c r="Z295" t="str">
        <f ca="1">CONCATENATE(IF(OR(Y295=X295,ISBLANK(Y295)),TEXT(X295,"mmmm d"),CONCATENATE(TEXT(X295,"mmmm d"),"-",IF(TEXT(X295,"mmmm")=TEXT(Y295,"mmmm"),TEXT(Y295,"d"),TEXT(Y295,"mmmm d")))),", ",YEAR(Y295))</f>
        <v>October 25, 2025</v>
      </c>
      <c r="AA295" s="7">
        <f>O295</f>
        <v>45552</v>
      </c>
      <c r="AB295" s="14">
        <f>T295+V295-(W295-1)</f>
        <v>45955</v>
      </c>
      <c r="AC295" t="s">
        <v>2291</v>
      </c>
      <c r="AD295" s="23" t="str">
        <f ca="1">CONCATENATE("&lt;add-to-calendar-button  name=",CHAR(34),H295,CHAR(34),
IF(ISBLANK(M295),"",CONCATENATE("   location=",CHAR(34),RIGHT(M295,LEN(M295)-SEARCH("|",M295)-1),CHAR(34))),
"   description=",CHAR(34),IF(ISBLANK(I295),"",CONCATENATE(I295,"; ")),"shapenotesingings.com",CHAR(34),
"   options=",CHAR(34),"'Apple','Google','iCal','Outlook.com'",CHAR(34),"   styleLight=",CHAR(34),"--btn-background: #550000; --btn-text: #fff; --btn-shadow:#fff;",CHAR(34),
IF(W295=1,CONCATENATE(
"startDate=",CHAR(34),TEXT(G295,"yyyy-mm-dd"),CHAR(34),
"{endDate=",CHAR(34),TEXT(G295,"yyyy-mm-dd"),CHAR(34),
IF(OR(ISBLANK(AE295),ISBLANK(AF295)),"",(CONCATENATE(" startTime=",CHAR(34),TEXT(AE295,"hh:mm"),CHAR(34)," endTime=",CHAR(34),TEXT(AF295,"h:mm"),CHAR(34),
" timeZone=",CHAR(34),AG295,CHAR(34))))),
IF(W295=2,CONCATENATE(" dates='[{",
CHAR(34),"startDate",CHAR(34),":",CHAR(34),TEXT(G295,"yyyy-mm-dd"),CHAR(34),", ",
,CHAR(34),"endDate",CHAR(34),":",CHAR(34),TEXT(G295,"yyyy-mm-dd"),CHAR(34),
IF(OR(ISBLANK(AE295),ISBLANK(AF295)),"",(CONCATENATE(", ",CHAR(34),"startTime",CHAR(34),":",CHAR(34),TEXT(AE295,"hh:mm"),CHAR(34),", ",CHAR(34),"endTime",CHAR(34),":",CHAR(34),TEXT(AF295,"hh:mm"),CHAR(34),", ",CHAR(34),"timeZone",CHAR(34),":",CHAR(34),AG295,CHAR(34)))),"}, {",
,CHAR(34),"startDate",CHAR(34),":",CHAR(34),TEXT(G295+1,"yyyy-mm-dd"),CHAR(34),", ",
,CHAR(34),"endDate",CHAR(34),":",CHAR(34),TEXT(G295+W295-1,"yyyy-mm-dd"),CHAR(34),
IF(OR(ISBLANK(AE295),ISBLANK(AF295)),"",(CONCATENATE(", ",CHAR(34),"startTime",CHAR(34),":",CHAR(34),TEXT(AE295,"hh:mm"),CHAR(34),", ",CHAR(34),"endTime",CHAR(34),":",CHAR(34),TEXT(AF295,"hh:mm"),CHAR(34),", ",CHAR(34),"timeZone",CHAR(34),":",CHAR(34),AG295,CHAR(34)))),"}]'"),
CONCATENATE(
"{  startDate=",CHAR(34),TEXT(G295,"yyyy-mm-dd"),CHAR(34),
"  endDate=",CHAR(34),TEXT(G295+W295-1,"yyyy-mm-dd"),CHAR(34),"}"))),
" &gt;&lt;/add-to-calendar-button&gt;")</f>
        <v>&lt;add-to-calendar-button  name="David Rust Memorial Fall Singing"   location="First Christian Church, 205 E Kirkwood Ave, Bloomington, IN 47408"   description="10am-3pm; shapenotesingings.com"   options="'Apple','Google','iCal','Outlook.com'"   styleLight="--btn-background: #550000; --btn-text: #fff; --btn-shadow:#fff;"startDate="2025-10-25"{endDate="2025-10-25" startTime="10:00" endTime="15:00" timeZone="America/New_York" &gt;&lt;/add-to-calendar-button&gt;</v>
      </c>
      <c r="AE295" s="24">
        <v>0.41666666666666669</v>
      </c>
      <c r="AF295" s="24">
        <v>0.625</v>
      </c>
      <c r="AG295" s="25" t="s">
        <v>1532</v>
      </c>
    </row>
    <row r="296" spans="1:33" x14ac:dyDescent="0.3">
      <c r="A296" t="s">
        <v>8</v>
      </c>
      <c r="B296" t="s">
        <v>78</v>
      </c>
      <c r="C296" t="s">
        <v>1135</v>
      </c>
      <c r="D296" t="s">
        <v>877</v>
      </c>
      <c r="E296" t="s">
        <v>2192</v>
      </c>
      <c r="F296" t="s">
        <v>692</v>
      </c>
      <c r="G296" s="7">
        <f ca="1">X296</f>
        <v>45955</v>
      </c>
      <c r="H296" s="5" t="s">
        <v>699</v>
      </c>
      <c r="I296" t="s">
        <v>1040</v>
      </c>
      <c r="J296" s="36" t="s">
        <v>2676</v>
      </c>
      <c r="K296" t="s">
        <v>1671</v>
      </c>
      <c r="L296" t="s">
        <v>2318</v>
      </c>
      <c r="M296" s="16" t="s">
        <v>1667</v>
      </c>
      <c r="N296" s="16" t="s">
        <v>1668</v>
      </c>
      <c r="O296" s="7">
        <v>45127</v>
      </c>
      <c r="P296" s="7" t="s">
        <v>1670</v>
      </c>
      <c r="Q296" s="18">
        <v>10</v>
      </c>
      <c r="R296" s="18">
        <v>4</v>
      </c>
      <c r="S296" s="18">
        <v>1</v>
      </c>
      <c r="T296" s="4">
        <f>DATE(AI$2,$Q296,1+(($R296-($S296&gt;=WEEKDAY(DATE(AI$2,$Q296,1))))*7)+($S296-WEEKDAY(DATE(AI$2,$Q296,1))))</f>
        <v>45956</v>
      </c>
      <c r="U296" s="4">
        <f>DATE(AJ$2,$Q296,1+(($R296-($S296&gt;=WEEKDAY(DATE(AJ$2,$Q296,1))))*7)+($S296-WEEKDAY(DATE(AJ$2,$Q296,1))))</f>
        <v>46320</v>
      </c>
      <c r="V296" s="20">
        <v>-1</v>
      </c>
      <c r="W296" s="20">
        <v>1</v>
      </c>
      <c r="X296" s="4">
        <f ca="1">Y296-(W296-1)</f>
        <v>45955</v>
      </c>
      <c r="Y296" s="5">
        <f t="shared" ca="1" si="0"/>
        <v>45955</v>
      </c>
      <c r="Z296" t="str">
        <f ca="1">CONCATENATE(IF(OR(Y296=X296,ISBLANK(Y296)),TEXT(X296,"mmmm d"),CONCATENATE(TEXT(X296,"mmmm d"),"-",IF(TEXT(X296,"mmmm")=TEXT(Y296,"mmmm"),TEXT(Y296,"d"),TEXT(Y296,"mmmm d")))),", ",YEAR(Y296))</f>
        <v>October 25, 2025</v>
      </c>
      <c r="AA296" s="7">
        <f>O296</f>
        <v>45127</v>
      </c>
      <c r="AB296" s="14">
        <f>T296+V296-(W296-1)</f>
        <v>45955</v>
      </c>
      <c r="AC296" t="s">
        <v>1669</v>
      </c>
      <c r="AD296" s="23" t="str">
        <f ca="1">CONCATENATE("&lt;add-to-calendar-button  name=",CHAR(34),H296,CHAR(34),
IF(ISBLANK(M296),"",CONCATENATE("   location=",CHAR(34),RIGHT(M296,LEN(M296)-SEARCH("|",M296)-1),CHAR(34))),
"   description=",CHAR(34),IF(ISBLANK(I296),"",CONCATENATE(I296,"; ")),"shapenotesingings.com",CHAR(34),
"   options=",CHAR(34),"'Apple','Google','iCal','Outlook.com'",CHAR(34),"   styleLight=",CHAR(34),"--btn-background: #550000; --btn-text: #fff; --btn-shadow:#fff;",CHAR(34),
IF(W296=1,CONCATENATE(
"startDate=",CHAR(34),TEXT(G296,"yyyy-mm-dd"),CHAR(34),
"{endDate=",CHAR(34),TEXT(G296,"yyyy-mm-dd"),CHAR(34),
IF(OR(ISBLANK(AE296),ISBLANK(AF296)),"",(CONCATENATE(" startTime=",CHAR(34),TEXT(AE296,"hh:mm"),CHAR(34)," endTime=",CHAR(34),TEXT(AF296,"h:mm"),CHAR(34),
" timeZone=",CHAR(34),AG296,CHAR(34))))),
IF(W296=2,CONCATENATE(" dates='[{",
CHAR(34),"startDate",CHAR(34),":",CHAR(34),TEXT(G296,"yyyy-mm-dd"),CHAR(34),", ",
,CHAR(34),"endDate",CHAR(34),":",CHAR(34),TEXT(G296,"yyyy-mm-dd"),CHAR(34),
IF(OR(ISBLANK(AE296),ISBLANK(AF296)),"",(CONCATENATE(", ",CHAR(34),"startTime",CHAR(34),":",CHAR(34),TEXT(AE296,"hh:mm"),CHAR(34),", ",CHAR(34),"endTime",CHAR(34),":",CHAR(34),TEXT(AF296,"hh:mm"),CHAR(34),", ",CHAR(34),"timeZone",CHAR(34),":",CHAR(34),AG296,CHAR(34)))),"}, {",
,CHAR(34),"startDate",CHAR(34),":",CHAR(34),TEXT(G296+1,"yyyy-mm-dd"),CHAR(34),", ",
,CHAR(34),"endDate",CHAR(34),":",CHAR(34),TEXT(G296+W296-1,"yyyy-mm-dd"),CHAR(34),
IF(OR(ISBLANK(AE296),ISBLANK(AF296)),"",(CONCATENATE(", ",CHAR(34),"startTime",CHAR(34),":",CHAR(34),TEXT(AE296,"hh:mm"),CHAR(34),", ",CHAR(34),"endTime",CHAR(34),":",CHAR(34),TEXT(AF296,"hh:mm"),CHAR(34),", ",CHAR(34),"timeZone",CHAR(34),":",CHAR(34),AG296,CHAR(34)))),"}]'"),
CONCATENATE(
"{  startDate=",CHAR(34),TEXT(G296,"yyyy-mm-dd"),CHAR(34),
"  endDate=",CHAR(34),TEXT(G296+W296-1,"yyyy-mm-dd"),CHAR(34),"}"))),
" &gt;&lt;/add-to-calendar-button&gt;")</f>
        <v>&lt;add-to-calendar-button  name="Northwest Arkansas Fall Singing"   location="West Fork Library Hall, 210 Garfield Ave, West Fork, AR 72774"   description="9:30am; shapenotesingings.com"   options="'Apple','Google','iCal','Outlook.com'"   styleLight="--btn-background: #550000; --btn-text: #fff; --btn-shadow:#fff;"startDate="2025-10-25"{endDate="2025-10-25" startTime="09:30" endTime="15:00" timeZone="America/Chicago" &gt;&lt;/add-to-calendar-button&gt;</v>
      </c>
      <c r="AE296" s="24">
        <v>0.39583333333333331</v>
      </c>
      <c r="AF296" s="24">
        <v>0.625</v>
      </c>
      <c r="AG296" s="25" t="s">
        <v>1533</v>
      </c>
    </row>
    <row r="297" spans="1:33" x14ac:dyDescent="0.3">
      <c r="A297" t="s">
        <v>8</v>
      </c>
      <c r="B297" t="s">
        <v>102</v>
      </c>
      <c r="C297" t="s">
        <v>1064</v>
      </c>
      <c r="D297" t="s">
        <v>269</v>
      </c>
      <c r="E297" t="s">
        <v>34</v>
      </c>
      <c r="F297" t="s">
        <v>692</v>
      </c>
      <c r="G297" s="7">
        <f ca="1">X297</f>
        <v>45955</v>
      </c>
      <c r="H297" s="5" t="s">
        <v>844</v>
      </c>
      <c r="L297" t="s">
        <v>953</v>
      </c>
      <c r="M297" s="16" t="s">
        <v>765</v>
      </c>
      <c r="N297" s="16" t="s">
        <v>764</v>
      </c>
      <c r="O297" s="7">
        <v>44927</v>
      </c>
      <c r="P297" s="7" t="s">
        <v>936</v>
      </c>
      <c r="Q297" s="18">
        <v>10</v>
      </c>
      <c r="R297" s="18">
        <v>4</v>
      </c>
      <c r="S297" s="18">
        <v>1</v>
      </c>
      <c r="T297" s="4">
        <f>DATE(AI$2,$Q297,1+(($R297-($S297&gt;=WEEKDAY(DATE(AI$2,$Q297,1))))*7)+($S297-WEEKDAY(DATE(AI$2,$Q297,1))))</f>
        <v>45956</v>
      </c>
      <c r="U297" s="4">
        <f>DATE(AJ$2,$Q297,1+(($R297-($S297&gt;=WEEKDAY(DATE(AJ$2,$Q297,1))))*7)+($S297-WEEKDAY(DATE(AJ$2,$Q297,1))))</f>
        <v>46320</v>
      </c>
      <c r="V297" s="20">
        <v>-1</v>
      </c>
      <c r="W297" s="20">
        <v>1</v>
      </c>
      <c r="X297" s="4">
        <f ca="1">Y297-(W297-1)</f>
        <v>45955</v>
      </c>
      <c r="Y297" s="5">
        <f t="shared" ca="1" si="0"/>
        <v>45955</v>
      </c>
      <c r="Z297" t="str">
        <f ca="1">CONCATENATE(IF(OR(Y297=X297,ISBLANK(Y297)),TEXT(X297,"mmmm d"),CONCATENATE(TEXT(X297,"mmmm d"),"-",IF(TEXT(X297,"mmmm")=TEXT(Y297,"mmmm"),TEXT(Y297,"d"),TEXT(Y297,"mmmm d")))),", ",YEAR(Y297))</f>
        <v>October 25, 2025</v>
      </c>
      <c r="AA297" s="7">
        <f>O297</f>
        <v>44927</v>
      </c>
      <c r="AB297" s="14">
        <f>T297+V297-(W297-1)</f>
        <v>45955</v>
      </c>
      <c r="AC297" t="s">
        <v>1376</v>
      </c>
      <c r="AD297" s="23" t="str">
        <f ca="1">CONCATENATE("&lt;add-to-calendar-button  name=",CHAR(34),H297,CHAR(34),
IF(ISBLANK(M297),"",CONCATENATE("   location=",CHAR(34),RIGHT(M297,LEN(M297)-SEARCH("|",M297)-1),CHAR(34))),
"   description=",CHAR(34),IF(ISBLANK(I297),"",CONCATENATE(I297,"; ")),"shapenotesingings.com",CHAR(34),
"   options=",CHAR(34),"'Apple','Google','iCal','Outlook.com'",CHAR(34),"   styleLight=",CHAR(34),"--btn-background: #550000; --btn-text: #fff; --btn-shadow:#fff;",CHAR(34),
IF(W297=1,CONCATENATE(
"startDate=",CHAR(34),TEXT(G297,"yyyy-mm-dd"),CHAR(34),
"{endDate=",CHAR(34),TEXT(G297,"yyyy-mm-dd"),CHAR(34),
IF(OR(ISBLANK(AE297),ISBLANK(AF297)),"",(CONCATENATE(" startTime=",CHAR(34),TEXT(AE297,"hh:mm"),CHAR(34)," endTime=",CHAR(34),TEXT(AF297,"h:mm"),CHAR(34),
" timeZone=",CHAR(34),AG297,CHAR(34))))),
IF(W297=2,CONCATENATE(" dates='[{",
CHAR(34),"startDate",CHAR(34),":",CHAR(34),TEXT(G297,"yyyy-mm-dd"),CHAR(34),", ",
,CHAR(34),"endDate",CHAR(34),":",CHAR(34),TEXT(G297,"yyyy-mm-dd"),CHAR(34),
IF(OR(ISBLANK(AE297),ISBLANK(AF297)),"",(CONCATENATE(", ",CHAR(34),"startTime",CHAR(34),":",CHAR(34),TEXT(AE297,"hh:mm"),CHAR(34),", ",CHAR(34),"endTime",CHAR(34),":",CHAR(34),TEXT(AF297,"hh:mm"),CHAR(34),", ",CHAR(34),"timeZone",CHAR(34),":",CHAR(34),AG297,CHAR(34)))),"}, {",
,CHAR(34),"startDate",CHAR(34),":",CHAR(34),TEXT(G297+1,"yyyy-mm-dd"),CHAR(34),", ",
,CHAR(34),"endDate",CHAR(34),":",CHAR(34),TEXT(G297+W297-1,"yyyy-mm-dd"),CHAR(34),
IF(OR(ISBLANK(AE297),ISBLANK(AF297)),"",(CONCATENATE(", ",CHAR(34),"startTime",CHAR(34),":",CHAR(34),TEXT(AE297,"hh:mm"),CHAR(34),", ",CHAR(34),"endTime",CHAR(34),":",CHAR(34),TEXT(AF297,"hh:mm"),CHAR(34),", ",CHAR(34),"timeZone",CHAR(34),":",CHAR(34),AG297,CHAR(34)))),"}]'"),
CONCATENATE(
"{  startDate=",CHAR(34),TEXT(G297,"yyyy-mm-dd"),CHAR(34),
"  endDate=",CHAR(34),TEXT(G297+W297-1,"yyyy-mm-dd"),CHAR(34),"}"))),
" &gt;&lt;/add-to-calendar-button&gt;")</f>
        <v>&lt;add-to-calendar-button  name="Spring Hill Convention"   location="Union Hill Church, 2759 Union Hill Church Rd, Bonifay, FL 32425"   description="shapenotesingings.com"   options="'Apple','Google','iCal','Outlook.com'"   styleLight="--btn-background: #550000; --btn-text: #fff; --btn-shadow:#fff;"startDate="2025-10-25"{endDate="2025-10-25" &gt;&lt;/add-to-calendar-button&gt;</v>
      </c>
      <c r="AG297" s="25" t="s">
        <v>1533</v>
      </c>
    </row>
    <row r="298" spans="1:33" ht="13.8" customHeight="1" x14ac:dyDescent="0.3">
      <c r="A298" t="s">
        <v>144</v>
      </c>
      <c r="B298" t="s">
        <v>144</v>
      </c>
      <c r="C298" t="s">
        <v>1162</v>
      </c>
      <c r="D298" t="s">
        <v>705</v>
      </c>
      <c r="E298" t="s">
        <v>2183</v>
      </c>
      <c r="F298" t="s">
        <v>2835</v>
      </c>
      <c r="G298" s="7">
        <f ca="1">X298</f>
        <v>45962</v>
      </c>
      <c r="H298" s="5" t="s">
        <v>704</v>
      </c>
      <c r="J298" s="36" t="s">
        <v>2625</v>
      </c>
      <c r="K298" t="s">
        <v>1690</v>
      </c>
      <c r="L298" t="s">
        <v>2356</v>
      </c>
      <c r="M298" s="16" t="s">
        <v>2304</v>
      </c>
      <c r="N298" s="16" t="s">
        <v>2305</v>
      </c>
      <c r="O298" s="32">
        <v>45725</v>
      </c>
      <c r="P298" s="7" t="s">
        <v>2836</v>
      </c>
      <c r="Q298" s="30">
        <v>11</v>
      </c>
      <c r="R298" s="30">
        <v>1</v>
      </c>
      <c r="S298" s="18">
        <v>1</v>
      </c>
      <c r="T298" s="4">
        <f>DATE(AI$2,$Q298,1+(($R298-($S298&gt;=WEEKDAY(DATE(AI$2,$Q298,1))))*7)+($S298-WEEKDAY(DATE(AI$2,$Q298,1))))</f>
        <v>45963</v>
      </c>
      <c r="U298" s="4">
        <f>DATE(AJ$2,$Q298,1+(($R298-($S298&gt;=WEEKDAY(DATE(AJ$2,$Q298,1))))*7)+($S298-WEEKDAY(DATE(AJ$2,$Q298,1))))</f>
        <v>46327</v>
      </c>
      <c r="V298" s="20">
        <v>0</v>
      </c>
      <c r="W298" s="20">
        <v>2</v>
      </c>
      <c r="X298" s="4">
        <f ca="1">Y298-(W298-1)</f>
        <v>45962</v>
      </c>
      <c r="Y298" s="5">
        <f t="shared" ca="1" si="0"/>
        <v>45963</v>
      </c>
      <c r="Z298" t="str">
        <f ca="1">CONCATENATE(IF(OR(Y298=X298,ISBLANK(Y298)),TEXT(X298,"mmmm d"),CONCATENATE(TEXT(X298,"mmmm d"),"-",IF(TEXT(X298,"mmmm")=TEXT(Y298,"mmmm"),TEXT(Y298,"d"),TEXT(Y298,"mmmm d")))),", ",YEAR(Y298))</f>
        <v>November 1-2, 2025</v>
      </c>
      <c r="AA298" s="7">
        <f>O298</f>
        <v>45725</v>
      </c>
      <c r="AB298" s="14">
        <f>T298+V298-(W298-1)</f>
        <v>45962</v>
      </c>
      <c r="AC298" t="s">
        <v>1378</v>
      </c>
      <c r="AD298" s="23" t="str">
        <f ca="1">CONCATENATE("&lt;add-to-calendar-button  name=",CHAR(34),H298,CHAR(34),
IF(ISBLANK(M298),"",CONCATENATE("   location=",CHAR(34),RIGHT(M298,LEN(M298)-SEARCH("|",M298)-1),CHAR(34))),
"   description=",CHAR(34),IF(ISBLANK(I298),"",CONCATENATE(I298,"; ")),"shapenotesingings.com",CHAR(34),
"   options=",CHAR(34),"'Apple','Google','iCal','Outlook.com'",CHAR(34),"   styleLight=",CHAR(34),"--btn-background: #550000; --btn-text: #fff; --btn-shadow:#fff;",CHAR(34),
IF(W298=1,CONCATENATE(
"startDate=",CHAR(34),TEXT(G298,"yyyy-mm-dd"),CHAR(34),
"{endDate=",CHAR(34),TEXT(G298,"yyyy-mm-dd"),CHAR(34),
IF(OR(ISBLANK(AE298),ISBLANK(AF298)),"",(CONCATENATE(" startTime=",CHAR(34),TEXT(AE298,"hh:mm"),CHAR(34)," endTime=",CHAR(34),TEXT(AF298,"h:mm"),CHAR(34),
" timeZone=",CHAR(34),AG298,CHAR(34))))),
IF(W298=2,CONCATENATE(" dates='[{",
CHAR(34),"startDate",CHAR(34),":",CHAR(34),TEXT(G298,"yyyy-mm-dd"),CHAR(34),", ",
,CHAR(34),"endDate",CHAR(34),":",CHAR(34),TEXT(G298,"yyyy-mm-dd"),CHAR(34),
IF(OR(ISBLANK(AE298),ISBLANK(AF298)),"",(CONCATENATE(", ",CHAR(34),"startTime",CHAR(34),":",CHAR(34),TEXT(AE298,"hh:mm"),CHAR(34),", ",CHAR(34),"endTime",CHAR(34),":",CHAR(34),TEXT(AF298,"hh:mm"),CHAR(34),", ",CHAR(34),"timeZone",CHAR(34),":",CHAR(34),AG298,CHAR(34)))),"}, {",
,CHAR(34),"startDate",CHAR(34),":",CHAR(34),TEXT(G298+1,"yyyy-mm-dd"),CHAR(34),", ",
,CHAR(34),"endDate",CHAR(34),":",CHAR(34),TEXT(G298+W298-1,"yyyy-mm-dd"),CHAR(34),
IF(OR(ISBLANK(AE298),ISBLANK(AF298)),"",(CONCATENATE(", ",CHAR(34),"startTime",CHAR(34),":",CHAR(34),TEXT(AE298,"hh:mm"),CHAR(34),", ",CHAR(34),"endTime",CHAR(34),":",CHAR(34),TEXT(AF298,"hh:mm"),CHAR(34),", ",CHAR(34),"timeZone",CHAR(34),":",CHAR(34),AG298,CHAR(34)))),"}]'"),
CONCATENATE(
"{  startDate=",CHAR(34),TEXT(G298,"yyyy-mm-dd"),CHAR(34),
"  endDate=",CHAR(34),TEXT(G298+W298-1,"yyyy-mm-dd"),CHAR(34),"}"))),
" &gt;&lt;/add-to-calendar-button&gt;")</f>
        <v>&lt;add-to-calendar-button  name="London Singing"   location="Highgate URC Church, Pond Square, South Grove, London N6 6BA, United Kingdom"   description="shapenotesingings.com"   options="'Apple','Google','iCal','Outlook.com'"   styleLight="--btn-background: #550000; --btn-text: #fff; --btn-shadow:#fff;" dates='[{"startDate":"2025-11-01", "endDate":"2025-11-01"}, {"startDate":"2025-11-02", "endDate":"2025-11-02"}]' &gt;&lt;/add-to-calendar-button&gt;</v>
      </c>
      <c r="AG298" s="25" t="s">
        <v>1535</v>
      </c>
    </row>
    <row r="299" spans="1:33" x14ac:dyDescent="0.3">
      <c r="A299" t="s">
        <v>8</v>
      </c>
      <c r="B299" t="s">
        <v>11</v>
      </c>
      <c r="C299" t="s">
        <v>1134</v>
      </c>
      <c r="D299" t="s">
        <v>467</v>
      </c>
      <c r="E299" t="s">
        <v>2178</v>
      </c>
      <c r="F299" t="s">
        <v>706</v>
      </c>
      <c r="G299" s="7">
        <f ca="1">X299</f>
        <v>45956</v>
      </c>
      <c r="H299" s="5" t="s">
        <v>566</v>
      </c>
      <c r="I299" t="s">
        <v>1040</v>
      </c>
      <c r="J299" s="36" t="s">
        <v>2995</v>
      </c>
      <c r="M299" s="16" t="s">
        <v>1014</v>
      </c>
      <c r="N299" s="16" t="s">
        <v>505</v>
      </c>
      <c r="O299" s="7">
        <v>45512</v>
      </c>
      <c r="P299" s="7" t="s">
        <v>2218</v>
      </c>
      <c r="Q299" s="18">
        <v>10</v>
      </c>
      <c r="R299" s="18">
        <v>4</v>
      </c>
      <c r="S299" s="18">
        <v>1</v>
      </c>
      <c r="T299" s="4">
        <f>DATE(AI$2,$Q299,1+(($R299-($S299&gt;=WEEKDAY(DATE(AI$2,$Q299,1))))*7)+($S299-WEEKDAY(DATE(AI$2,$Q299,1))))</f>
        <v>45956</v>
      </c>
      <c r="U299" s="4">
        <f>DATE(AJ$2,$Q299,1+(($R299-($S299&gt;=WEEKDAY(DATE(AJ$2,$Q299,1))))*7)+($S299-WEEKDAY(DATE(AJ$2,$Q299,1))))</f>
        <v>46320</v>
      </c>
      <c r="V299" s="20">
        <v>0</v>
      </c>
      <c r="W299" s="20">
        <v>1</v>
      </c>
      <c r="X299" s="4">
        <f ca="1">Y299-(W299-1)</f>
        <v>45956</v>
      </c>
      <c r="Y299" s="5">
        <f t="shared" ca="1" si="0"/>
        <v>45956</v>
      </c>
      <c r="Z299" t="str">
        <f ca="1">CONCATENATE(IF(OR(Y299=X299,ISBLANK(Y299)),TEXT(X299,"mmmm d"),CONCATENATE(TEXT(X299,"mmmm d"),"-",IF(TEXT(X299,"mmmm")=TEXT(Y299,"mmmm"),TEXT(Y299,"d"),TEXT(Y299,"mmmm d")))),", ",YEAR(Y299))</f>
        <v>October 26, 2025</v>
      </c>
      <c r="AA299" s="7">
        <f>O299</f>
        <v>45512</v>
      </c>
      <c r="AB299" s="14">
        <f>T299+V299-(W299-1)</f>
        <v>45956</v>
      </c>
      <c r="AC299" t="s">
        <v>1329</v>
      </c>
      <c r="AD299" s="23" t="str">
        <f ca="1">CONCATENATE("&lt;add-to-calendar-button  name=",CHAR(34),H299,CHAR(34),
IF(ISBLANK(M299),"",CONCATENATE("   location=",CHAR(34),RIGHT(M299,LEN(M299)-SEARCH("|",M299)-1),CHAR(34))),
"   description=",CHAR(34),IF(ISBLANK(I299),"",CONCATENATE(I299,"; ")),"shapenotesingings.com",CHAR(34),
"   options=",CHAR(34),"'Apple','Google','iCal','Outlook.com'",CHAR(34),"   styleLight=",CHAR(34),"--btn-background: #550000; --btn-text: #fff; --btn-shadow:#fff;",CHAR(34),
IF(W299=1,CONCATENATE(
"startDate=",CHAR(34),TEXT(G299,"yyyy-mm-dd"),CHAR(34),
"{endDate=",CHAR(34),TEXT(G299,"yyyy-mm-dd"),CHAR(34),
IF(OR(ISBLANK(AE299),ISBLANK(AF299)),"",(CONCATENATE(" startTime=",CHAR(34),TEXT(AE299,"hh:mm"),CHAR(34)," endTime=",CHAR(34),TEXT(AF299,"h:mm"),CHAR(34),
" timeZone=",CHAR(34),AG299,CHAR(34))))),
IF(W299=2,CONCATENATE(" dates='[{",
CHAR(34),"startDate",CHAR(34),":",CHAR(34),TEXT(G299,"yyyy-mm-dd"),CHAR(34),", ",
,CHAR(34),"endDate",CHAR(34),":",CHAR(34),TEXT(G299,"yyyy-mm-dd"),CHAR(34),
IF(OR(ISBLANK(AE299),ISBLANK(AF299)),"",(CONCATENATE(", ",CHAR(34),"startTime",CHAR(34),":",CHAR(34),TEXT(AE299,"hh:mm"),CHAR(34),", ",CHAR(34),"endTime",CHAR(34),":",CHAR(34),TEXT(AF299,"hh:mm"),CHAR(34),", ",CHAR(34),"timeZone",CHAR(34),":",CHAR(34),AG299,CHAR(34)))),"}, {",
,CHAR(34),"startDate",CHAR(34),":",CHAR(34),TEXT(G299+1,"yyyy-mm-dd"),CHAR(34),", ",
,CHAR(34),"endDate",CHAR(34),":",CHAR(34),TEXT(G299+W299-1,"yyyy-mm-dd"),CHAR(34),
IF(OR(ISBLANK(AE299),ISBLANK(AF299)),"",(CONCATENATE(", ",CHAR(34),"startTime",CHAR(34),":",CHAR(34),TEXT(AE299,"hh:mm"),CHAR(34),", ",CHAR(34),"endTime",CHAR(34),":",CHAR(34),TEXT(AF299,"hh:mm"),CHAR(34),", ",CHAR(34),"timeZone",CHAR(34),":",CHAR(34),AG299,CHAR(34)))),"}]'"),
CONCATENATE(
"{  startDate=",CHAR(34),TEXT(G299,"yyyy-mm-dd"),CHAR(34),
"  endDate=",CHAR(34),TEXT(G299+W299-1,"yyyy-mm-dd"),CHAR(34),"}"))),
" &gt;&lt;/add-to-calendar-button&gt;")</f>
        <v>&lt;add-to-calendar-button  name="Fayette County Convention"   location="Mt. Lebanon Baptist Church, Mt. Lebanon Rd, Fayette, AL 35555"   description="9:30am; shapenotesingings.com"   options="'Apple','Google','iCal','Outlook.com'"   styleLight="--btn-background: #550000; --btn-text: #fff; --btn-shadow:#fff;"startDate="2025-10-26"{endDate="2025-10-26" startTime="09:30" endTime="15:00" timeZone="America/Chicago" &gt;&lt;/add-to-calendar-button&gt;</v>
      </c>
      <c r="AE299" s="24">
        <v>0.39583333333333331</v>
      </c>
      <c r="AF299" s="24">
        <v>0.625</v>
      </c>
      <c r="AG299" s="25" t="s">
        <v>1533</v>
      </c>
    </row>
    <row r="300" spans="1:33" x14ac:dyDescent="0.3">
      <c r="A300" t="s">
        <v>8</v>
      </c>
      <c r="B300" t="s">
        <v>273</v>
      </c>
      <c r="C300" t="s">
        <v>1160</v>
      </c>
      <c r="D300" t="s">
        <v>1489</v>
      </c>
      <c r="E300" t="s">
        <v>777</v>
      </c>
      <c r="F300" t="s">
        <v>706</v>
      </c>
      <c r="G300" s="7">
        <f ca="1">X300</f>
        <v>45956</v>
      </c>
      <c r="H300" s="5" t="s">
        <v>1490</v>
      </c>
      <c r="I300" t="s">
        <v>1459</v>
      </c>
      <c r="J300" s="36" t="s">
        <v>2624</v>
      </c>
      <c r="L300" t="s">
        <v>1448</v>
      </c>
      <c r="M300" s="16" t="s">
        <v>1491</v>
      </c>
      <c r="N300" s="16" t="s">
        <v>1492</v>
      </c>
      <c r="O300" s="7">
        <v>45012</v>
      </c>
      <c r="P300" s="7" t="s">
        <v>1509</v>
      </c>
      <c r="Q300" s="18">
        <v>10</v>
      </c>
      <c r="R300" s="18">
        <v>4</v>
      </c>
      <c r="S300" s="18">
        <v>1</v>
      </c>
      <c r="T300" s="4">
        <f>DATE(AI$2,$Q300,1+(($R300-($S300&gt;=WEEKDAY(DATE(AI$2,$Q300,1))))*7)+($S300-WEEKDAY(DATE(AI$2,$Q300,1))))</f>
        <v>45956</v>
      </c>
      <c r="U300" s="4">
        <f>DATE(AJ$2,$Q300,1+(($R300-($S300&gt;=WEEKDAY(DATE(AJ$2,$Q300,1))))*7)+($S300-WEEKDAY(DATE(AJ$2,$Q300,1))))</f>
        <v>46320</v>
      </c>
      <c r="V300" s="20">
        <v>0</v>
      </c>
      <c r="W300" s="20">
        <v>1</v>
      </c>
      <c r="X300" s="4">
        <f ca="1">Y300-(W300-1)</f>
        <v>45956</v>
      </c>
      <c r="Y300" s="5">
        <f t="shared" ca="1" si="0"/>
        <v>45956</v>
      </c>
      <c r="Z300" t="str">
        <f ca="1">CONCATENATE(IF(OR(Y300=X300,ISBLANK(Y300)),TEXT(X300,"mmmm d"),CONCATENATE(TEXT(X300,"mmmm d"),"-",IF(TEXT(X300,"mmmm")=TEXT(Y300,"mmmm"),TEXT(Y300,"d"),TEXT(Y300,"mmmm d")))),", ",YEAR(Y300))</f>
        <v>October 26, 2025</v>
      </c>
      <c r="AA300" s="7">
        <f>O300</f>
        <v>45012</v>
      </c>
      <c r="AB300" s="14">
        <f>T300+V300-(W300-1)</f>
        <v>45956</v>
      </c>
      <c r="AC300" t="s">
        <v>1493</v>
      </c>
      <c r="AD300" s="23" t="str">
        <f ca="1">CONCATENATE("&lt;add-to-calendar-button  name=",CHAR(34),H300,CHAR(34),
IF(ISBLANK(M300),"",CONCATENATE("   location=",CHAR(34),RIGHT(M300,LEN(M300)-SEARCH("|",M300)-1),CHAR(34))),
"   description=",CHAR(34),IF(ISBLANK(I300),"",CONCATENATE(I300,"; ")),"shapenotesingings.com",CHAR(34),
"   options=",CHAR(34),"'Apple','Google','iCal','Outlook.com'",CHAR(34),"   styleLight=",CHAR(34),"--btn-background: #550000; --btn-text: #fff; --btn-shadow:#fff;",CHAR(34),
IF(W300=1,CONCATENATE(
"startDate=",CHAR(34),TEXT(G300,"yyyy-mm-dd"),CHAR(34),
"{endDate=",CHAR(34),TEXT(G300,"yyyy-mm-dd"),CHAR(34),
IF(OR(ISBLANK(AE300),ISBLANK(AF300)),"",(CONCATENATE(" startTime=",CHAR(34),TEXT(AE300,"hh:mm"),CHAR(34)," endTime=",CHAR(34),TEXT(AF300,"h:mm"),CHAR(34),
" timeZone=",CHAR(34),AG300,CHAR(34))))),
IF(W300=2,CONCATENATE(" dates='[{",
CHAR(34),"startDate",CHAR(34),":",CHAR(34),TEXT(G300,"yyyy-mm-dd"),CHAR(34),", ",
,CHAR(34),"endDate",CHAR(34),":",CHAR(34),TEXT(G300,"yyyy-mm-dd"),CHAR(34),
IF(OR(ISBLANK(AE300),ISBLANK(AF300)),"",(CONCATENATE(", ",CHAR(34),"startTime",CHAR(34),":",CHAR(34),TEXT(AE300,"hh:mm"),CHAR(34),", ",CHAR(34),"endTime",CHAR(34),":",CHAR(34),TEXT(AF300,"hh:mm"),CHAR(34),", ",CHAR(34),"timeZone",CHAR(34),":",CHAR(34),AG300,CHAR(34)))),"}, {",
,CHAR(34),"startDate",CHAR(34),":",CHAR(34),TEXT(G300+1,"yyyy-mm-dd"),CHAR(34),", ",
,CHAR(34),"endDate",CHAR(34),":",CHAR(34),TEXT(G300+W300-1,"yyyy-mm-dd"),CHAR(34),
IF(OR(ISBLANK(AE300),ISBLANK(AF300)),"",(CONCATENATE(", ",CHAR(34),"startTime",CHAR(34),":",CHAR(34),TEXT(AE300,"hh:mm"),CHAR(34),", ",CHAR(34),"endTime",CHAR(34),":",CHAR(34),TEXT(AF300,"hh:mm"),CHAR(34),", ",CHAR(34),"timeZone",CHAR(34),":",CHAR(34),AG300,CHAR(34)))),"}]'"),
CONCATENATE(
"{  startDate=",CHAR(34),TEXT(G300,"yyyy-mm-dd"),CHAR(34),
"  endDate=",CHAR(34),TEXT(G300+W300-1,"yyyy-mm-dd"),CHAR(34),"}"))),
" &gt;&lt;/add-to-calendar-button&gt;")</f>
        <v>&lt;add-to-calendar-button  name="Maryville College Singing"   location="Maryville College Center for Campus Ministry, 211 College St, Maryville, TN 37804"   description="2pm; shapenotesingings.com"   options="'Apple','Google','iCal','Outlook.com'"   styleLight="--btn-background: #550000; --btn-text: #fff; --btn-shadow:#fff;"startDate="2025-10-26"{endDate="2025-10-26" &gt;&lt;/add-to-calendar-button&gt;</v>
      </c>
      <c r="AG300" s="25" t="s">
        <v>1532</v>
      </c>
    </row>
    <row r="301" spans="1:33" x14ac:dyDescent="0.3">
      <c r="A301" t="s">
        <v>8</v>
      </c>
      <c r="B301" t="s">
        <v>17</v>
      </c>
      <c r="C301" t="s">
        <v>1140</v>
      </c>
      <c r="D301" t="s">
        <v>31</v>
      </c>
      <c r="E301" t="s">
        <v>2178</v>
      </c>
      <c r="F301" t="s">
        <v>708</v>
      </c>
      <c r="G301" s="7">
        <f ca="1">X301</f>
        <v>45962</v>
      </c>
      <c r="H301" s="5" t="s">
        <v>713</v>
      </c>
      <c r="I301" t="s">
        <v>1028</v>
      </c>
      <c r="J301" s="36" t="s">
        <v>2998</v>
      </c>
      <c r="K301" t="s">
        <v>1046</v>
      </c>
      <c r="L301" t="s">
        <v>2319</v>
      </c>
      <c r="M301" s="16" t="s">
        <v>714</v>
      </c>
      <c r="N301" s="16" t="s">
        <v>715</v>
      </c>
      <c r="O301" s="7">
        <v>44936</v>
      </c>
      <c r="P301" s="7" t="s">
        <v>926</v>
      </c>
      <c r="Q301" s="18">
        <v>11</v>
      </c>
      <c r="R301" s="18">
        <v>1</v>
      </c>
      <c r="S301" s="18">
        <v>1</v>
      </c>
      <c r="T301" s="4">
        <f>DATE(AI$2,$Q301,1+(($R301-($S301&gt;=WEEKDAY(DATE(AI$2,$Q301,1))))*7)+($S301-WEEKDAY(DATE(AI$2,$Q301,1))))</f>
        <v>45963</v>
      </c>
      <c r="U301" s="4">
        <f>DATE(AJ$2,$Q301,1+(($R301-($S301&gt;=WEEKDAY(DATE(AJ$2,$Q301,1))))*7)+($S301-WEEKDAY(DATE(AJ$2,$Q301,1))))</f>
        <v>46327</v>
      </c>
      <c r="V301" s="20">
        <v>-1</v>
      </c>
      <c r="W301" s="20">
        <v>1</v>
      </c>
      <c r="X301" s="4">
        <f ca="1">Y301-(W301-1)</f>
        <v>45962</v>
      </c>
      <c r="Y301" s="5">
        <f t="shared" ca="1" si="0"/>
        <v>45962</v>
      </c>
      <c r="Z301" t="str">
        <f ca="1">CONCATENATE(IF(OR(Y301=X301,ISBLANK(Y301)),TEXT(X301,"mmmm d"),CONCATENATE(TEXT(X301,"mmmm d"),"-",IF(TEXT(X301,"mmmm")=TEXT(Y301,"mmmm"),TEXT(Y301,"d"),TEXT(Y301,"mmmm d")))),", ",YEAR(Y301))</f>
        <v>November 1, 2025</v>
      </c>
      <c r="AA301" s="7">
        <f>O301</f>
        <v>44936</v>
      </c>
      <c r="AB301" s="14">
        <f>T301+V301-(W301-1)</f>
        <v>45962</v>
      </c>
      <c r="AC301" t="s">
        <v>1381</v>
      </c>
      <c r="AD301" s="23" t="str">
        <f ca="1">CONCATENATE("&lt;add-to-calendar-button  name=",CHAR(34),H301,CHAR(34),
IF(ISBLANK(M301),"",CONCATENATE("   location=",CHAR(34),RIGHT(M301,LEN(M301)-SEARCH("|",M301)-1),CHAR(34))),
"   description=",CHAR(34),IF(ISBLANK(I301),"",CONCATENATE(I301,"; ")),"shapenotesingings.com",CHAR(34),
"   options=",CHAR(34),"'Apple','Google','iCal','Outlook.com'",CHAR(34),"   styleLight=",CHAR(34),"--btn-background: #550000; --btn-text: #fff; --btn-shadow:#fff;",CHAR(34),
IF(W301=1,CONCATENATE(
"startDate=",CHAR(34),TEXT(G301,"yyyy-mm-dd"),CHAR(34),
"{endDate=",CHAR(34),TEXT(G301,"yyyy-mm-dd"),CHAR(34),
IF(OR(ISBLANK(AE301),ISBLANK(AF301)),"",(CONCATENATE(" startTime=",CHAR(34),TEXT(AE301,"hh:mm"),CHAR(34)," endTime=",CHAR(34),TEXT(AF301,"h:mm"),CHAR(34),
" timeZone=",CHAR(34),AG301,CHAR(34))))),
IF(W301=2,CONCATENATE(" dates='[{",
CHAR(34),"startDate",CHAR(34),":",CHAR(34),TEXT(G301,"yyyy-mm-dd"),CHAR(34),", ",
,CHAR(34),"endDate",CHAR(34),":",CHAR(34),TEXT(G301,"yyyy-mm-dd"),CHAR(34),
IF(OR(ISBLANK(AE301),ISBLANK(AF301)),"",(CONCATENATE(", ",CHAR(34),"startTime",CHAR(34),":",CHAR(34),TEXT(AE301,"hh:mm"),CHAR(34),", ",CHAR(34),"endTime",CHAR(34),":",CHAR(34),TEXT(AF301,"hh:mm"),CHAR(34),", ",CHAR(34),"timeZone",CHAR(34),":",CHAR(34),AG301,CHAR(34)))),"}, {",
,CHAR(34),"startDate",CHAR(34),":",CHAR(34),TEXT(G301+1,"yyyy-mm-dd"),CHAR(34),", ",
,CHAR(34),"endDate",CHAR(34),":",CHAR(34),TEXT(G301+W301-1,"yyyy-mm-dd"),CHAR(34),
IF(OR(ISBLANK(AE301),ISBLANK(AF301)),"",(CONCATENATE(", ",CHAR(34),"startTime",CHAR(34),":",CHAR(34),TEXT(AE301,"hh:mm"),CHAR(34),", ",CHAR(34),"endTime",CHAR(34),":",CHAR(34),TEXT(AF301,"hh:mm"),CHAR(34),", ",CHAR(34),"timeZone",CHAR(34),":",CHAR(34),AG301,CHAR(34)))),"}]'"),
CONCATENATE(
"{  startDate=",CHAR(34),TEXT(G301,"yyyy-mm-dd"),CHAR(34),
"  endDate=",CHAR(34),TEXT(G301+W301-1,"yyyy-mm-dd"),CHAR(34),"}"))),
" &gt;&lt;/add-to-calendar-button&gt;")</f>
        <v>&lt;add-to-calendar-button  name="Denney Memorial"   location="Emmaus Primitive Baptist Church, 2063 Oak Grove Church Rd, Carrollton, GA 30117"   description="10am; shapenotesingings.com"   options="'Apple','Google','iCal','Outlook.com'"   styleLight="--btn-background: #550000; --btn-text: #fff; --btn-shadow:#fff;"startDate="2025-11-01"{endDate="2025-11-01" startTime="10:00" endTime="15:00" timeZone="America/New_York" &gt;&lt;/add-to-calendar-button&gt;</v>
      </c>
      <c r="AE301" s="24">
        <v>0.41666666666666669</v>
      </c>
      <c r="AF301" s="24">
        <v>0.625</v>
      </c>
      <c r="AG301" s="25" t="s">
        <v>1532</v>
      </c>
    </row>
    <row r="302" spans="1:33" x14ac:dyDescent="0.3">
      <c r="A302" t="s">
        <v>8</v>
      </c>
      <c r="B302" t="s">
        <v>11</v>
      </c>
      <c r="C302" t="s">
        <v>1134</v>
      </c>
      <c r="D302" t="s">
        <v>1963</v>
      </c>
      <c r="E302" t="s">
        <v>2177</v>
      </c>
      <c r="F302" t="s">
        <v>708</v>
      </c>
      <c r="G302" s="7">
        <f ca="1">X302</f>
        <v>45962</v>
      </c>
      <c r="H302" s="5" t="s">
        <v>712</v>
      </c>
      <c r="I302" t="s">
        <v>1028</v>
      </c>
      <c r="J302" s="36" t="s">
        <v>2999</v>
      </c>
      <c r="L302" t="s">
        <v>2486</v>
      </c>
      <c r="M302" s="16" t="s">
        <v>988</v>
      </c>
      <c r="N302" s="16" t="s">
        <v>135</v>
      </c>
      <c r="O302" s="7">
        <v>44936</v>
      </c>
      <c r="P302" s="7" t="s">
        <v>926</v>
      </c>
      <c r="Q302" s="18">
        <v>11</v>
      </c>
      <c r="R302" s="18">
        <v>1</v>
      </c>
      <c r="S302" s="18">
        <v>1</v>
      </c>
      <c r="T302" s="4">
        <f>DATE(AI$2,$Q302,1+(($R302-($S302&gt;=WEEKDAY(DATE(AI$2,$Q302,1))))*7)+($S302-WEEKDAY(DATE(AI$2,$Q302,1))))</f>
        <v>45963</v>
      </c>
      <c r="U302" s="4">
        <f>DATE(AJ$2,$Q302,1+(($R302-($S302&gt;=WEEKDAY(DATE(AJ$2,$Q302,1))))*7)+($S302-WEEKDAY(DATE(AJ$2,$Q302,1))))</f>
        <v>46327</v>
      </c>
      <c r="V302" s="20">
        <v>-1</v>
      </c>
      <c r="W302" s="20">
        <v>1</v>
      </c>
      <c r="X302" s="4">
        <f ca="1">Y302-(W302-1)</f>
        <v>45962</v>
      </c>
      <c r="Y302" s="5">
        <f t="shared" ca="1" si="0"/>
        <v>45962</v>
      </c>
      <c r="Z302" t="str">
        <f ca="1">CONCATENATE(IF(OR(Y302=X302,ISBLANK(Y302)),TEXT(X302,"mmmm d"),CONCATENATE(TEXT(X302,"mmmm d"),"-",IF(TEXT(X302,"mmmm")=TEXT(Y302,"mmmm"),TEXT(Y302,"d"),TEXT(Y302,"mmmm d")))),", ",YEAR(Y302))</f>
        <v>November 1, 2025</v>
      </c>
      <c r="AA302" s="7">
        <f>O302</f>
        <v>44936</v>
      </c>
      <c r="AB302" s="14">
        <f>T302+V302-(W302-1)</f>
        <v>45962</v>
      </c>
      <c r="AC302" t="s">
        <v>1380</v>
      </c>
      <c r="AD302" s="23" t="str">
        <f ca="1">CONCATENATE("&lt;add-to-calendar-button  name=",CHAR(34),H302,CHAR(34),
IF(ISBLANK(M302),"",CONCATENATE("   location=",CHAR(34),RIGHT(M302,LEN(M302)-SEARCH("|",M302)-1),CHAR(34))),
"   description=",CHAR(34),IF(ISBLANK(I302),"",CONCATENATE(I302,"; ")),"shapenotesingings.com",CHAR(34),
"   options=",CHAR(34),"'Apple','Google','iCal','Outlook.com'",CHAR(34),"   styleLight=",CHAR(34),"--btn-background: #550000; --btn-text: #fff; --btn-shadow:#fff;",CHAR(34),
IF(W302=1,CONCATENATE(
"startDate=",CHAR(34),TEXT(G302,"yyyy-mm-dd"),CHAR(34),
"{endDate=",CHAR(34),TEXT(G302,"yyyy-mm-dd"),CHAR(34),
IF(OR(ISBLANK(AE302),ISBLANK(AF302)),"",(CONCATENATE(" startTime=",CHAR(34),TEXT(AE302,"hh:mm"),CHAR(34)," endTime=",CHAR(34),TEXT(AF302,"h:mm"),CHAR(34),
" timeZone=",CHAR(34),AG302,CHAR(34))))),
IF(W302=2,CONCATENATE(" dates='[{",
CHAR(34),"startDate",CHAR(34),":",CHAR(34),TEXT(G302,"yyyy-mm-dd"),CHAR(34),", ",
,CHAR(34),"endDate",CHAR(34),":",CHAR(34),TEXT(G302,"yyyy-mm-dd"),CHAR(34),
IF(OR(ISBLANK(AE302),ISBLANK(AF302)),"",(CONCATENATE(", ",CHAR(34),"startTime",CHAR(34),":",CHAR(34),TEXT(AE302,"hh:mm"),CHAR(34),", ",CHAR(34),"endTime",CHAR(34),":",CHAR(34),TEXT(AF302,"hh:mm"),CHAR(34),", ",CHAR(34),"timeZone",CHAR(34),":",CHAR(34),AG302,CHAR(34)))),"}, {",
,CHAR(34),"startDate",CHAR(34),":",CHAR(34),TEXT(G302+1,"yyyy-mm-dd"),CHAR(34),", ",
,CHAR(34),"endDate",CHAR(34),":",CHAR(34),TEXT(G302+W302-1,"yyyy-mm-dd"),CHAR(34),
IF(OR(ISBLANK(AE302),ISBLANK(AF302)),"",(CONCATENATE(", ",CHAR(34),"startTime",CHAR(34),":",CHAR(34),TEXT(AE302,"hh:mm"),CHAR(34),", ",CHAR(34),"endTime",CHAR(34),":",CHAR(34),TEXT(AF302,"hh:mm"),CHAR(34),", ",CHAR(34),"timeZone",CHAR(34),":",CHAR(34),AG302,CHAR(34)))),"}]'"),
CONCATENATE(
"{  startDate=",CHAR(34),TEXT(G302,"yyyy-mm-dd"),CHAR(34),
"  endDate=",CHAR(34),TEXT(G302+W302-1,"yyyy-mm-dd"),CHAR(34),"}"))),
" &gt;&lt;/add-to-calendar-button&gt;")</f>
        <v>&lt;add-to-calendar-button  name="Velton Chafin Memorial Singing"   location="Liberty Primitive Baptist Church, 7828 McCormick Rd, Dora, AL 35062"   description="10am; shapenotesingings.com"   options="'Apple','Google','iCal','Outlook.com'"   styleLight="--btn-background: #550000; --btn-text: #fff; --btn-shadow:#fff;"startDate="2025-11-01"{endDate="2025-11-01" startTime="10:00" endTime="15:00" timeZone="America/Chicago" &gt;&lt;/add-to-calendar-button&gt;</v>
      </c>
      <c r="AE302" s="24">
        <v>0.41666666666666669</v>
      </c>
      <c r="AF302" s="24">
        <v>0.625</v>
      </c>
      <c r="AG302" s="25" t="s">
        <v>1533</v>
      </c>
    </row>
    <row r="303" spans="1:33" x14ac:dyDescent="0.3">
      <c r="A303" t="s">
        <v>8</v>
      </c>
      <c r="B303" t="s">
        <v>40</v>
      </c>
      <c r="C303" t="s">
        <v>1161</v>
      </c>
      <c r="D303" t="s">
        <v>707</v>
      </c>
      <c r="E303" t="s">
        <v>2178</v>
      </c>
      <c r="F303" t="s">
        <v>708</v>
      </c>
      <c r="G303" s="7">
        <f ca="1">X303</f>
        <v>45962</v>
      </c>
      <c r="H303" s="5" t="s">
        <v>709</v>
      </c>
      <c r="I303" t="s">
        <v>1037</v>
      </c>
      <c r="J303" s="36" t="s">
        <v>3000</v>
      </c>
      <c r="K303" t="s">
        <v>2285</v>
      </c>
      <c r="L303" t="s">
        <v>2358</v>
      </c>
      <c r="M303" s="16" t="s">
        <v>710</v>
      </c>
      <c r="N303" s="16" t="s">
        <v>711</v>
      </c>
      <c r="O303" s="7">
        <v>44927</v>
      </c>
      <c r="P303" s="7" t="s">
        <v>937</v>
      </c>
      <c r="Q303" s="18">
        <v>11</v>
      </c>
      <c r="R303" s="18">
        <v>1</v>
      </c>
      <c r="S303" s="18">
        <v>1</v>
      </c>
      <c r="T303" s="4">
        <f>DATE(AI$2,$Q303,1+(($R303-($S303&gt;=WEEKDAY(DATE(AI$2,$Q303,1))))*7)+($S303-WEEKDAY(DATE(AI$2,$Q303,1))))</f>
        <v>45963</v>
      </c>
      <c r="U303" s="4">
        <f>DATE(AJ$2,$Q303,1+(($R303-($S303&gt;=WEEKDAY(DATE(AJ$2,$Q303,1))))*7)+($S303-WEEKDAY(DATE(AJ$2,$Q303,1))))</f>
        <v>46327</v>
      </c>
      <c r="V303" s="20">
        <v>-1</v>
      </c>
      <c r="W303" s="20">
        <v>1</v>
      </c>
      <c r="X303" s="4">
        <f ca="1">Y303-(W303-1)</f>
        <v>45962</v>
      </c>
      <c r="Y303" s="5">
        <f t="shared" ca="1" si="0"/>
        <v>45962</v>
      </c>
      <c r="Z303" t="str">
        <f ca="1">CONCATENATE(IF(OR(Y303=X303,ISBLANK(Y303)),TEXT(X303,"mmmm d"),CONCATENATE(TEXT(X303,"mmmm d"),"-",IF(TEXT(X303,"mmmm")=TEXT(Y303,"mmmm"),TEXT(Y303,"d"),TEXT(Y303,"mmmm d")))),", ",YEAR(Y303))</f>
        <v>November 1, 2025</v>
      </c>
      <c r="AA303" s="7">
        <f>O303</f>
        <v>44927</v>
      </c>
      <c r="AB303" s="14">
        <f>T303+V303-(W303-1)</f>
        <v>45962</v>
      </c>
      <c r="AC303" t="s">
        <v>1383</v>
      </c>
      <c r="AD303" s="23" t="str">
        <f ca="1">CONCATENATE("&lt;add-to-calendar-button  name=",CHAR(34),H303,CHAR(34),
IF(ISBLANK(M303),"",CONCATENATE("   location=",CHAR(34),RIGHT(M303,LEN(M303)-SEARCH("|",M303)-1),CHAR(34))),
"   description=",CHAR(34),IF(ISBLANK(I303),"",CONCATENATE(I303,"; ")),"shapenotesingings.com",CHAR(34),
"   options=",CHAR(34),"'Apple','Google','iCal','Outlook.com'",CHAR(34),"   styleLight=",CHAR(34),"--btn-background: #550000; --btn-text: #fff; --btn-shadow:#fff;",CHAR(34),
IF(W303=1,CONCATENATE(
"startDate=",CHAR(34),TEXT(G303,"yyyy-mm-dd"),CHAR(34),
"{endDate=",CHAR(34),TEXT(G303,"yyyy-mm-dd"),CHAR(34),
IF(OR(ISBLANK(AE303),ISBLANK(AF303)),"",(CONCATENATE(" startTime=",CHAR(34),TEXT(AE303,"hh:mm"),CHAR(34)," endTime=",CHAR(34),TEXT(AF303,"h:mm"),CHAR(34),
" timeZone=",CHAR(34),AG303,CHAR(34))))),
IF(W303=2,CONCATENATE(" dates='[{",
CHAR(34),"startDate",CHAR(34),":",CHAR(34),TEXT(G303,"yyyy-mm-dd"),CHAR(34),", ",
,CHAR(34),"endDate",CHAR(34),":",CHAR(34),TEXT(G303,"yyyy-mm-dd"),CHAR(34),
IF(OR(ISBLANK(AE303),ISBLANK(AF303)),"",(CONCATENATE(", ",CHAR(34),"startTime",CHAR(34),":",CHAR(34),TEXT(AE303,"hh:mm"),CHAR(34),", ",CHAR(34),"endTime",CHAR(34),":",CHAR(34),TEXT(AF303,"hh:mm"),CHAR(34),", ",CHAR(34),"timeZone",CHAR(34),":",CHAR(34),AG303,CHAR(34)))),"}, {",
,CHAR(34),"startDate",CHAR(34),":",CHAR(34),TEXT(G303+1,"yyyy-mm-dd"),CHAR(34),", ",
,CHAR(34),"endDate",CHAR(34),":",CHAR(34),TEXT(G303+W303-1,"yyyy-mm-dd"),CHAR(34),
IF(OR(ISBLANK(AE303),ISBLANK(AF303)),"",(CONCATENATE(", ",CHAR(34),"startTime",CHAR(34),":",CHAR(34),TEXT(AE303,"hh:mm"),CHAR(34),", ",CHAR(34),"endTime",CHAR(34),":",CHAR(34),TEXT(AF303,"hh:mm"),CHAR(34),", ",CHAR(34),"timeZone",CHAR(34),":",CHAR(34),AG303,CHAR(34)))),"}]'"),
CONCATENATE(
"{  startDate=",CHAR(34),TEXT(G303,"yyyy-mm-dd"),CHAR(34),
"  endDate=",CHAR(34),TEXT(G303+W303-1,"yyyy-mm-dd"),CHAR(34),"}"))),
" &gt;&lt;/add-to-calendar-button&gt;")</f>
        <v>&lt;add-to-calendar-button  name="Dallas Singing"   location="Meaders Hall, Cochran Chapel United Methodist Church, 9027 Midway Rd., Dallas, Texas"   description="10am-3pm; shapenotesingings.com"   options="'Apple','Google','iCal','Outlook.com'"   styleLight="--btn-background: #550000; --btn-text: #fff; --btn-shadow:#fff;"startDate="2025-11-01"{endDate="2025-11-01" startTime="09:30" endTime="15:00" timeZone="America/Chicago" &gt;&lt;/add-to-calendar-button&gt;</v>
      </c>
      <c r="AE303" s="24">
        <v>0.39583333333333331</v>
      </c>
      <c r="AF303" s="24">
        <v>0.625</v>
      </c>
      <c r="AG303" s="25" t="s">
        <v>1533</v>
      </c>
    </row>
    <row r="304" spans="1:33" x14ac:dyDescent="0.3">
      <c r="A304" t="s">
        <v>8</v>
      </c>
      <c r="B304" t="s">
        <v>36</v>
      </c>
      <c r="C304" t="s">
        <v>1142</v>
      </c>
      <c r="D304" t="s">
        <v>37</v>
      </c>
      <c r="E304" t="s">
        <v>2182</v>
      </c>
      <c r="F304" t="s">
        <v>708</v>
      </c>
      <c r="G304" s="7">
        <f ca="1">X304</f>
        <v>45962</v>
      </c>
      <c r="H304" s="5" t="s">
        <v>718</v>
      </c>
      <c r="I304" t="s">
        <v>1045</v>
      </c>
      <c r="J304" s="36" t="s">
        <v>3001</v>
      </c>
      <c r="L304" t="s">
        <v>2357</v>
      </c>
      <c r="M304" s="16" t="s">
        <v>716</v>
      </c>
      <c r="N304" s="16" t="s">
        <v>717</v>
      </c>
      <c r="O304" s="7">
        <v>44936</v>
      </c>
      <c r="P304" s="7" t="s">
        <v>926</v>
      </c>
      <c r="Q304" s="18">
        <v>11</v>
      </c>
      <c r="R304" s="18">
        <v>1</v>
      </c>
      <c r="S304" s="18">
        <v>1</v>
      </c>
      <c r="T304" s="4">
        <f>DATE(AI$2,$Q304,1+(($R304-($S304&gt;=WEEKDAY(DATE(AI$2,$Q304,1))))*7)+($S304-WEEKDAY(DATE(AI$2,$Q304,1))))</f>
        <v>45963</v>
      </c>
      <c r="U304" s="4">
        <f>DATE(AJ$2,$Q304,1+(($R304-($S304&gt;=WEEKDAY(DATE(AJ$2,$Q304,1))))*7)+($S304-WEEKDAY(DATE(AJ$2,$Q304,1))))</f>
        <v>46327</v>
      </c>
      <c r="V304" s="20">
        <v>-1</v>
      </c>
      <c r="W304" s="20">
        <v>1</v>
      </c>
      <c r="X304" s="4">
        <f ca="1">Y304-(W304-1)</f>
        <v>45962</v>
      </c>
      <c r="Y304" s="5">
        <f t="shared" ca="1" si="0"/>
        <v>45962</v>
      </c>
      <c r="Z304" t="str">
        <f ca="1">CONCATENATE(IF(OR(Y304=X304,ISBLANK(Y304)),TEXT(X304,"mmmm d"),CONCATENATE(TEXT(X304,"mmmm d"),"-",IF(TEXT(X304,"mmmm")=TEXT(Y304,"mmmm"),TEXT(Y304,"d"),TEXT(Y304,"mmmm d")))),", ",YEAR(Y304))</f>
        <v>November 1, 2025</v>
      </c>
      <c r="AA304" s="7">
        <f>O304</f>
        <v>44936</v>
      </c>
      <c r="AB304" s="14">
        <f>T304+V304-(W304-1)</f>
        <v>45962</v>
      </c>
      <c r="AC304" t="s">
        <v>1382</v>
      </c>
      <c r="AD304" s="23" t="str">
        <f ca="1">CONCATENATE("&lt;add-to-calendar-button  name=",CHAR(34),H304,CHAR(34),
IF(ISBLANK(M304),"",CONCATENATE("   location=",CHAR(34),RIGHT(M304,LEN(M304)-SEARCH("|",M304)-1),CHAR(34))),
"   description=",CHAR(34),IF(ISBLANK(I304),"",CONCATENATE(I304,"; ")),"shapenotesingings.com",CHAR(34),
"   options=",CHAR(34),"'Apple','Google','iCal','Outlook.com'",CHAR(34),"   styleLight=",CHAR(34),"--btn-background: #550000; --btn-text: #fff; --btn-shadow:#fff;",CHAR(34),
IF(W304=1,CONCATENATE(
"startDate=",CHAR(34),TEXT(G304,"yyyy-mm-dd"),CHAR(34),
"{endDate=",CHAR(34),TEXT(G304,"yyyy-mm-dd"),CHAR(34),
IF(OR(ISBLANK(AE304),ISBLANK(AF304)),"",(CONCATENATE(" startTime=",CHAR(34),TEXT(AE304,"hh:mm"),CHAR(34)," endTime=",CHAR(34),TEXT(AF304,"h:mm"),CHAR(34),
" timeZone=",CHAR(34),AG304,CHAR(34))))),
IF(W304=2,CONCATENATE(" dates='[{",
CHAR(34),"startDate",CHAR(34),":",CHAR(34),TEXT(G304,"yyyy-mm-dd"),CHAR(34),", ",
,CHAR(34),"endDate",CHAR(34),":",CHAR(34),TEXT(G304,"yyyy-mm-dd"),CHAR(34),
IF(OR(ISBLANK(AE304),ISBLANK(AF304)),"",(CONCATENATE(", ",CHAR(34),"startTime",CHAR(34),":",CHAR(34),TEXT(AE304,"hh:mm"),CHAR(34),", ",CHAR(34),"endTime",CHAR(34),":",CHAR(34),TEXT(AF304,"hh:mm"),CHAR(34),", ",CHAR(34),"timeZone",CHAR(34),":",CHAR(34),AG304,CHAR(34)))),"}, {",
,CHAR(34),"startDate",CHAR(34),":",CHAR(34),TEXT(G304+1,"yyyy-mm-dd"),CHAR(34),", ",
,CHAR(34),"endDate",CHAR(34),":",CHAR(34),TEXT(G304+W304-1,"yyyy-mm-dd"),CHAR(34),
IF(OR(ISBLANK(AE304),ISBLANK(AF304)),"",(CONCATENATE(", ",CHAR(34),"startTime",CHAR(34),":",CHAR(34),TEXT(AE304,"hh:mm"),CHAR(34),", ",CHAR(34),"endTime",CHAR(34),":",CHAR(34),TEXT(AF304,"hh:mm"),CHAR(34),", ",CHAR(34),"timeZone",CHAR(34),":",CHAR(34),AG304,CHAR(34)))),"}]'"),
CONCATENATE(
"{  startDate=",CHAR(34),TEXT(G304,"yyyy-mm-dd"),CHAR(34),
"  endDate=",CHAR(34),TEXT(G304+W304-1,"yyyy-mm-dd"),CHAR(34),"}"))),
" &gt;&lt;/add-to-calendar-button&gt;")</f>
        <v>&lt;add-to-calendar-button  name="Hyde Park Singing"   location="57th Street Meeting of Friends, 5615 S. Woodlawn, Chicago IL"   description="9:30am-3:30pm; shapenotesingings.com"   options="'Apple','Google','iCal','Outlook.com'"   styleLight="--btn-background: #550000; --btn-text: #fff; --btn-shadow:#fff;"startDate="2025-11-01"{endDate="2025-11-01" startTime="09:30" endTime="14:30" timeZone="America/Chicago" &gt;&lt;/add-to-calendar-button&gt;</v>
      </c>
      <c r="AE304" s="24">
        <v>0.39583333333333331</v>
      </c>
      <c r="AF304" s="24">
        <v>0.60416666666666663</v>
      </c>
      <c r="AG304" s="25" t="s">
        <v>1533</v>
      </c>
    </row>
    <row r="305" spans="1:33" x14ac:dyDescent="0.3">
      <c r="A305" t="s">
        <v>8</v>
      </c>
      <c r="B305" t="s">
        <v>291</v>
      </c>
      <c r="C305" t="s">
        <v>1163</v>
      </c>
      <c r="D305" t="s">
        <v>741</v>
      </c>
      <c r="E305" t="s">
        <v>2176</v>
      </c>
      <c r="F305" t="s">
        <v>708</v>
      </c>
      <c r="G305" s="7">
        <f ca="1">X305</f>
        <v>45962</v>
      </c>
      <c r="H305" s="5" t="s">
        <v>740</v>
      </c>
      <c r="I305" t="s">
        <v>1101</v>
      </c>
      <c r="J305" s="36" t="s">
        <v>3002</v>
      </c>
      <c r="L305" t="s">
        <v>2281</v>
      </c>
      <c r="M305" s="16" t="s">
        <v>1426</v>
      </c>
      <c r="N305" s="16" t="s">
        <v>1427</v>
      </c>
      <c r="O305" s="7">
        <v>45153</v>
      </c>
      <c r="P305" s="7" t="s">
        <v>2004</v>
      </c>
      <c r="Q305" s="18">
        <v>11</v>
      </c>
      <c r="R305" s="18">
        <v>1</v>
      </c>
      <c r="S305" s="18">
        <v>1</v>
      </c>
      <c r="T305" s="4">
        <f>DATE(AI$2,$Q305,1+(($R305-($S305&gt;=WEEKDAY(DATE(AI$2,$Q305,1))))*7)+($S305-WEEKDAY(DATE(AI$2,$Q305,1))))</f>
        <v>45963</v>
      </c>
      <c r="U305" s="4">
        <f>DATE(AJ$2,$Q305,1+(($R305-($S305&gt;=WEEKDAY(DATE(AJ$2,$Q305,1))))*7)+($S305-WEEKDAY(DATE(AJ$2,$Q305,1))))</f>
        <v>46327</v>
      </c>
      <c r="V305" s="20">
        <v>-1</v>
      </c>
      <c r="W305" s="20">
        <v>1</v>
      </c>
      <c r="X305" s="4">
        <f ca="1">Y305-(W305-1)</f>
        <v>45962</v>
      </c>
      <c r="Y305" s="5">
        <f t="shared" ca="1" si="0"/>
        <v>45962</v>
      </c>
      <c r="Z305" t="str">
        <f ca="1">CONCATENATE(IF(OR(Y305=X305,ISBLANK(Y305)),TEXT(X305,"mmmm d"),CONCATENATE(TEXT(X305,"mmmm d"),"-",IF(TEXT(X305,"mmmm")=TEXT(Y305,"mmmm"),TEXT(Y305,"d"),TEXT(Y305,"mmmm d")))),", ",YEAR(Y305))</f>
        <v>November 1, 2025</v>
      </c>
      <c r="AA305" s="7">
        <f>O305</f>
        <v>45153</v>
      </c>
      <c r="AB305" s="14">
        <f>T305+V305-(W305-1)</f>
        <v>45962</v>
      </c>
      <c r="AC305" t="s">
        <v>1428</v>
      </c>
      <c r="AD305" s="23" t="str">
        <f ca="1">CONCATENATE("&lt;add-to-calendar-button  name=",CHAR(34),H305,CHAR(34),
IF(ISBLANK(M305),"",CONCATENATE("   location=",CHAR(34),RIGHT(M305,LEN(M305)-SEARCH("|",M305)-1),CHAR(34))),
"   description=",CHAR(34),IF(ISBLANK(I305),"",CONCATENATE(I305,"; ")),"shapenotesingings.com",CHAR(34),
"   options=",CHAR(34),"'Apple','Google','iCal','Outlook.com'",CHAR(34),"   styleLight=",CHAR(34),"--btn-background: #550000; --btn-text: #fff; --btn-shadow:#fff;",CHAR(34),
IF(W305=1,CONCATENATE(
"startDate=",CHAR(34),TEXT(G305,"yyyy-mm-dd"),CHAR(34),
"{endDate=",CHAR(34),TEXT(G305,"yyyy-mm-dd"),CHAR(34),
IF(OR(ISBLANK(AE305),ISBLANK(AF305)),"",(CONCATENATE(" startTime=",CHAR(34),TEXT(AE305,"hh:mm"),CHAR(34)," endTime=",CHAR(34),TEXT(AF305,"h:mm"),CHAR(34),
" timeZone=",CHAR(34),AG305,CHAR(34))))),
IF(W305=2,CONCATENATE(" dates='[{",
CHAR(34),"startDate",CHAR(34),":",CHAR(34),TEXT(G305,"yyyy-mm-dd"),CHAR(34),", ",
,CHAR(34),"endDate",CHAR(34),":",CHAR(34),TEXT(G305,"yyyy-mm-dd"),CHAR(34),
IF(OR(ISBLANK(AE305),ISBLANK(AF305)),"",(CONCATENATE(", ",CHAR(34),"startTime",CHAR(34),":",CHAR(34),TEXT(AE305,"hh:mm"),CHAR(34),", ",CHAR(34),"endTime",CHAR(34),":",CHAR(34),TEXT(AF305,"hh:mm"),CHAR(34),", ",CHAR(34),"timeZone",CHAR(34),":",CHAR(34),AG305,CHAR(34)))),"}, {",
,CHAR(34),"startDate",CHAR(34),":",CHAR(34),TEXT(G305+1,"yyyy-mm-dd"),CHAR(34),", ",
,CHAR(34),"endDate",CHAR(34),":",CHAR(34),TEXT(G305+W305-1,"yyyy-mm-dd"),CHAR(34),
IF(OR(ISBLANK(AE305),ISBLANK(AF305)),"",(CONCATENATE(", ",CHAR(34),"startTime",CHAR(34),":",CHAR(34),TEXT(AE305,"hh:mm"),CHAR(34),", ",CHAR(34),"endTime",CHAR(34),":",CHAR(34),TEXT(AF305,"hh:mm"),CHAR(34),", ",CHAR(34),"timeZone",CHAR(34),":",CHAR(34),AG305,CHAR(34)))),"}]'"),
CONCATENATE(
"{  startDate=",CHAR(34),TEXT(G305,"yyyy-mm-dd"),CHAR(34),
"  endDate=",CHAR(34),TEXT(G305+W305-1,"yyyy-mm-dd"),CHAR(34),"}"))),
" &gt;&lt;/add-to-calendar-button&gt;")</f>
        <v>&lt;add-to-calendar-button  name="James River Convention"   location="St. Giles Presbyterian Church, 5200 Grove Ave, Richmond VA 23226"   description="10am-4pm; shapenotesingings.com"   options="'Apple','Google','iCal','Outlook.com'"   styleLight="--btn-background: #550000; --btn-text: #fff; --btn-shadow:#fff;"startDate="2025-11-01"{endDate="2025-11-01" startTime="10:00" endTime="16:00" timeZone="America/New_York" &gt;&lt;/add-to-calendar-button&gt;</v>
      </c>
      <c r="AE305" s="24">
        <v>0.41666666666666669</v>
      </c>
      <c r="AF305" s="24">
        <v>0.66666666666666663</v>
      </c>
      <c r="AG305" s="25" t="s">
        <v>1532</v>
      </c>
    </row>
    <row r="306" spans="1:33" x14ac:dyDescent="0.3">
      <c r="A306" t="s">
        <v>8</v>
      </c>
      <c r="B306" t="s">
        <v>17</v>
      </c>
      <c r="C306" t="s">
        <v>1140</v>
      </c>
      <c r="D306" t="s">
        <v>155</v>
      </c>
      <c r="E306" t="s">
        <v>2178</v>
      </c>
      <c r="F306" t="s">
        <v>722</v>
      </c>
      <c r="G306" s="7">
        <f ca="1">X306</f>
        <v>45963</v>
      </c>
      <c r="H306" s="5" t="s">
        <v>723</v>
      </c>
      <c r="I306" t="s">
        <v>1040</v>
      </c>
      <c r="J306" s="36" t="s">
        <v>3003</v>
      </c>
      <c r="L306" t="s">
        <v>2487</v>
      </c>
      <c r="M306" s="16" t="s">
        <v>1026</v>
      </c>
      <c r="N306" s="16" t="s">
        <v>129</v>
      </c>
      <c r="O306" s="7">
        <v>44936</v>
      </c>
      <c r="P306" s="7" t="s">
        <v>926</v>
      </c>
      <c r="Q306" s="18">
        <v>11</v>
      </c>
      <c r="R306" s="18">
        <v>1</v>
      </c>
      <c r="S306" s="18">
        <v>1</v>
      </c>
      <c r="T306" s="4">
        <f>DATE(AI$2,$Q306,1+(($R306-($S306&gt;=WEEKDAY(DATE(AI$2,$Q306,1))))*7)+($S306-WEEKDAY(DATE(AI$2,$Q306,1))))</f>
        <v>45963</v>
      </c>
      <c r="U306" s="4">
        <f>DATE(AJ$2,$Q306,1+(($R306-($S306&gt;=WEEKDAY(DATE(AJ$2,$Q306,1))))*7)+($S306-WEEKDAY(DATE(AJ$2,$Q306,1))))</f>
        <v>46327</v>
      </c>
      <c r="V306" s="20">
        <v>0</v>
      </c>
      <c r="W306" s="20">
        <v>1</v>
      </c>
      <c r="X306" s="4">
        <f ca="1">Y306-(W306-1)</f>
        <v>45963</v>
      </c>
      <c r="Y306" s="5">
        <f t="shared" ca="1" si="0"/>
        <v>45963</v>
      </c>
      <c r="Z306" t="str">
        <f ca="1">CONCATENATE(IF(OR(Y306=X306,ISBLANK(Y306)),TEXT(X306,"mmmm d"),CONCATENATE(TEXT(X306,"mmmm d"),"-",IF(TEXT(X306,"mmmm")=TEXT(Y306,"mmmm"),TEXT(Y306,"d"),TEXT(Y306,"mmmm d")))),", ",YEAR(Y306))</f>
        <v>November 2, 2025</v>
      </c>
      <c r="AA306" s="7">
        <f>O306</f>
        <v>44936</v>
      </c>
      <c r="AB306" s="14">
        <f>T306+V306-(W306-1)</f>
        <v>45963</v>
      </c>
      <c r="AC306" t="s">
        <v>1195</v>
      </c>
      <c r="AD306" s="23" t="str">
        <f ca="1">CONCATENATE("&lt;add-to-calendar-button  name=",CHAR(34),H306,CHAR(34),
IF(ISBLANK(M306),"",CONCATENATE("   location=",CHAR(34),RIGHT(M306,LEN(M306)-SEARCH("|",M306)-1),CHAR(34))),
"   description=",CHAR(34),IF(ISBLANK(I306),"",CONCATENATE(I306,"; ")),"shapenotesingings.com",CHAR(34),
"   options=",CHAR(34),"'Apple','Google','iCal','Outlook.com'",CHAR(34),"   styleLight=",CHAR(34),"--btn-background: #550000; --btn-text: #fff; --btn-shadow:#fff;",CHAR(34),
IF(W306=1,CONCATENATE(
"startDate=",CHAR(34),TEXT(G306,"yyyy-mm-dd"),CHAR(34),
"{endDate=",CHAR(34),TEXT(G306,"yyyy-mm-dd"),CHAR(34),
IF(OR(ISBLANK(AE306),ISBLANK(AF306)),"",(CONCATENATE(" startTime=",CHAR(34),TEXT(AE306,"hh:mm"),CHAR(34)," endTime=",CHAR(34),TEXT(AF306,"h:mm"),CHAR(34),
" timeZone=",CHAR(34),AG306,CHAR(34))))),
IF(W306=2,CONCATENATE(" dates='[{",
CHAR(34),"startDate",CHAR(34),":",CHAR(34),TEXT(G306,"yyyy-mm-dd"),CHAR(34),", ",
,CHAR(34),"endDate",CHAR(34),":",CHAR(34),TEXT(G306,"yyyy-mm-dd"),CHAR(34),
IF(OR(ISBLANK(AE306),ISBLANK(AF306)),"",(CONCATENATE(", ",CHAR(34),"startTime",CHAR(34),":",CHAR(34),TEXT(AE306,"hh:mm"),CHAR(34),", ",CHAR(34),"endTime",CHAR(34),":",CHAR(34),TEXT(AF306,"hh:mm"),CHAR(34),", ",CHAR(34),"timeZone",CHAR(34),":",CHAR(34),AG306,CHAR(34)))),"}, {",
,CHAR(34),"startDate",CHAR(34),":",CHAR(34),TEXT(G306+1,"yyyy-mm-dd"),CHAR(34),", ",
,CHAR(34),"endDate",CHAR(34),":",CHAR(34),TEXT(G306+W306-1,"yyyy-mm-dd"),CHAR(34),
IF(OR(ISBLANK(AE306),ISBLANK(AF306)),"",(CONCATENATE(", ",CHAR(34),"startTime",CHAR(34),":",CHAR(34),TEXT(AE306,"hh:mm"),CHAR(34),", ",CHAR(34),"endTime",CHAR(34),":",CHAR(34),TEXT(AF306,"hh:mm"),CHAR(34),", ",CHAR(34),"timeZone",CHAR(34),":",CHAR(34),AG306,CHAR(34)))),"}]'"),
CONCATENATE(
"{  startDate=",CHAR(34),TEXT(G306,"yyyy-mm-dd"),CHAR(34),
"  endDate=",CHAR(34),TEXT(G306+W306-1,"yyyy-mm-dd"),CHAR(34),"}"))),
" &gt;&lt;/add-to-calendar-button&gt;")</f>
        <v>&lt;add-to-calendar-button  name="Holly Springs Primitive Baptist Church Singing"   location="Holly Springs Primitive Baptist Church, 760 Holly Springs Rd, Carrollton, GA 30117"   description="9:30am; shapenotesingings.com"   options="'Apple','Google','iCal','Outlook.com'"   styleLight="--btn-background: #550000; --btn-text: #fff; --btn-shadow:#fff;"startDate="2025-11-02"{endDate="2025-11-02" startTime="09:30" endTime="15:00" timeZone="America/New_York" &gt;&lt;/add-to-calendar-button&gt;</v>
      </c>
      <c r="AE306" s="24">
        <v>0.39583333333333331</v>
      </c>
      <c r="AF306" s="24">
        <v>0.625</v>
      </c>
      <c r="AG306" s="25" t="s">
        <v>1532</v>
      </c>
    </row>
    <row r="307" spans="1:33" x14ac:dyDescent="0.3">
      <c r="A307" t="s">
        <v>8</v>
      </c>
      <c r="B307" t="s">
        <v>11</v>
      </c>
      <c r="C307" t="s">
        <v>1134</v>
      </c>
      <c r="D307" t="s">
        <v>725</v>
      </c>
      <c r="E307" t="s">
        <v>34</v>
      </c>
      <c r="F307" t="s">
        <v>722</v>
      </c>
      <c r="G307" s="7">
        <f ca="1">X307</f>
        <v>45963</v>
      </c>
      <c r="H307" s="5" t="s">
        <v>724</v>
      </c>
      <c r="L307" t="s">
        <v>953</v>
      </c>
      <c r="M307" s="16" t="s">
        <v>1023</v>
      </c>
      <c r="N307" s="16" t="s">
        <v>170</v>
      </c>
      <c r="O307" s="7">
        <v>44936</v>
      </c>
      <c r="P307" s="7" t="s">
        <v>926</v>
      </c>
      <c r="Q307" s="18">
        <v>11</v>
      </c>
      <c r="R307" s="18">
        <v>1</v>
      </c>
      <c r="S307" s="18">
        <v>1</v>
      </c>
      <c r="T307" s="4">
        <f>DATE(AI$2,$Q307,1+(($R307-($S307&gt;=WEEKDAY(DATE(AI$2,$Q307,1))))*7)+($S307-WEEKDAY(DATE(AI$2,$Q307,1))))</f>
        <v>45963</v>
      </c>
      <c r="U307" s="4">
        <f>DATE(AJ$2,$Q307,1+(($R307-($S307&gt;=WEEKDAY(DATE(AJ$2,$Q307,1))))*7)+($S307-WEEKDAY(DATE(AJ$2,$Q307,1))))</f>
        <v>46327</v>
      </c>
      <c r="V307" s="20">
        <v>0</v>
      </c>
      <c r="W307" s="20">
        <v>1</v>
      </c>
      <c r="X307" s="4">
        <f ca="1">Y307-(W307-1)</f>
        <v>45963</v>
      </c>
      <c r="Y307" s="5">
        <f t="shared" ca="1" si="0"/>
        <v>45963</v>
      </c>
      <c r="Z307" t="str">
        <f ca="1">CONCATENATE(IF(OR(Y307=X307,ISBLANK(Y307)),TEXT(X307,"mmmm d"),CONCATENATE(TEXT(X307,"mmmm d"),"-",IF(TEXT(X307,"mmmm")=TEXT(Y307,"mmmm"),TEXT(Y307,"d"),TEXT(Y307,"mmmm d")))),", ",YEAR(Y307))</f>
        <v>November 2, 2025</v>
      </c>
      <c r="AA307" s="7">
        <f>O307</f>
        <v>44936</v>
      </c>
      <c r="AB307" s="14">
        <f>T307+V307-(W307-1)</f>
        <v>45963</v>
      </c>
      <c r="AC307" t="s">
        <v>1384</v>
      </c>
      <c r="AD307" s="23" t="str">
        <f ca="1">CONCATENATE("&lt;add-to-calendar-button  name=",CHAR(34),H307,CHAR(34),
IF(ISBLANK(M307),"",CONCATENATE("   location=",CHAR(34),RIGHT(M307,LEN(M307)-SEARCH("|",M307)-1),CHAR(34))),
"   description=",CHAR(34),IF(ISBLANK(I307),"",CONCATENATE(I307,"; ")),"shapenotesingings.com",CHAR(34),
"   options=",CHAR(34),"'Apple','Google','iCal','Outlook.com'",CHAR(34),"   styleLight=",CHAR(34),"--btn-background: #550000; --btn-text: #fff; --btn-shadow:#fff;",CHAR(34),
IF(W307=1,CONCATENATE(
"startDate=",CHAR(34),TEXT(G307,"yyyy-mm-dd"),CHAR(34),
"{endDate=",CHAR(34),TEXT(G307,"yyyy-mm-dd"),CHAR(34),
IF(OR(ISBLANK(AE307),ISBLANK(AF307)),"",(CONCATENATE(" startTime=",CHAR(34),TEXT(AE307,"hh:mm"),CHAR(34)," endTime=",CHAR(34),TEXT(AF307,"h:mm"),CHAR(34),
" timeZone=",CHAR(34),AG307,CHAR(34))))),
IF(W307=2,CONCATENATE(" dates='[{",
CHAR(34),"startDate",CHAR(34),":",CHAR(34),TEXT(G307,"yyyy-mm-dd"),CHAR(34),", ",
,CHAR(34),"endDate",CHAR(34),":",CHAR(34),TEXT(G307,"yyyy-mm-dd"),CHAR(34),
IF(OR(ISBLANK(AE307),ISBLANK(AF307)),"",(CONCATENATE(", ",CHAR(34),"startTime",CHAR(34),":",CHAR(34),TEXT(AE307,"hh:mm"),CHAR(34),", ",CHAR(34),"endTime",CHAR(34),":",CHAR(34),TEXT(AF307,"hh:mm"),CHAR(34),", ",CHAR(34),"timeZone",CHAR(34),":",CHAR(34),AG307,CHAR(34)))),"}, {",
,CHAR(34),"startDate",CHAR(34),":",CHAR(34),TEXT(G307+1,"yyyy-mm-dd"),CHAR(34),", ",
,CHAR(34),"endDate",CHAR(34),":",CHAR(34),TEXT(G307+W307-1,"yyyy-mm-dd"),CHAR(34),
IF(OR(ISBLANK(AE307),ISBLANK(AF307)),"",(CONCATENATE(", ",CHAR(34),"startTime",CHAR(34),":",CHAR(34),TEXT(AE307,"hh:mm"),CHAR(34),", ",CHAR(34),"endTime",CHAR(34),":",CHAR(34),TEXT(AF307,"hh:mm"),CHAR(34),", ",CHAR(34),"timeZone",CHAR(34),":",CHAR(34),AG307,CHAR(34)))),"}]'"),
CONCATENATE(
"{  startDate=",CHAR(34),TEXT(G307,"yyyy-mm-dd"),CHAR(34),
"  endDate=",CHAR(34),TEXT(G307+W307-1,"yyyy-mm-dd"),CHAR(34),"}"))),
" &gt;&lt;/add-to-calendar-button&gt;")</f>
        <v>&lt;add-to-calendar-button  name="Southeastern Alabama Convention"   location="Pleasant Grove Primitive Baptist Church, 1201 Eufaula St, Ozark, AL 36360"   description="shapenotesingings.com"   options="'Apple','Google','iCal','Outlook.com'"   styleLight="--btn-background: #550000; --btn-text: #fff; --btn-shadow:#fff;"startDate="2025-11-02"{endDate="2025-11-02" &gt;&lt;/add-to-calendar-button&gt;</v>
      </c>
      <c r="AG307" s="25" t="s">
        <v>1533</v>
      </c>
    </row>
    <row r="308" spans="1:33" x14ac:dyDescent="0.3">
      <c r="A308" t="s">
        <v>8</v>
      </c>
      <c r="B308" t="s">
        <v>41</v>
      </c>
      <c r="C308" t="s">
        <v>1148</v>
      </c>
      <c r="D308" t="s">
        <v>584</v>
      </c>
      <c r="E308" t="s">
        <v>2178</v>
      </c>
      <c r="F308" t="s">
        <v>726</v>
      </c>
      <c r="G308" s="7">
        <f ca="1">X308</f>
        <v>45969</v>
      </c>
      <c r="H308" s="5" t="s">
        <v>742</v>
      </c>
      <c r="I308" t="s">
        <v>1039</v>
      </c>
      <c r="J308" s="36" t="s">
        <v>3004</v>
      </c>
      <c r="L308" t="s">
        <v>2488</v>
      </c>
      <c r="M308" s="16" t="s">
        <v>1767</v>
      </c>
      <c r="N308" s="16" t="s">
        <v>1768</v>
      </c>
      <c r="O308" s="7">
        <v>45226</v>
      </c>
      <c r="P308" s="7" t="s">
        <v>2005</v>
      </c>
      <c r="Q308" s="18">
        <v>11</v>
      </c>
      <c r="R308" s="18">
        <v>2</v>
      </c>
      <c r="S308" s="18">
        <v>1</v>
      </c>
      <c r="T308" s="4">
        <f>DATE(AI$2,$Q308,1+(($R308-($S308&gt;=WEEKDAY(DATE(AI$2,$Q308,1))))*7)+($S308-WEEKDAY(DATE(AI$2,$Q308,1))))</f>
        <v>45970</v>
      </c>
      <c r="U308" s="4">
        <f>DATE(AJ$2,$Q308,1+(($R308-($S308&gt;=WEEKDAY(DATE(AJ$2,$Q308,1))))*7)+($S308-WEEKDAY(DATE(AJ$2,$Q308,1))))</f>
        <v>46334</v>
      </c>
      <c r="V308" s="20">
        <v>-1</v>
      </c>
      <c r="W308" s="20">
        <v>1</v>
      </c>
      <c r="X308" s="4">
        <f ca="1">Y308-(W308-1)</f>
        <v>45969</v>
      </c>
      <c r="Y308" s="5">
        <f t="shared" ca="1" si="0"/>
        <v>45969</v>
      </c>
      <c r="Z308" t="str">
        <f ca="1">CONCATENATE(IF(OR(Y308=X308,ISBLANK(Y308)),TEXT(X308,"mmmm d"),CONCATENATE(TEXT(X308,"mmmm d"),"-",IF(TEXT(X308,"mmmm")=TEXT(Y308,"mmmm"),TEXT(Y308,"d"),TEXT(Y308,"mmmm d")))),", ",YEAR(Y308))</f>
        <v>November 8, 2025</v>
      </c>
      <c r="AA308" s="7">
        <f>O308</f>
        <v>45226</v>
      </c>
      <c r="AB308" s="14">
        <f>T308+V308-(W308-1)</f>
        <v>45969</v>
      </c>
      <c r="AC308" t="s">
        <v>1769</v>
      </c>
      <c r="AD308" s="23" t="str">
        <f ca="1">CONCATENATE("&lt;add-to-calendar-button  name=",CHAR(34),H308,CHAR(34),
IF(ISBLANK(M308),"",CONCATENATE("   location=",CHAR(34),RIGHT(M308,LEN(M308)-SEARCH("|",M308)-1),CHAR(34))),
"   description=",CHAR(34),IF(ISBLANK(I308),"",CONCATENATE(I308,"; ")),"shapenotesingings.com",CHAR(34),
"   options=",CHAR(34),"'Apple','Google','iCal','Outlook.com'",CHAR(34),"   styleLight=",CHAR(34),"--btn-background: #550000; --btn-text: #fff; --btn-shadow:#fff;",CHAR(34),
IF(W308=1,CONCATENATE(
"startDate=",CHAR(34),TEXT(G308,"yyyy-mm-dd"),CHAR(34),
"{endDate=",CHAR(34),TEXT(G308,"yyyy-mm-dd"),CHAR(34),
IF(OR(ISBLANK(AE308),ISBLANK(AF308)),"",(CONCATENATE(" startTime=",CHAR(34),TEXT(AE308,"hh:mm"),CHAR(34)," endTime=",CHAR(34),TEXT(AF308,"h:mm"),CHAR(34),
" timeZone=",CHAR(34),AG308,CHAR(34))))),
IF(W308=2,CONCATENATE(" dates='[{",
CHAR(34),"startDate",CHAR(34),":",CHAR(34),TEXT(G308,"yyyy-mm-dd"),CHAR(34),", ",
,CHAR(34),"endDate",CHAR(34),":",CHAR(34),TEXT(G308,"yyyy-mm-dd"),CHAR(34),
IF(OR(ISBLANK(AE308),ISBLANK(AF308)),"",(CONCATENATE(", ",CHAR(34),"startTime",CHAR(34),":",CHAR(34),TEXT(AE308,"hh:mm"),CHAR(34),", ",CHAR(34),"endTime",CHAR(34),":",CHAR(34),TEXT(AF308,"hh:mm"),CHAR(34),", ",CHAR(34),"timeZone",CHAR(34),":",CHAR(34),AG308,CHAR(34)))),"}, {",
,CHAR(34),"startDate",CHAR(34),":",CHAR(34),TEXT(G308+1,"yyyy-mm-dd"),CHAR(34),", ",
,CHAR(34),"endDate",CHAR(34),":",CHAR(34),TEXT(G308+W308-1,"yyyy-mm-dd"),CHAR(34),
IF(OR(ISBLANK(AE308),ISBLANK(AF308)),"",(CONCATENATE(", ",CHAR(34),"startTime",CHAR(34),":",CHAR(34),TEXT(AE308,"hh:mm"),CHAR(34),", ",CHAR(34),"endTime",CHAR(34),":",CHAR(34),TEXT(AF308,"hh:mm"),CHAR(34),", ",CHAR(34),"timeZone",CHAR(34),":",CHAR(34),AG308,CHAR(34)))),"}]'"),
CONCATENATE(
"{  startDate=",CHAR(34),TEXT(G308,"yyyy-mm-dd"),CHAR(34),
"  endDate=",CHAR(34),TEXT(G308+W308-1,"yyyy-mm-dd"),CHAR(34),"}"))),
" &gt;&lt;/add-to-calendar-button&gt;")</f>
        <v>&lt;add-to-calendar-button  name="Berkshire Foothills Singing"   location="First United Methodist Church of Pittsfield, 55 Fenn St, Pittsfield, MA 01201"   description="10am-3:30pm; shapenotesingings.com"   options="'Apple','Google','iCal','Outlook.com'"   styleLight="--btn-background: #550000; --btn-text: #fff; --btn-shadow:#fff;"startDate="2025-11-08"{endDate="2025-11-08" startTime="10:00" endTime="15:30" timeZone="America/New_York" &gt;&lt;/add-to-calendar-button&gt;</v>
      </c>
      <c r="AE308" s="24">
        <v>0.41666666666666669</v>
      </c>
      <c r="AF308" s="24">
        <v>0.64583333333333337</v>
      </c>
      <c r="AG308" s="25" t="s">
        <v>1532</v>
      </c>
    </row>
    <row r="309" spans="1:33" x14ac:dyDescent="0.3">
      <c r="A309" t="s">
        <v>8</v>
      </c>
      <c r="B309" t="s">
        <v>114</v>
      </c>
      <c r="C309" t="s">
        <v>1153</v>
      </c>
      <c r="D309" t="s">
        <v>912</v>
      </c>
      <c r="E309" t="s">
        <v>1439</v>
      </c>
      <c r="F309" t="s">
        <v>726</v>
      </c>
      <c r="G309" s="7">
        <f ca="1">X309</f>
        <v>45969</v>
      </c>
      <c r="H309" s="5" t="s">
        <v>915</v>
      </c>
      <c r="I309" t="s">
        <v>1037</v>
      </c>
      <c r="J309" s="36" t="s">
        <v>2627</v>
      </c>
      <c r="K309" t="s">
        <v>2360</v>
      </c>
      <c r="L309" t="s">
        <v>1742</v>
      </c>
      <c r="M309" s="16" t="s">
        <v>913</v>
      </c>
      <c r="N309" s="16" t="s">
        <v>914</v>
      </c>
      <c r="O309" s="7">
        <v>44959</v>
      </c>
      <c r="P309" s="7" t="s">
        <v>935</v>
      </c>
      <c r="Q309" s="18">
        <v>11</v>
      </c>
      <c r="R309" s="18">
        <v>2</v>
      </c>
      <c r="S309" s="18">
        <v>1</v>
      </c>
      <c r="T309" s="4">
        <f>DATE(AI$2,$Q309,1+(($R309-($S309&gt;=WEEKDAY(DATE(AI$2,$Q309,1))))*7)+($S309-WEEKDAY(DATE(AI$2,$Q309,1))))</f>
        <v>45970</v>
      </c>
      <c r="U309" s="4">
        <f>DATE(AJ$2,$Q309,1+(($R309-($S309&gt;=WEEKDAY(DATE(AJ$2,$Q309,1))))*7)+($S309-WEEKDAY(DATE(AJ$2,$Q309,1))))</f>
        <v>46334</v>
      </c>
      <c r="V309" s="20">
        <v>-1</v>
      </c>
      <c r="W309" s="20">
        <v>1</v>
      </c>
      <c r="X309" s="4">
        <f ca="1">Y309-(W309-1)</f>
        <v>45969</v>
      </c>
      <c r="Y309" s="5">
        <f t="shared" ca="1" si="0"/>
        <v>45969</v>
      </c>
      <c r="Z309" t="str">
        <f ca="1">CONCATENATE(IF(OR(Y309=X309,ISBLANK(Y309)),TEXT(X309,"mmmm d"),CONCATENATE(TEXT(X309,"mmmm d"),"-",IF(TEXT(X309,"mmmm")=TEXT(Y309,"mmmm"),TEXT(Y309,"d"),TEXT(Y309,"mmmm d")))),", ",YEAR(Y309))</f>
        <v>November 8, 2025</v>
      </c>
      <c r="AA309" s="7">
        <f>O309</f>
        <v>44959</v>
      </c>
      <c r="AB309" s="14">
        <f>T309+V309-(W309-1)</f>
        <v>45969</v>
      </c>
      <c r="AC309" t="s">
        <v>1386</v>
      </c>
      <c r="AD309" s="23" t="str">
        <f ca="1">CONCATENATE("&lt;add-to-calendar-button  name=",CHAR(34),H309,CHAR(34),
IF(ISBLANK(M309),"",CONCATENATE("   location=",CHAR(34),RIGHT(M309,LEN(M309)-SEARCH("|",M309)-1),CHAR(34))),
"   description=",CHAR(34),IF(ISBLANK(I309),"",CONCATENATE(I309,"; ")),"shapenotesingings.com",CHAR(34),
"   options=",CHAR(34),"'Apple','Google','iCal','Outlook.com'",CHAR(34),"   styleLight=",CHAR(34),"--btn-background: #550000; --btn-text: #fff; --btn-shadow:#fff;",CHAR(34),
IF(W309=1,CONCATENATE(
"startDate=",CHAR(34),TEXT(G309,"yyyy-mm-dd"),CHAR(34),
"{endDate=",CHAR(34),TEXT(G309,"yyyy-mm-dd"),CHAR(34),
IF(OR(ISBLANK(AE309),ISBLANK(AF309)),"",(CONCATENATE(" startTime=",CHAR(34),TEXT(AE309,"hh:mm"),CHAR(34)," endTime=",CHAR(34),TEXT(AF309,"h:mm"),CHAR(34),
" timeZone=",CHAR(34),AG309,CHAR(34))))),
IF(W309=2,CONCATENATE(" dates='[{",
CHAR(34),"startDate",CHAR(34),":",CHAR(34),TEXT(G309,"yyyy-mm-dd"),CHAR(34),", ",
,CHAR(34),"endDate",CHAR(34),":",CHAR(34),TEXT(G309,"yyyy-mm-dd"),CHAR(34),
IF(OR(ISBLANK(AE309),ISBLANK(AF309)),"",(CONCATENATE(", ",CHAR(34),"startTime",CHAR(34),":",CHAR(34),TEXT(AE309,"hh:mm"),CHAR(34),", ",CHAR(34),"endTime",CHAR(34),":",CHAR(34),TEXT(AF309,"hh:mm"),CHAR(34),", ",CHAR(34),"timeZone",CHAR(34),":",CHAR(34),AG309,CHAR(34)))),"}, {",
,CHAR(34),"startDate",CHAR(34),":",CHAR(34),TEXT(G309+1,"yyyy-mm-dd"),CHAR(34),", ",
,CHAR(34),"endDate",CHAR(34),":",CHAR(34),TEXT(G309+W309-1,"yyyy-mm-dd"),CHAR(34),
IF(OR(ISBLANK(AE309),ISBLANK(AF309)),"",(CONCATENATE(", ",CHAR(34),"startTime",CHAR(34),":",CHAR(34),TEXT(AE309,"hh:mm"),CHAR(34),", ",CHAR(34),"endTime",CHAR(34),":",CHAR(34),TEXT(AF309,"hh:mm"),CHAR(34),", ",CHAR(34),"timeZone",CHAR(34),":",CHAR(34),AG309,CHAR(34)))),"}]'"),
CONCATENATE(
"{  startDate=",CHAR(34),TEXT(G309,"yyyy-mm-dd"),CHAR(34),
"  endDate=",CHAR(34),TEXT(G309+W309-1,"yyyy-mm-dd"),CHAR(34),"}"))),
" &gt;&lt;/add-to-calendar-button&gt;")</f>
        <v>&lt;add-to-calendar-button  name="Swannanoa Valley Singing"   location="St. James Episcopal Church, 424 W State St, Black Mountain, NC 28711"   description="10am-3pm; shapenotesingings.com"   options="'Apple','Google','iCal','Outlook.com'"   styleLight="--btn-background: #550000; --btn-text: #fff; --btn-shadow:#fff;"startDate="2025-11-08"{endDate="2025-11-08" startTime="10:00" endTime="15:00" timeZone="America/New_York" &gt;&lt;/add-to-calendar-button&gt;</v>
      </c>
      <c r="AE309" s="24">
        <v>0.41666666666666669</v>
      </c>
      <c r="AF309" s="24">
        <v>0.625</v>
      </c>
      <c r="AG309" s="25" t="s">
        <v>1532</v>
      </c>
    </row>
    <row r="310" spans="1:33" x14ac:dyDescent="0.3">
      <c r="A310" t="s">
        <v>8</v>
      </c>
      <c r="B310" t="s">
        <v>151</v>
      </c>
      <c r="C310" t="s">
        <v>1137</v>
      </c>
      <c r="D310" t="s">
        <v>728</v>
      </c>
      <c r="E310" t="s">
        <v>2178</v>
      </c>
      <c r="F310" t="s">
        <v>726</v>
      </c>
      <c r="G310" s="7">
        <f ca="1">X310</f>
        <v>45969</v>
      </c>
      <c r="H310" s="5" t="s">
        <v>727</v>
      </c>
      <c r="I310" t="s">
        <v>1044</v>
      </c>
      <c r="J310" s="36" t="s">
        <v>3005</v>
      </c>
      <c r="L310" t="s">
        <v>2489</v>
      </c>
      <c r="M310" s="16" t="s">
        <v>1759</v>
      </c>
      <c r="N310" s="16" t="s">
        <v>1760</v>
      </c>
      <c r="O310" s="7">
        <v>45209</v>
      </c>
      <c r="P310" s="7" t="s">
        <v>2008</v>
      </c>
      <c r="Q310" s="18">
        <v>11</v>
      </c>
      <c r="R310" s="18">
        <v>2</v>
      </c>
      <c r="S310" s="18">
        <v>1</v>
      </c>
      <c r="T310" s="4">
        <f>DATE(AI$2,$Q310,1+(($R310-($S310&gt;=WEEKDAY(DATE(AI$2,$Q310,1))))*7)+($S310-WEEKDAY(DATE(AI$2,$Q310,1))))</f>
        <v>45970</v>
      </c>
      <c r="U310" s="4">
        <f>DATE(AJ$2,$Q310,1+(($R310-($S310&gt;=WEEKDAY(DATE(AJ$2,$Q310,1))))*7)+($S310-WEEKDAY(DATE(AJ$2,$Q310,1))))</f>
        <v>46334</v>
      </c>
      <c r="V310" s="20">
        <v>-1</v>
      </c>
      <c r="W310" s="20">
        <v>1</v>
      </c>
      <c r="X310" s="4">
        <f ca="1">Y310-(W310-1)</f>
        <v>45969</v>
      </c>
      <c r="Y310" s="5">
        <f t="shared" ca="1" si="0"/>
        <v>45969</v>
      </c>
      <c r="Z310" t="str">
        <f ca="1">CONCATENATE(IF(OR(Y310=X310,ISBLANK(Y310)),TEXT(X310,"mmmm d"),CONCATENATE(TEXT(X310,"mmmm d"),"-",IF(TEXT(X310,"mmmm")=TEXT(Y310,"mmmm"),TEXT(Y310,"d"),TEXT(Y310,"mmmm d")))),", ",YEAR(Y310))</f>
        <v>November 8, 2025</v>
      </c>
      <c r="AA310" s="7">
        <f>O310</f>
        <v>45209</v>
      </c>
      <c r="AB310" s="14">
        <f>T310+V310-(W310-1)</f>
        <v>45969</v>
      </c>
      <c r="AC310" t="s">
        <v>1761</v>
      </c>
      <c r="AD310" s="23" t="str">
        <f ca="1">CONCATENATE("&lt;add-to-calendar-button  name=",CHAR(34),H310,CHAR(34),
IF(ISBLANK(M310),"",CONCATENATE("   location=",CHAR(34),RIGHT(M310,LEN(M310)-SEARCH("|",M310)-1),CHAR(34))),
"   description=",CHAR(34),IF(ISBLANK(I310),"",CONCATENATE(I310,"; ")),"shapenotesingings.com",CHAR(34),
"   options=",CHAR(34),"'Apple','Google','iCal','Outlook.com'",CHAR(34),"   styleLight=",CHAR(34),"--btn-background: #550000; --btn-text: #fff; --btn-shadow:#fff;",CHAR(34),
IF(W310=1,CONCATENATE(
"startDate=",CHAR(34),TEXT(G310,"yyyy-mm-dd"),CHAR(34),
"{endDate=",CHAR(34),TEXT(G310,"yyyy-mm-dd"),CHAR(34),
IF(OR(ISBLANK(AE310),ISBLANK(AF310)),"",(CONCATENATE(" startTime=",CHAR(34),TEXT(AE310,"hh:mm"),CHAR(34)," endTime=",CHAR(34),TEXT(AF310,"h:mm"),CHAR(34),
" timeZone=",CHAR(34),AG310,CHAR(34))))),
IF(W310=2,CONCATENATE(" dates='[{",
CHAR(34),"startDate",CHAR(34),":",CHAR(34),TEXT(G310,"yyyy-mm-dd"),CHAR(34),", ",
,CHAR(34),"endDate",CHAR(34),":",CHAR(34),TEXT(G310,"yyyy-mm-dd"),CHAR(34),
IF(OR(ISBLANK(AE310),ISBLANK(AF310)),"",(CONCATENATE(", ",CHAR(34),"startTime",CHAR(34),":",CHAR(34),TEXT(AE310,"hh:mm"),CHAR(34),", ",CHAR(34),"endTime",CHAR(34),":",CHAR(34),TEXT(AF310,"hh:mm"),CHAR(34),", ",CHAR(34),"timeZone",CHAR(34),":",CHAR(34),AG310,CHAR(34)))),"}, {",
,CHAR(34),"startDate",CHAR(34),":",CHAR(34),TEXT(G310+1,"yyyy-mm-dd"),CHAR(34),", ",
,CHAR(34),"endDate",CHAR(34),":",CHAR(34),TEXT(G310+W310-1,"yyyy-mm-dd"),CHAR(34),
IF(OR(ISBLANK(AE310),ISBLANK(AF310)),"",(CONCATENATE(", ",CHAR(34),"startTime",CHAR(34),":",CHAR(34),TEXT(AE310,"hh:mm"),CHAR(34),", ",CHAR(34),"endTime",CHAR(34),":",CHAR(34),TEXT(AF310,"hh:mm"),CHAR(34),", ",CHAR(34),"timeZone",CHAR(34),":",CHAR(34),AG310,CHAR(34)))),"}]'"),
CONCATENATE(
"{  startDate=",CHAR(34),TEXT(G310,"yyyy-mm-dd"),CHAR(34),
"  endDate=",CHAR(34),TEXT(G310+W310-1,"yyyy-mm-dd"),CHAR(34),"}"))),
" &gt;&lt;/add-to-calendar-button&gt;")</f>
        <v>&lt;add-to-calendar-button  name="Helwig-Coghlan Memorial Singing"   location="Good Shepherd Episcopal Church, 1823 Ninth St, Berkeley, CA 94710"   description="9am; shapenotesingings.com"   options="'Apple','Google','iCal','Outlook.com'"   styleLight="--btn-background: #550000; --btn-text: #fff; --btn-shadow:#fff;"startDate="2025-11-08"{endDate="2025-11-08" startTime="11:00" endTime="16:00" timeZone="America/Los_Angeles" &gt;&lt;/add-to-calendar-button&gt;</v>
      </c>
      <c r="AE310" s="24">
        <v>0.45833333333333331</v>
      </c>
      <c r="AF310" s="24">
        <v>0.66666666666666663</v>
      </c>
      <c r="AG310" s="25" t="s">
        <v>1534</v>
      </c>
    </row>
    <row r="311" spans="1:33" x14ac:dyDescent="0.3">
      <c r="A311" t="s">
        <v>8</v>
      </c>
      <c r="B311" t="s">
        <v>273</v>
      </c>
      <c r="C311" t="s">
        <v>1160</v>
      </c>
      <c r="D311" t="s">
        <v>274</v>
      </c>
      <c r="E311" t="s">
        <v>2178</v>
      </c>
      <c r="F311" t="s">
        <v>726</v>
      </c>
      <c r="G311" s="7">
        <f ca="1">X311</f>
        <v>45969</v>
      </c>
      <c r="H311" s="5" t="s">
        <v>733</v>
      </c>
      <c r="I311" t="s">
        <v>1040</v>
      </c>
      <c r="J311" s="36" t="s">
        <v>3006</v>
      </c>
      <c r="L311" t="s">
        <v>2347</v>
      </c>
      <c r="M311" s="16" t="s">
        <v>734</v>
      </c>
      <c r="N311" s="16" t="s">
        <v>735</v>
      </c>
      <c r="O311" s="7">
        <v>44936</v>
      </c>
      <c r="P311" s="7" t="s">
        <v>926</v>
      </c>
      <c r="Q311" s="18">
        <v>11</v>
      </c>
      <c r="R311" s="18">
        <v>2</v>
      </c>
      <c r="S311" s="18">
        <v>1</v>
      </c>
      <c r="T311" s="4">
        <f>DATE(AI$2,$Q311,1+(($R311-($S311&gt;=WEEKDAY(DATE(AI$2,$Q311,1))))*7)+($S311-WEEKDAY(DATE(AI$2,$Q311,1))))</f>
        <v>45970</v>
      </c>
      <c r="U311" s="4">
        <f>DATE(AJ$2,$Q311,1+(($R311-($S311&gt;=WEEKDAY(DATE(AJ$2,$Q311,1))))*7)+($S311-WEEKDAY(DATE(AJ$2,$Q311,1))))</f>
        <v>46334</v>
      </c>
      <c r="V311" s="20">
        <v>-1</v>
      </c>
      <c r="W311" s="20">
        <v>1</v>
      </c>
      <c r="X311" s="4">
        <f ca="1">Y311-(W311-1)</f>
        <v>45969</v>
      </c>
      <c r="Y311" s="5">
        <f t="shared" ca="1" si="0"/>
        <v>45969</v>
      </c>
      <c r="Z311" t="str">
        <f ca="1">CONCATENATE(IF(OR(Y311=X311,ISBLANK(Y311)),TEXT(X311,"mmmm d"),CONCATENATE(TEXT(X311,"mmmm d"),"-",IF(TEXT(X311,"mmmm")=TEXT(Y311,"mmmm"),TEXT(Y311,"d"),TEXT(Y311,"mmmm d")))),", ",YEAR(Y311))</f>
        <v>November 8, 2025</v>
      </c>
      <c r="AA311" s="7">
        <f>O311</f>
        <v>44936</v>
      </c>
      <c r="AB311" s="14">
        <f>T311+V311-(W311-1)</f>
        <v>45969</v>
      </c>
      <c r="AC311" t="s">
        <v>1387</v>
      </c>
      <c r="AD311" s="23" t="str">
        <f ca="1">CONCATENATE("&lt;add-to-calendar-button  name=",CHAR(34),H311,CHAR(34),
IF(ISBLANK(M311),"",CONCATENATE("   location=",CHAR(34),RIGHT(M311,LEN(M311)-SEARCH("|",M311)-1),CHAR(34))),
"   description=",CHAR(34),IF(ISBLANK(I311),"",CONCATENATE(I311,"; ")),"shapenotesingings.com",CHAR(34),
"   options=",CHAR(34),"'Apple','Google','iCal','Outlook.com'",CHAR(34),"   styleLight=",CHAR(34),"--btn-background: #550000; --btn-text: #fff; --btn-shadow:#fff;",CHAR(34),
IF(W311=1,CONCATENATE(
"startDate=",CHAR(34),TEXT(G311,"yyyy-mm-dd"),CHAR(34),
"{endDate=",CHAR(34),TEXT(G311,"yyyy-mm-dd"),CHAR(34),
IF(OR(ISBLANK(AE311),ISBLANK(AF311)),"",(CONCATENATE(" startTime=",CHAR(34),TEXT(AE311,"hh:mm"),CHAR(34)," endTime=",CHAR(34),TEXT(AF311,"h:mm"),CHAR(34),
" timeZone=",CHAR(34),AG311,CHAR(34))))),
IF(W311=2,CONCATENATE(" dates='[{",
CHAR(34),"startDate",CHAR(34),":",CHAR(34),TEXT(G311,"yyyy-mm-dd"),CHAR(34),", ",
,CHAR(34),"endDate",CHAR(34),":",CHAR(34),TEXT(G311,"yyyy-mm-dd"),CHAR(34),
IF(OR(ISBLANK(AE311),ISBLANK(AF311)),"",(CONCATENATE(", ",CHAR(34),"startTime",CHAR(34),":",CHAR(34),TEXT(AE311,"hh:mm"),CHAR(34),", ",CHAR(34),"endTime",CHAR(34),":",CHAR(34),TEXT(AF311,"hh:mm"),CHAR(34),", ",CHAR(34),"timeZone",CHAR(34),":",CHAR(34),AG311,CHAR(34)))),"}, {",
,CHAR(34),"startDate",CHAR(34),":",CHAR(34),TEXT(G311+1,"yyyy-mm-dd"),CHAR(34),", ",
,CHAR(34),"endDate",CHAR(34),":",CHAR(34),TEXT(G311+W311-1,"yyyy-mm-dd"),CHAR(34),
IF(OR(ISBLANK(AE311),ISBLANK(AF311)),"",(CONCATENATE(", ",CHAR(34),"startTime",CHAR(34),":",CHAR(34),TEXT(AE311,"hh:mm"),CHAR(34),", ",CHAR(34),"endTime",CHAR(34),":",CHAR(34),TEXT(AF311,"hh:mm"),CHAR(34),", ",CHAR(34),"timeZone",CHAR(34),":",CHAR(34),AG311,CHAR(34)))),"}]'"),
CONCATENATE(
"{  startDate=",CHAR(34),TEXT(G311,"yyyy-mm-dd"),CHAR(34),
"  endDate=",CHAR(34),TEXT(G311+W311-1,"yyyy-mm-dd"),CHAR(34),"}"))),
" &gt;&lt;/add-to-calendar-button&gt;")</f>
        <v>&lt;add-to-calendar-button  name="Immanuel Baptist Church Singing"   location="Immanuel Baptist Church, 222 Belle Meade Blvd, Nashville, TN 37205"   description="9:30am; shapenotesingings.com"   options="'Apple','Google','iCal','Outlook.com'"   styleLight="--btn-background: #550000; --btn-text: #fff; --btn-shadow:#fff;"startDate="2025-11-08"{endDate="2025-11-08" startTime="09:30" endTime="15:00" timeZone="America/Chicago" &gt;&lt;/add-to-calendar-button&gt;</v>
      </c>
      <c r="AE311" s="24">
        <v>0.39583333333333331</v>
      </c>
      <c r="AF311" s="24">
        <v>0.625</v>
      </c>
      <c r="AG311" s="25" t="s">
        <v>1533</v>
      </c>
    </row>
    <row r="312" spans="1:33" x14ac:dyDescent="0.3">
      <c r="A312" t="s">
        <v>8</v>
      </c>
      <c r="B312" t="s">
        <v>743</v>
      </c>
      <c r="C312" t="s">
        <v>1165</v>
      </c>
      <c r="D312" t="s">
        <v>744</v>
      </c>
      <c r="E312" t="s">
        <v>2178</v>
      </c>
      <c r="F312" t="s">
        <v>726</v>
      </c>
      <c r="G312" s="7">
        <f ca="1">X312</f>
        <v>45969</v>
      </c>
      <c r="H312" s="5" t="s">
        <v>1710</v>
      </c>
      <c r="I312" t="s">
        <v>1039</v>
      </c>
      <c r="J312" s="36" t="s">
        <v>3007</v>
      </c>
      <c r="L312" t="s">
        <v>2490</v>
      </c>
      <c r="M312" s="16" t="s">
        <v>1616</v>
      </c>
      <c r="N312" s="16" t="s">
        <v>1617</v>
      </c>
      <c r="O312" s="7">
        <v>45074</v>
      </c>
      <c r="P312" s="7" t="s">
        <v>1618</v>
      </c>
      <c r="Q312" s="18">
        <v>11</v>
      </c>
      <c r="R312" s="18">
        <v>2</v>
      </c>
      <c r="S312" s="18">
        <v>1</v>
      </c>
      <c r="T312" s="4">
        <f>DATE(AI$2,$Q312,1+(($R312-($S312&gt;=WEEKDAY(DATE(AI$2,$Q312,1))))*7)+($S312-WEEKDAY(DATE(AI$2,$Q312,1))))</f>
        <v>45970</v>
      </c>
      <c r="U312" s="4">
        <f>DATE(AJ$2,$Q312,1+(($R312-($S312&gt;=WEEKDAY(DATE(AJ$2,$Q312,1))))*7)+($S312-WEEKDAY(DATE(AJ$2,$Q312,1))))</f>
        <v>46334</v>
      </c>
      <c r="V312" s="20">
        <v>-1</v>
      </c>
      <c r="W312" s="20">
        <v>1</v>
      </c>
      <c r="X312" s="4">
        <f ca="1">Y312-(W312-1)</f>
        <v>45969</v>
      </c>
      <c r="Y312" s="5">
        <f t="shared" ca="1" si="0"/>
        <v>45969</v>
      </c>
      <c r="Z312" t="str">
        <f ca="1">CONCATENATE(IF(OR(Y312=X312,ISBLANK(Y312)),TEXT(X312,"mmmm d"),CONCATENATE(TEXT(X312,"mmmm d"),"-",IF(TEXT(X312,"mmmm")=TEXT(Y312,"mmmm"),TEXT(Y312,"d"),TEXT(Y312,"mmmm d")))),", ",YEAR(Y312))</f>
        <v>November 8, 2025</v>
      </c>
      <c r="AA312" s="7">
        <f>O312</f>
        <v>45074</v>
      </c>
      <c r="AB312" s="14">
        <f>T312+V312-(W312-1)</f>
        <v>45969</v>
      </c>
      <c r="AC312" t="s">
        <v>1619</v>
      </c>
      <c r="AD312" s="23" t="str">
        <f ca="1">CONCATENATE("&lt;add-to-calendar-button  name=",CHAR(34),H312,CHAR(34),
IF(ISBLANK(M312),"",CONCATENATE("   location=",CHAR(34),RIGHT(M312,LEN(M312)-SEARCH("|",M312)-1),CHAR(34))),
"   description=",CHAR(34),IF(ISBLANK(I312),"",CONCATENATE(I312,"; ")),"shapenotesingings.com",CHAR(34),
"   options=",CHAR(34),"'Apple','Google','iCal','Outlook.com'",CHAR(34),"   styleLight=",CHAR(34),"--btn-background: #550000; --btn-text: #fff; --btn-shadow:#fff;",CHAR(34),
IF(W312=1,CONCATENATE(
"startDate=",CHAR(34),TEXT(G312,"yyyy-mm-dd"),CHAR(34),
"{endDate=",CHAR(34),TEXT(G312,"yyyy-mm-dd"),CHAR(34),
IF(OR(ISBLANK(AE312),ISBLANK(AF312)),"",(CONCATENATE(" startTime=",CHAR(34),TEXT(AE312,"hh:mm"),CHAR(34)," endTime=",CHAR(34),TEXT(AF312,"h:mm"),CHAR(34),
" timeZone=",CHAR(34),AG312,CHAR(34))))),
IF(W312=2,CONCATENATE(" dates='[{",
CHAR(34),"startDate",CHAR(34),":",CHAR(34),TEXT(G312,"yyyy-mm-dd"),CHAR(34),", ",
,CHAR(34),"endDate",CHAR(34),":",CHAR(34),TEXT(G312,"yyyy-mm-dd"),CHAR(34),
IF(OR(ISBLANK(AE312),ISBLANK(AF312)),"",(CONCATENATE(", ",CHAR(34),"startTime",CHAR(34),":",CHAR(34),TEXT(AE312,"hh:mm"),CHAR(34),", ",CHAR(34),"endTime",CHAR(34),":",CHAR(34),TEXT(AF312,"hh:mm"),CHAR(34),", ",CHAR(34),"timeZone",CHAR(34),":",CHAR(34),AG312,CHAR(34)))),"}, {",
,CHAR(34),"startDate",CHAR(34),":",CHAR(34),TEXT(G312+1,"yyyy-mm-dd"),CHAR(34),", ",
,CHAR(34),"endDate",CHAR(34),":",CHAR(34),TEXT(G312+W312-1,"yyyy-mm-dd"),CHAR(34),
IF(OR(ISBLANK(AE312),ISBLANK(AF312)),"",(CONCATENATE(", ",CHAR(34),"startTime",CHAR(34),":",CHAR(34),TEXT(AE312,"hh:mm"),CHAR(34),", ",CHAR(34),"endTime",CHAR(34),":",CHAR(34),TEXT(AF312,"hh:mm"),CHAR(34),", ",CHAR(34),"timeZone",CHAR(34),":",CHAR(34),AG312,CHAR(34)))),"}]'"),
CONCATENATE(
"{  startDate=",CHAR(34),TEXT(G312,"yyyy-mm-dd"),CHAR(34),
"  endDate=",CHAR(34),TEXT(G312+W312-1,"yyyy-mm-dd"),CHAR(34),"}"))),
" &gt;&lt;/add-to-calendar-button&gt;")</f>
        <v>&lt;add-to-calendar-button  name="All-Wisconsin Shapenote Singing"   location="Milwaukee Friends Meeting, 3224 N Gordon Pl, Milwaukee, WI 53212"   description="10am-3:30pm; shapenotesingings.com"   options="'Apple','Google','iCal','Outlook.com'"   styleLight="--btn-background: #550000; --btn-text: #fff; --btn-shadow:#fff;"startDate="2025-11-08"{endDate="2025-11-08" startTime="10:00" endTime="15:30" timeZone="America/Chicago" &gt;&lt;/add-to-calendar-button&gt;</v>
      </c>
      <c r="AE312" s="24">
        <v>0.41666666666666669</v>
      </c>
      <c r="AF312" s="24">
        <v>0.64583333333333337</v>
      </c>
      <c r="AG312" s="25" t="s">
        <v>1533</v>
      </c>
    </row>
    <row r="313" spans="1:33" x14ac:dyDescent="0.3">
      <c r="A313" t="s">
        <v>144</v>
      </c>
      <c r="B313" t="s">
        <v>144</v>
      </c>
      <c r="C313" t="s">
        <v>1162</v>
      </c>
      <c r="D313" t="s">
        <v>739</v>
      </c>
      <c r="E313" t="s">
        <v>2177</v>
      </c>
      <c r="F313" t="s">
        <v>726</v>
      </c>
      <c r="G313" s="7">
        <f ca="1">X313</f>
        <v>45969</v>
      </c>
      <c r="H313" s="5" t="s">
        <v>738</v>
      </c>
      <c r="J313" s="36" t="s">
        <v>3008</v>
      </c>
      <c r="L313" t="s">
        <v>952</v>
      </c>
      <c r="M313" s="16" t="s">
        <v>736</v>
      </c>
      <c r="N313" s="16" t="s">
        <v>737</v>
      </c>
      <c r="O313" s="7">
        <v>44927</v>
      </c>
      <c r="P313" s="7" t="s">
        <v>938</v>
      </c>
      <c r="Q313" s="18">
        <v>11</v>
      </c>
      <c r="R313" s="18">
        <v>2</v>
      </c>
      <c r="S313" s="18">
        <v>1</v>
      </c>
      <c r="T313" s="4">
        <f>DATE(AI$2,$Q313,1+(($R313-($S313&gt;=WEEKDAY(DATE(AI$2,$Q313,1))))*7)+($S313-WEEKDAY(DATE(AI$2,$Q313,1))))</f>
        <v>45970</v>
      </c>
      <c r="U313" s="4">
        <f>DATE(AJ$2,$Q313,1+(($R313-($S313&gt;=WEEKDAY(DATE(AJ$2,$Q313,1))))*7)+($S313-WEEKDAY(DATE(AJ$2,$Q313,1))))</f>
        <v>46334</v>
      </c>
      <c r="V313" s="20">
        <v>-1</v>
      </c>
      <c r="W313" s="20">
        <v>1</v>
      </c>
      <c r="X313" s="4">
        <f ca="1">Y313-(W313-1)</f>
        <v>45969</v>
      </c>
      <c r="Y313" s="5">
        <f t="shared" ca="1" si="0"/>
        <v>45969</v>
      </c>
      <c r="Z313" t="str">
        <f ca="1">CONCATENATE(IF(OR(Y313=X313,ISBLANK(Y313)),TEXT(X313,"mmmm d"),CONCATENATE(TEXT(X313,"mmmm d"),"-",IF(TEXT(X313,"mmmm")=TEXT(Y313,"mmmm"),TEXT(Y313,"d"),TEXT(Y313,"mmmm d")))),", ",YEAR(Y313))</f>
        <v>November 8, 2025</v>
      </c>
      <c r="AA313" s="7">
        <f>O313</f>
        <v>44927</v>
      </c>
      <c r="AB313" s="14">
        <f>T313+V313-(W313-1)</f>
        <v>45969</v>
      </c>
      <c r="AC313" t="s">
        <v>1388</v>
      </c>
      <c r="AD313" s="23" t="str">
        <f ca="1">CONCATENATE("&lt;add-to-calendar-button  name=",CHAR(34),H313,CHAR(34),
IF(ISBLANK(M313),"",CONCATENATE("   location=",CHAR(34),RIGHT(M313,LEN(M313)-SEARCH("|",M313)-1),CHAR(34))),
"   description=",CHAR(34),IF(ISBLANK(I313),"",CONCATENATE(I313,"; ")),"shapenotesingings.com",CHAR(34),
"   options=",CHAR(34),"'Apple','Google','iCal','Outlook.com'",CHAR(34),"   styleLight=",CHAR(34),"--btn-background: #550000; --btn-text: #fff; --btn-shadow:#fff;",CHAR(34),
IF(W313=1,CONCATENATE(
"startDate=",CHAR(34),TEXT(G313,"yyyy-mm-dd"),CHAR(34),
"{endDate=",CHAR(34),TEXT(G313,"yyyy-mm-dd"),CHAR(34),
IF(OR(ISBLANK(AE313),ISBLANK(AF313)),"",(CONCATENATE(" startTime=",CHAR(34),TEXT(AE313,"hh:mm"),CHAR(34)," endTime=",CHAR(34),TEXT(AF313,"h:mm"),CHAR(34),
" timeZone=",CHAR(34),AG313,CHAR(34))))),
IF(W313=2,CONCATENATE(" dates='[{",
CHAR(34),"startDate",CHAR(34),":",CHAR(34),TEXT(G313,"yyyy-mm-dd"),CHAR(34),", ",
,CHAR(34),"endDate",CHAR(34),":",CHAR(34),TEXT(G313,"yyyy-mm-dd"),CHAR(34),
IF(OR(ISBLANK(AE313),ISBLANK(AF313)),"",(CONCATENATE(", ",CHAR(34),"startTime",CHAR(34),":",CHAR(34),TEXT(AE313,"hh:mm"),CHAR(34),", ",CHAR(34),"endTime",CHAR(34),":",CHAR(34),TEXT(AF313,"hh:mm"),CHAR(34),", ",CHAR(34),"timeZone",CHAR(34),":",CHAR(34),AG313,CHAR(34)))),"}, {",
,CHAR(34),"startDate",CHAR(34),":",CHAR(34),TEXT(G313+1,"yyyy-mm-dd"),CHAR(34),", ",
,CHAR(34),"endDate",CHAR(34),":",CHAR(34),TEXT(G313+W313-1,"yyyy-mm-dd"),CHAR(34),
IF(OR(ISBLANK(AE313),ISBLANK(AF313)),"",(CONCATENATE(", ",CHAR(34),"startTime",CHAR(34),":",CHAR(34),TEXT(AE313,"hh:mm"),CHAR(34),", ",CHAR(34),"endTime",CHAR(34),":",CHAR(34),TEXT(AF313,"hh:mm"),CHAR(34),", ",CHAR(34),"timeZone",CHAR(34),":",CHAR(34),AG313,CHAR(34)))),"}]'"),
CONCATENATE(
"{  startDate=",CHAR(34),TEXT(G313,"yyyy-mm-dd"),CHAR(34),
"  endDate=",CHAR(34),TEXT(G313+W313-1,"yyyy-mm-dd"),CHAR(34),"}"))),
" &gt;&lt;/add-to-calendar-button&gt;")</f>
        <v>&lt;add-to-calendar-button  name="Stapleford Sacred Harp Singing"   location="Stapleford Baptist Church, Albert St, Stapleford, Nottingham NG9 8DB, United Kingdom"   description="shapenotesingings.com"   options="'Apple','Google','iCal','Outlook.com'"   styleLight="--btn-background: #550000; --btn-text: #fff; --btn-shadow:#fff;"startDate="2025-11-08"{endDate="2025-11-08" &gt;&lt;/add-to-calendar-button&gt;</v>
      </c>
      <c r="AG313" s="25" t="s">
        <v>1535</v>
      </c>
    </row>
    <row r="314" spans="1:33" x14ac:dyDescent="0.3">
      <c r="A314" t="s">
        <v>29</v>
      </c>
      <c r="B314" t="s">
        <v>1558</v>
      </c>
      <c r="C314" t="s">
        <v>1557</v>
      </c>
      <c r="D314" t="s">
        <v>1564</v>
      </c>
      <c r="E314" t="s">
        <v>2178</v>
      </c>
      <c r="F314" t="s">
        <v>2947</v>
      </c>
      <c r="G314" s="7">
        <f ca="1">X314</f>
        <v>45990</v>
      </c>
      <c r="H314" s="5" t="s">
        <v>1565</v>
      </c>
      <c r="I314" t="s">
        <v>1566</v>
      </c>
      <c r="J314" s="36" t="s">
        <v>3009</v>
      </c>
      <c r="L314" t="s">
        <v>2320</v>
      </c>
      <c r="M314" s="16" t="s">
        <v>2949</v>
      </c>
      <c r="N314" s="16" t="s">
        <v>2950</v>
      </c>
      <c r="O314" s="7">
        <v>45773</v>
      </c>
      <c r="P314" s="7" t="s">
        <v>2948</v>
      </c>
      <c r="Q314" s="18">
        <v>11</v>
      </c>
      <c r="R314" s="18">
        <v>5</v>
      </c>
      <c r="S314" s="18">
        <v>1</v>
      </c>
      <c r="T314" s="4">
        <f>DATE(AI$2,$Q314,1+(($R314-($S314&gt;=WEEKDAY(DATE(AI$2,$Q314,1))))*7)+($S314-WEEKDAY(DATE(AI$2,$Q314,1))))</f>
        <v>45991</v>
      </c>
      <c r="U314" s="4">
        <f>DATE(AJ$2,$Q314,1+(($R314-($S314&gt;=WEEKDAY(DATE(AJ$2,$Q314,1))))*7)+($S314-WEEKDAY(DATE(AJ$2,$Q314,1))))</f>
        <v>46355</v>
      </c>
      <c r="V314" s="20">
        <v>-1</v>
      </c>
      <c r="W314" s="20">
        <v>1</v>
      </c>
      <c r="X314" s="4">
        <f ca="1">Y314-(W314-1)</f>
        <v>45990</v>
      </c>
      <c r="Y314" s="5">
        <f t="shared" ca="1" si="0"/>
        <v>45990</v>
      </c>
      <c r="Z314" t="str">
        <f ca="1">CONCATENATE(IF(OR(Y314=X314,ISBLANK(Y314)),TEXT(X314,"mmmm d"),CONCATENATE(TEXT(X314,"mmmm d"),"-",IF(TEXT(X314,"mmmm")=TEXT(Y314,"mmmm"),TEXT(Y314,"d"),TEXT(Y314,"mmmm d")))),", ",YEAR(Y314))</f>
        <v>November 29, 2025</v>
      </c>
      <c r="AA314" s="7">
        <f>O314</f>
        <v>45773</v>
      </c>
      <c r="AB314" s="14">
        <f>T314+V314-(W314-1)</f>
        <v>45990</v>
      </c>
      <c r="AC314" t="s">
        <v>2957</v>
      </c>
      <c r="AD314" s="23" t="str">
        <f ca="1">CONCATENATE("&lt;add-to-calendar-button  name=",CHAR(34),H314,CHAR(34),
IF(ISBLANK(M314),"",CONCATENATE("   location=",CHAR(34),RIGHT(M314,LEN(M314)-SEARCH("|",M314)-1),CHAR(34))),
"   description=",CHAR(34),IF(ISBLANK(I314),"",CONCATENATE(I314,"; ")),"shapenotesingings.com",CHAR(34),
"   options=",CHAR(34),"'Apple','Google','iCal','Outlook.com'",CHAR(34),"   styleLight=",CHAR(34),"--btn-background: #550000; --btn-text: #fff; --btn-shadow:#fff;",CHAR(34),
IF(W314=1,CONCATENATE(
"startDate=",CHAR(34),TEXT(G314,"yyyy-mm-dd"),CHAR(34),
"{endDate=",CHAR(34),TEXT(G314,"yyyy-mm-dd"),CHAR(34),
IF(OR(ISBLANK(AE314),ISBLANK(AF314)),"",(CONCATENATE(" startTime=",CHAR(34),TEXT(AE314,"hh:mm"),CHAR(34)," endTime=",CHAR(34),TEXT(AF314,"h:mm"),CHAR(34),
" timeZone=",CHAR(34),AG314,CHAR(34))))),
IF(W314=2,CONCATENATE(" dates='[{",
CHAR(34),"startDate",CHAR(34),":",CHAR(34),TEXT(G314,"yyyy-mm-dd"),CHAR(34),", ",
,CHAR(34),"endDate",CHAR(34),":",CHAR(34),TEXT(G314,"yyyy-mm-dd"),CHAR(34),
IF(OR(ISBLANK(AE314),ISBLANK(AF314)),"",(CONCATENATE(", ",CHAR(34),"startTime",CHAR(34),":",CHAR(34),TEXT(AE314,"hh:mm"),CHAR(34),", ",CHAR(34),"endTime",CHAR(34),":",CHAR(34),TEXT(AF314,"hh:mm"),CHAR(34),", ",CHAR(34),"timeZone",CHAR(34),":",CHAR(34),AG314,CHAR(34)))),"}, {",
,CHAR(34),"startDate",CHAR(34),":",CHAR(34),TEXT(G314+1,"yyyy-mm-dd"),CHAR(34),", ",
,CHAR(34),"endDate",CHAR(34),":",CHAR(34),TEXT(G314+W314-1,"yyyy-mm-dd"),CHAR(34),
IF(OR(ISBLANK(AE314),ISBLANK(AF314)),"",(CONCATENATE(", ",CHAR(34),"startTime",CHAR(34),":",CHAR(34),TEXT(AE314,"hh:mm"),CHAR(34),", ",CHAR(34),"endTime",CHAR(34),":",CHAR(34),TEXT(AF314,"hh:mm"),CHAR(34),", ",CHAR(34),"timeZone",CHAR(34),":",CHAR(34),AG314,CHAR(34)))),"}]'"),
CONCATENATE(
"{  startDate=",CHAR(34),TEXT(G314,"yyyy-mm-dd"),CHAR(34),
"  endDate=",CHAR(34),TEXT(G314+W314-1,"yyyy-mm-dd"),CHAR(34),"}"))),
" &gt;&lt;/add-to-calendar-button&gt;")</f>
        <v>&lt;add-to-calendar-button  name="Kyneton All-Day Singing"   location="Red Brick Hall, 23 Yaldwyn St W, Kyneton VIC 3444, Australia"   description="9:30am-4:00pm; shapenotesingings.com"   options="'Apple','Google','iCal','Outlook.com'"   styleLight="--btn-background: #550000; --btn-text: #fff; --btn-shadow:#fff;"startDate="2025-11-29"{endDate="2025-11-29" startTime="09:30" endTime="16:00" timeZone="Australia/Melbourne" &gt;&lt;/add-to-calendar-button&gt;</v>
      </c>
      <c r="AE314" s="24">
        <v>0.39583333333333331</v>
      </c>
      <c r="AF314" s="24">
        <v>0.66666666666666663</v>
      </c>
      <c r="AG314" s="25" t="s">
        <v>1567</v>
      </c>
    </row>
    <row r="315" spans="1:33" x14ac:dyDescent="0.3">
      <c r="A315" t="s">
        <v>8</v>
      </c>
      <c r="B315" t="s">
        <v>11</v>
      </c>
      <c r="C315" t="s">
        <v>1134</v>
      </c>
      <c r="D315" t="s">
        <v>184</v>
      </c>
      <c r="E315" t="s">
        <v>34</v>
      </c>
      <c r="F315" t="s">
        <v>749</v>
      </c>
      <c r="G315" s="7">
        <f ca="1">X315</f>
        <v>45976</v>
      </c>
      <c r="H315" s="5" t="s">
        <v>1554</v>
      </c>
      <c r="L315" t="s">
        <v>2386</v>
      </c>
      <c r="M315" s="16" t="s">
        <v>999</v>
      </c>
      <c r="N315" s="16" t="s">
        <v>186</v>
      </c>
      <c r="O315" s="7">
        <v>45037</v>
      </c>
      <c r="P315" s="7" t="s">
        <v>1555</v>
      </c>
      <c r="Q315" s="18">
        <v>11</v>
      </c>
      <c r="R315" s="18">
        <v>3</v>
      </c>
      <c r="S315" s="18">
        <v>1</v>
      </c>
      <c r="T315" s="4">
        <f>DATE(AI$2,$Q315,1+(($R315-($S315&gt;=WEEKDAY(DATE(AI$2,$Q315,1))))*7)+($S315-WEEKDAY(DATE(AI$2,$Q315,1))))</f>
        <v>45977</v>
      </c>
      <c r="U315" s="4">
        <f>DATE(AJ$2,$Q315,1+(($R315-($S315&gt;=WEEKDAY(DATE(AJ$2,$Q315,1))))*7)+($S315-WEEKDAY(DATE(AJ$2,$Q315,1))))</f>
        <v>46341</v>
      </c>
      <c r="V315" s="20">
        <v>-1</v>
      </c>
      <c r="W315" s="20">
        <v>1</v>
      </c>
      <c r="X315" s="4">
        <f ca="1">Y315-(W315-1)</f>
        <v>45976</v>
      </c>
      <c r="Y315" s="5">
        <f t="shared" ca="1" si="0"/>
        <v>45976</v>
      </c>
      <c r="Z315" t="str">
        <f ca="1">CONCATENATE(IF(OR(Y315=X315,ISBLANK(Y315)),TEXT(X315,"mmmm d"),CONCATENATE(TEXT(X315,"mmmm d"),"-",IF(TEXT(X315,"mmmm")=TEXT(Y315,"mmmm"),TEXT(Y315,"d"),TEXT(Y315,"mmmm d")))),", ",YEAR(Y315))</f>
        <v>November 15, 2025</v>
      </c>
      <c r="AA315" s="7">
        <f>O315</f>
        <v>45037</v>
      </c>
      <c r="AB315" s="14">
        <f>T315+V315-(W315-1)</f>
        <v>45976</v>
      </c>
      <c r="AC315" t="s">
        <v>1226</v>
      </c>
      <c r="AD315" s="23" t="str">
        <f ca="1">CONCATENATE("&lt;add-to-calendar-button  name=",CHAR(34),H315,CHAR(34),
IF(ISBLANK(M315),"",CONCATENATE("   location=",CHAR(34),RIGHT(M315,LEN(M315)-SEARCH("|",M315)-1),CHAR(34))),
"   description=",CHAR(34),IF(ISBLANK(I315),"",CONCATENATE(I315,"; ")),"shapenotesingings.com",CHAR(34),
"   options=",CHAR(34),"'Apple','Google','iCal','Outlook.com'",CHAR(34),"   styleLight=",CHAR(34),"--btn-background: #550000; --btn-text: #fff; --btn-shadow:#fff;",CHAR(34),
IF(W315=1,CONCATENATE(
"startDate=",CHAR(34),TEXT(G315,"yyyy-mm-dd"),CHAR(34),
"{endDate=",CHAR(34),TEXT(G315,"yyyy-mm-dd"),CHAR(34),
IF(OR(ISBLANK(AE315),ISBLANK(AF315)),"",(CONCATENATE(" startTime=",CHAR(34),TEXT(AE315,"hh:mm"),CHAR(34)," endTime=",CHAR(34),TEXT(AF315,"h:mm"),CHAR(34),
" timeZone=",CHAR(34),AG315,CHAR(34))))),
IF(W315=2,CONCATENATE(" dates='[{",
CHAR(34),"startDate",CHAR(34),":",CHAR(34),TEXT(G315,"yyyy-mm-dd"),CHAR(34),", ",
,CHAR(34),"endDate",CHAR(34),":",CHAR(34),TEXT(G315,"yyyy-mm-dd"),CHAR(34),
IF(OR(ISBLANK(AE315),ISBLANK(AF315)),"",(CONCATENATE(", ",CHAR(34),"startTime",CHAR(34),":",CHAR(34),TEXT(AE315,"hh:mm"),CHAR(34),", ",CHAR(34),"endTime",CHAR(34),":",CHAR(34),TEXT(AF315,"hh:mm"),CHAR(34),", ",CHAR(34),"timeZone",CHAR(34),":",CHAR(34),AG315,CHAR(34)))),"}, {",
,CHAR(34),"startDate",CHAR(34),":",CHAR(34),TEXT(G315+1,"yyyy-mm-dd"),CHAR(34),", ",
,CHAR(34),"endDate",CHAR(34),":",CHAR(34),TEXT(G315+W315-1,"yyyy-mm-dd"),CHAR(34),
IF(OR(ISBLANK(AE315),ISBLANK(AF315)),"",(CONCATENATE(", ",CHAR(34),"startTime",CHAR(34),":",CHAR(34),TEXT(AE315,"hh:mm"),CHAR(34),", ",CHAR(34),"endTime",CHAR(34),":",CHAR(34),TEXT(AF315,"hh:mm"),CHAR(34),", ",CHAR(34),"timeZone",CHAR(34),":",CHAR(34),AG315,CHAR(34)))),"}]'"),
CONCATENATE(
"{  startDate=",CHAR(34),TEXT(G315,"yyyy-mm-dd"),CHAR(34),
"  endDate=",CHAR(34),TEXT(G315+W315-1,"yyyy-mm-dd"),CHAR(34),"}"))),
" &gt;&lt;/add-to-calendar-button&gt;")</f>
        <v>&lt;add-to-calendar-button  name="State of Alabama Convention (Annual Session)"   location="Traveler's Rest Church, 654 Traveler's Rest Rd, Samson, AL 36477"   description="shapenotesingings.com"   options="'Apple','Google','iCal','Outlook.com'"   styleLight="--btn-background: #550000; --btn-text: #fff; --btn-shadow:#fff;"startDate="2025-11-15"{endDate="2025-11-15" &gt;&lt;/add-to-calendar-button&gt;</v>
      </c>
      <c r="AG315" s="25" t="s">
        <v>1533</v>
      </c>
    </row>
    <row r="316" spans="1:33" x14ac:dyDescent="0.3">
      <c r="A316" t="s">
        <v>144</v>
      </c>
      <c r="B316" t="s">
        <v>144</v>
      </c>
      <c r="C316" t="s">
        <v>1162</v>
      </c>
      <c r="D316" t="s">
        <v>1746</v>
      </c>
      <c r="E316" t="s">
        <v>2178</v>
      </c>
      <c r="F316" t="s">
        <v>749</v>
      </c>
      <c r="G316" s="7">
        <f ca="1">X316</f>
        <v>45976</v>
      </c>
      <c r="H316" s="5" t="s">
        <v>1747</v>
      </c>
      <c r="I316" t="s">
        <v>1043</v>
      </c>
      <c r="J316" s="36" t="s">
        <v>3010</v>
      </c>
      <c r="L316" t="s">
        <v>965</v>
      </c>
      <c r="M316" s="16" t="s">
        <v>1750</v>
      </c>
      <c r="N316" s="16" t="s">
        <v>1748</v>
      </c>
      <c r="O316" s="7">
        <v>45195</v>
      </c>
      <c r="P316" s="7" t="s">
        <v>1599</v>
      </c>
      <c r="Q316" s="18">
        <v>11</v>
      </c>
      <c r="R316" s="18">
        <v>3</v>
      </c>
      <c r="S316" s="18">
        <v>1</v>
      </c>
      <c r="T316" s="4">
        <f>DATE(AI$2,$Q316,1+(($R316-($S316&gt;=WEEKDAY(DATE(AI$2,$Q316,1))))*7)+($S316-WEEKDAY(DATE(AI$2,$Q316,1))))</f>
        <v>45977</v>
      </c>
      <c r="U316" s="4">
        <f>DATE(AJ$2,$Q316,1+(($R316-($S316&gt;=WEEKDAY(DATE(AJ$2,$Q316,1))))*7)+($S316-WEEKDAY(DATE(AJ$2,$Q316,1))))</f>
        <v>46341</v>
      </c>
      <c r="V316" s="20">
        <v>-1</v>
      </c>
      <c r="W316" s="20">
        <v>1</v>
      </c>
      <c r="X316" s="4">
        <f ca="1">Y316-(W316-1)</f>
        <v>45976</v>
      </c>
      <c r="Y316" s="5">
        <f t="shared" ca="1" si="0"/>
        <v>45976</v>
      </c>
      <c r="Z316" t="str">
        <f ca="1">CONCATENATE(IF(OR(Y316=X316,ISBLANK(Y316)),TEXT(X316,"mmmm d"),CONCATENATE(TEXT(X316,"mmmm d"),"-",IF(TEXT(X316,"mmmm")=TEXT(Y316,"mmmm"),TEXT(Y316,"d"),TEXT(Y316,"mmmm d")))),", ",YEAR(Y316))</f>
        <v>November 15, 2025</v>
      </c>
      <c r="AA316" s="7">
        <f>O316</f>
        <v>45195</v>
      </c>
      <c r="AB316" s="14">
        <f>T316+V316-(W316-1)</f>
        <v>45976</v>
      </c>
      <c r="AC316" t="s">
        <v>1749</v>
      </c>
      <c r="AD316" s="23" t="str">
        <f ca="1">CONCATENATE("&lt;add-to-calendar-button  name=",CHAR(34),H316,CHAR(34),
IF(ISBLANK(M316),"",CONCATENATE("   location=",CHAR(34),RIGHT(M316,LEN(M316)-SEARCH("|",M316)-1),CHAR(34))),
"   description=",CHAR(34),IF(ISBLANK(I316),"",CONCATENATE(I316,"; ")),"shapenotesingings.com",CHAR(34),
"   options=",CHAR(34),"'Apple','Google','iCal','Outlook.com'",CHAR(34),"   styleLight=",CHAR(34),"--btn-background: #550000; --btn-text: #fff; --btn-shadow:#fff;",CHAR(34),
IF(W316=1,CONCATENATE(
"startDate=",CHAR(34),TEXT(G316,"yyyy-mm-dd"),CHAR(34),
"{endDate=",CHAR(34),TEXT(G316,"yyyy-mm-dd"),CHAR(34),
IF(OR(ISBLANK(AE316),ISBLANK(AF316)),"",(CONCATENATE(" startTime=",CHAR(34),TEXT(AE316,"hh:mm"),CHAR(34)," endTime=",CHAR(34),TEXT(AF316,"h:mm"),CHAR(34),
" timeZone=",CHAR(34),AG316,CHAR(34))))),
IF(W316=2,CONCATENATE(" dates='[{",
CHAR(34),"startDate",CHAR(34),":",CHAR(34),TEXT(G316,"yyyy-mm-dd"),CHAR(34),", ",
,CHAR(34),"endDate",CHAR(34),":",CHAR(34),TEXT(G316,"yyyy-mm-dd"),CHAR(34),
IF(OR(ISBLANK(AE316),ISBLANK(AF316)),"",(CONCATENATE(", ",CHAR(34),"startTime",CHAR(34),":",CHAR(34),TEXT(AE316,"hh:mm"),CHAR(34),", ",CHAR(34),"endTime",CHAR(34),":",CHAR(34),TEXT(AF316,"hh:mm"),CHAR(34),", ",CHAR(34),"timeZone",CHAR(34),":",CHAR(34),AG316,CHAR(34)))),"}, {",
,CHAR(34),"startDate",CHAR(34),":",CHAR(34),TEXT(G316+1,"yyyy-mm-dd"),CHAR(34),", ",
,CHAR(34),"endDate",CHAR(34),":",CHAR(34),TEXT(G316+W316-1,"yyyy-mm-dd"),CHAR(34),
IF(OR(ISBLANK(AE316),ISBLANK(AF316)),"",(CONCATENATE(", ",CHAR(34),"startTime",CHAR(34),":",CHAR(34),TEXT(AE316,"hh:mm"),CHAR(34),", ",CHAR(34),"endTime",CHAR(34),":",CHAR(34),TEXT(AF316,"hh:mm"),CHAR(34),", ",CHAR(34),"timeZone",CHAR(34),":",CHAR(34),AG316,CHAR(34)))),"}]'"),
CONCATENATE(
"{  startDate=",CHAR(34),TEXT(G316,"yyyy-mm-dd"),CHAR(34),
"  endDate=",CHAR(34),TEXT(G316+W316-1,"yyyy-mm-dd"),CHAR(34),"}"))),
" &gt;&lt;/add-to-calendar-button&gt;")</f>
        <v>&lt;add-to-calendar-button  name="West Yorkshire Singing"   location="Holy Trinity Church Hall, Church St, Rothwell, Leeds LS26 0QL, United Kingdom"   description="10:30am-4pm; shapenotesingings.com"   options="'Apple','Google','iCal','Outlook.com'"   styleLight="--btn-background: #550000; --btn-text: #fff; --btn-shadow:#fff;"startDate="2025-11-15"{endDate="2025-11-15" startTime="10:30" endTime="16:00" timeZone="Europe/London" &gt;&lt;/add-to-calendar-button&gt;</v>
      </c>
      <c r="AE316" s="24">
        <v>0.4375</v>
      </c>
      <c r="AF316" s="24">
        <v>0.66666666666666663</v>
      </c>
      <c r="AG316" s="25" t="s">
        <v>1535</v>
      </c>
    </row>
    <row r="317" spans="1:33" x14ac:dyDescent="0.3">
      <c r="A317" t="s">
        <v>8</v>
      </c>
      <c r="B317" t="s">
        <v>17</v>
      </c>
      <c r="C317" t="s">
        <v>1140</v>
      </c>
      <c r="D317" t="s">
        <v>911</v>
      </c>
      <c r="E317" t="s">
        <v>33</v>
      </c>
      <c r="F317" t="s">
        <v>749</v>
      </c>
      <c r="G317" s="7">
        <f ca="1">X317</f>
        <v>45976</v>
      </c>
      <c r="H317" s="5" t="s">
        <v>26</v>
      </c>
      <c r="I317" t="s">
        <v>1030</v>
      </c>
      <c r="J317" s="36" t="s">
        <v>2628</v>
      </c>
      <c r="L317" t="s">
        <v>2073</v>
      </c>
      <c r="M317" s="16" t="s">
        <v>909</v>
      </c>
      <c r="N317" s="16" t="s">
        <v>910</v>
      </c>
      <c r="O317" s="7">
        <v>45562</v>
      </c>
      <c r="P317" s="7" t="s">
        <v>2306</v>
      </c>
      <c r="Q317" s="18">
        <v>11</v>
      </c>
      <c r="R317" s="18">
        <v>3</v>
      </c>
      <c r="S317" s="18">
        <v>1</v>
      </c>
      <c r="T317" s="4">
        <f>DATE(AI$2,$Q317,1+(($R317-($S317&gt;=WEEKDAY(DATE(AI$2,$Q317,1))))*7)+($S317-WEEKDAY(DATE(AI$2,$Q317,1))))</f>
        <v>45977</v>
      </c>
      <c r="U317" s="4">
        <f>DATE(AJ$2,$Q317,1+(($R317-($S317&gt;=WEEKDAY(DATE(AJ$2,$Q317,1))))*7)+($S317-WEEKDAY(DATE(AJ$2,$Q317,1))))</f>
        <v>46341</v>
      </c>
      <c r="V317" s="20">
        <v>-1</v>
      </c>
      <c r="W317" s="20">
        <v>1</v>
      </c>
      <c r="X317" s="4">
        <f ca="1">Y317-(W317-1)</f>
        <v>45976</v>
      </c>
      <c r="Y317" s="5">
        <f t="shared" ca="1" si="0"/>
        <v>45976</v>
      </c>
      <c r="Z317" t="str">
        <f ca="1">CONCATENATE(IF(OR(Y317=X317,ISBLANK(Y317)),TEXT(X317,"mmmm d"),CONCATENATE(TEXT(X317,"mmmm d"),"-",IF(TEXT(X317,"mmmm")=TEXT(Y317,"mmmm"),TEXT(Y317,"d"),TEXT(Y317,"mmmm d")))),", ",YEAR(Y317))</f>
        <v>November 15, 2025</v>
      </c>
      <c r="AA317" s="7">
        <f>O317</f>
        <v>45562</v>
      </c>
      <c r="AB317" s="14">
        <f>T317+V317-(W317-1)</f>
        <v>45976</v>
      </c>
      <c r="AC317" t="s">
        <v>2307</v>
      </c>
      <c r="AD317" s="23" t="str">
        <f ca="1">CONCATENATE("&lt;add-to-calendar-button  name=",CHAR(34),H317,CHAR(34),
IF(ISBLANK(M317),"",CONCATENATE("   location=",CHAR(34),RIGHT(M317,LEN(M317)-SEARCH("|",M317)-1),CHAR(34))),
"   description=",CHAR(34),IF(ISBLANK(I317),"",CONCATENATE(I317,"; ")),"shapenotesingings.com",CHAR(34),
"   options=",CHAR(34),"'Apple','Google','iCal','Outlook.com'",CHAR(34),"   styleLight=",CHAR(34),"--btn-background: #550000; --btn-text: #fff; --btn-shadow:#fff;",CHAR(34),
IF(W317=1,CONCATENATE(
"startDate=",CHAR(34),TEXT(G317,"yyyy-mm-dd"),CHAR(34),
"{endDate=",CHAR(34),TEXT(G317,"yyyy-mm-dd"),CHAR(34),
IF(OR(ISBLANK(AE317),ISBLANK(AF317)),"",(CONCATENATE(" startTime=",CHAR(34),TEXT(AE317,"hh:mm"),CHAR(34)," endTime=",CHAR(34),TEXT(AF317,"h:mm"),CHAR(34),
" timeZone=",CHAR(34),AG317,CHAR(34))))),
IF(W317=2,CONCATENATE(" dates='[{",
CHAR(34),"startDate",CHAR(34),":",CHAR(34),TEXT(G317,"yyyy-mm-dd"),CHAR(34),", ",
,CHAR(34),"endDate",CHAR(34),":",CHAR(34),TEXT(G317,"yyyy-mm-dd"),CHAR(34),
IF(OR(ISBLANK(AE317),ISBLANK(AF317)),"",(CONCATENATE(", ",CHAR(34),"startTime",CHAR(34),":",CHAR(34),TEXT(AE317,"hh:mm"),CHAR(34),", ",CHAR(34),"endTime",CHAR(34),":",CHAR(34),TEXT(AF317,"hh:mm"),CHAR(34),", ",CHAR(34),"timeZone",CHAR(34),":",CHAR(34),AG317,CHAR(34)))),"}, {",
,CHAR(34),"startDate",CHAR(34),":",CHAR(34),TEXT(G317+1,"yyyy-mm-dd"),CHAR(34),", ",
,CHAR(34),"endDate",CHAR(34),":",CHAR(34),TEXT(G317+W317-1,"yyyy-mm-dd"),CHAR(34),
IF(OR(ISBLANK(AE317),ISBLANK(AF317)),"",(CONCATENATE(", ",CHAR(34),"startTime",CHAR(34),":",CHAR(34),TEXT(AE317,"hh:mm"),CHAR(34),", ",CHAR(34),"endTime",CHAR(34),":",CHAR(34),TEXT(AF317,"hh:mm"),CHAR(34),", ",CHAR(34),"timeZone",CHAR(34),":",CHAR(34),AG317,CHAR(34)))),"}]'"),
CONCATENATE(
"{  startDate=",CHAR(34),TEXT(G317,"yyyy-mm-dd"),CHAR(34),
"  endDate=",CHAR(34),TEXT(G317+W317-1,"yyyy-mm-dd"),CHAR(34),"}"))),
" &gt;&lt;/add-to-calendar-button&gt;")</f>
        <v>&lt;add-to-calendar-button  name="Georgian Harmony Singing"   location="No. 3 Railroad Steet, Arnoldsville, GA 30619"   description="10:00am; shapenotesingings.com"   options="'Apple','Google','iCal','Outlook.com'"   styleLight="--btn-background: #550000; --btn-text: #fff; --btn-shadow:#fff;"startDate="2025-11-15"{endDate="2025-11-15" startTime="10:00" endTime="15:00" timeZone="America/New_York" &gt;&lt;/add-to-calendar-button&gt;</v>
      </c>
      <c r="AE317" s="24">
        <v>0.41666666666666669</v>
      </c>
      <c r="AF317" s="24">
        <v>0.625</v>
      </c>
      <c r="AG317" s="25" t="s">
        <v>1532</v>
      </c>
    </row>
    <row r="318" spans="1:33" x14ac:dyDescent="0.3">
      <c r="A318" t="s">
        <v>8</v>
      </c>
      <c r="B318" t="s">
        <v>114</v>
      </c>
      <c r="C318" t="s">
        <v>1153</v>
      </c>
      <c r="D318" t="s">
        <v>809</v>
      </c>
      <c r="E318" t="s">
        <v>781</v>
      </c>
      <c r="F318" t="s">
        <v>749</v>
      </c>
      <c r="G318" s="7">
        <f ca="1">X318</f>
        <v>45976</v>
      </c>
      <c r="H318" s="5" t="s">
        <v>810</v>
      </c>
      <c r="I318" t="s">
        <v>1037</v>
      </c>
      <c r="J318" s="36" t="s">
        <v>2631</v>
      </c>
      <c r="L318" t="s">
        <v>2378</v>
      </c>
      <c r="M318" s="16" t="s">
        <v>2369</v>
      </c>
      <c r="N318" s="16" t="s">
        <v>2370</v>
      </c>
      <c r="O318" s="7">
        <v>45598</v>
      </c>
      <c r="P318" s="7" t="s">
        <v>2371</v>
      </c>
      <c r="Q318" s="18">
        <v>11</v>
      </c>
      <c r="R318" s="18">
        <v>3</v>
      </c>
      <c r="S318" s="18">
        <v>1</v>
      </c>
      <c r="T318" s="4">
        <f>DATE(AI$2,$Q318,1+(($R318-($S318&gt;=WEEKDAY(DATE(AI$2,$Q318,1))))*7)+($S318-WEEKDAY(DATE(AI$2,$Q318,1))))</f>
        <v>45977</v>
      </c>
      <c r="U318" s="4">
        <f>DATE(AJ$2,$Q318,1+(($R318-($S318&gt;=WEEKDAY(DATE(AJ$2,$Q318,1))))*7)+($S318-WEEKDAY(DATE(AJ$2,$Q318,1))))</f>
        <v>46341</v>
      </c>
      <c r="V318" s="20">
        <v>-1</v>
      </c>
      <c r="W318" s="20">
        <v>1</v>
      </c>
      <c r="X318" s="4">
        <f ca="1">Y318-(W318-1)</f>
        <v>45976</v>
      </c>
      <c r="Y318" s="5">
        <f t="shared" ca="1" si="0"/>
        <v>45976</v>
      </c>
      <c r="Z318" t="str">
        <f ca="1">CONCATENATE(IF(OR(Y318=X318,ISBLANK(Y318)),TEXT(X318,"mmmm d"),CONCATENATE(TEXT(X318,"mmmm d"),"-",IF(TEXT(X318,"mmmm")=TEXT(Y318,"mmmm"),TEXT(Y318,"d"),TEXT(Y318,"mmmm d")))),", ",YEAR(Y318))</f>
        <v>November 15, 2025</v>
      </c>
      <c r="AA318" s="7">
        <f>O318</f>
        <v>45598</v>
      </c>
      <c r="AB318" s="14">
        <f>T318+V318-(W318-1)</f>
        <v>45976</v>
      </c>
      <c r="AC318" t="s">
        <v>2372</v>
      </c>
      <c r="AD318" s="23" t="str">
        <f ca="1">CONCATENATE("&lt;add-to-calendar-button  name=",CHAR(34),H318,CHAR(34),
IF(ISBLANK(M318),"",CONCATENATE("   location=",CHAR(34),RIGHT(M318,LEN(M318)-SEARCH("|",M318)-1),CHAR(34))),
"   description=",CHAR(34),IF(ISBLANK(I318),"",CONCATENATE(I318,"; ")),"shapenotesingings.com",CHAR(34),
"   options=",CHAR(34),"'Apple','Google','iCal','Outlook.com'",CHAR(34),"   styleLight=",CHAR(34),"--btn-background: #550000; --btn-text: #fff; --btn-shadow:#fff;",CHAR(34),
IF(W318=1,CONCATENATE(
"startDate=",CHAR(34),TEXT(G318,"yyyy-mm-dd"),CHAR(34),
"{endDate=",CHAR(34),TEXT(G318,"yyyy-mm-dd"),CHAR(34),
IF(OR(ISBLANK(AE318),ISBLANK(AF318)),"",(CONCATENATE(" startTime=",CHAR(34),TEXT(AE318,"hh:mm"),CHAR(34)," endTime=",CHAR(34),TEXT(AF318,"h:mm"),CHAR(34),
" timeZone=",CHAR(34),AG318,CHAR(34))))),
IF(W318=2,CONCATENATE(" dates='[{",
CHAR(34),"startDate",CHAR(34),":",CHAR(34),TEXT(G318,"yyyy-mm-dd"),CHAR(34),", ",
,CHAR(34),"endDate",CHAR(34),":",CHAR(34),TEXT(G318,"yyyy-mm-dd"),CHAR(34),
IF(OR(ISBLANK(AE318),ISBLANK(AF318)),"",(CONCATENATE(", ",CHAR(34),"startTime",CHAR(34),":",CHAR(34),TEXT(AE318,"hh:mm"),CHAR(34),", ",CHAR(34),"endTime",CHAR(34),":",CHAR(34),TEXT(AF318,"hh:mm"),CHAR(34),", ",CHAR(34),"timeZone",CHAR(34),":",CHAR(34),AG318,CHAR(34)))),"}, {",
,CHAR(34),"startDate",CHAR(34),":",CHAR(34),TEXT(G318+1,"yyyy-mm-dd"),CHAR(34),", ",
,CHAR(34),"endDate",CHAR(34),":",CHAR(34),TEXT(G318+W318-1,"yyyy-mm-dd"),CHAR(34),
IF(OR(ISBLANK(AE318),ISBLANK(AF318)),"",(CONCATENATE(", ",CHAR(34),"startTime",CHAR(34),":",CHAR(34),TEXT(AE318,"hh:mm"),CHAR(34),", ",CHAR(34),"endTime",CHAR(34),":",CHAR(34),TEXT(AF318,"hh:mm"),CHAR(34),", ",CHAR(34),"timeZone",CHAR(34),":",CHAR(34),AG318,CHAR(34)))),"}]'"),
CONCATENATE(
"{  startDate=",CHAR(34),TEXT(G318,"yyyy-mm-dd"),CHAR(34),
"  endDate=",CHAR(34),TEXT(G318+W318-1,"yyyy-mm-dd"),CHAR(34),"}"))),
" &gt;&lt;/add-to-calendar-button&gt;")</f>
        <v>&lt;add-to-calendar-button  name="Singing on the River"   location="The Church of the Holy Spirit, 433 Bone Camp Road, Marshall, NC 28753"   description="10am-3pm; shapenotesingings.com"   options="'Apple','Google','iCal','Outlook.com'"   styleLight="--btn-background: #550000; --btn-text: #fff; --btn-shadow:#fff;"startDate="2025-11-15"{endDate="2025-11-15" startTime="10:00" endTime="15:00" timeZone="America/New_York" &gt;&lt;/add-to-calendar-button&gt;</v>
      </c>
      <c r="AE318" s="24">
        <v>0.41666666666666669</v>
      </c>
      <c r="AF318" s="24">
        <v>0.625</v>
      </c>
      <c r="AG318" s="25" t="s">
        <v>1532</v>
      </c>
    </row>
    <row r="319" spans="1:33" x14ac:dyDescent="0.3">
      <c r="A319" t="s">
        <v>8</v>
      </c>
      <c r="B319" t="s">
        <v>11</v>
      </c>
      <c r="C319" t="s">
        <v>1134</v>
      </c>
      <c r="D319" t="s">
        <v>757</v>
      </c>
      <c r="E319" t="s">
        <v>2178</v>
      </c>
      <c r="F319" t="s">
        <v>755</v>
      </c>
      <c r="G319" s="7">
        <f ca="1">X319</f>
        <v>45977</v>
      </c>
      <c r="H319" s="5" t="s">
        <v>756</v>
      </c>
      <c r="J319" s="36" t="s">
        <v>3011</v>
      </c>
      <c r="M319" s="16" t="s">
        <v>488</v>
      </c>
      <c r="N319" s="16" t="s">
        <v>489</v>
      </c>
      <c r="O319" s="7">
        <v>44936</v>
      </c>
      <c r="P319" s="7" t="s">
        <v>926</v>
      </c>
      <c r="Q319" s="18">
        <v>11</v>
      </c>
      <c r="R319" s="18">
        <v>3</v>
      </c>
      <c r="S319" s="18">
        <v>1</v>
      </c>
      <c r="T319" s="4">
        <f>DATE(AI$2,$Q319,1+(($R319-($S319&gt;=WEEKDAY(DATE(AI$2,$Q319,1))))*7)+($S319-WEEKDAY(DATE(AI$2,$Q319,1))))</f>
        <v>45977</v>
      </c>
      <c r="U319" s="4">
        <f>DATE(AJ$2,$Q319,1+(($R319-($S319&gt;=WEEKDAY(DATE(AJ$2,$Q319,1))))*7)+($S319-WEEKDAY(DATE(AJ$2,$Q319,1))))</f>
        <v>46341</v>
      </c>
      <c r="V319" s="20">
        <v>0</v>
      </c>
      <c r="W319" s="20">
        <v>1</v>
      </c>
      <c r="X319" s="4">
        <f ca="1">Y319-(W319-1)</f>
        <v>45977</v>
      </c>
      <c r="Y319" s="5">
        <f t="shared" ca="1" si="0"/>
        <v>45977</v>
      </c>
      <c r="Z319" t="str">
        <f ca="1">CONCATENATE(IF(OR(Y319=X319,ISBLANK(Y319)),TEXT(X319,"mmmm d"),CONCATENATE(TEXT(X319,"mmmm d"),"-",IF(TEXT(X319,"mmmm")=TEXT(Y319,"mmmm"),TEXT(Y319,"d"),TEXT(Y319,"mmmm d")))),", ",YEAR(Y319))</f>
        <v>November 16, 2025</v>
      </c>
      <c r="AA319" s="7">
        <f>O319</f>
        <v>44936</v>
      </c>
      <c r="AB319" s="14">
        <f>T319+V319-(W319-1)</f>
        <v>45977</v>
      </c>
      <c r="AC319" t="s">
        <v>1391</v>
      </c>
      <c r="AD319" s="23" t="str">
        <f ca="1">CONCATENATE("&lt;add-to-calendar-button  name=",CHAR(34),H319,CHAR(34),
IF(ISBLANK(M319),"",CONCATENATE("   location=",CHAR(34),RIGHT(M319,LEN(M319)-SEARCH("|",M319)-1),CHAR(34))),
"   description=",CHAR(34),IF(ISBLANK(I319),"",CONCATENATE(I319,"; ")),"shapenotesingings.com",CHAR(34),
"   options=",CHAR(34),"'Apple','Google','iCal','Outlook.com'",CHAR(34),"   styleLight=",CHAR(34),"--btn-background: #550000; --btn-text: #fff; --btn-shadow:#fff;",CHAR(34),
IF(W319=1,CONCATENATE(
"startDate=",CHAR(34),TEXT(G319,"yyyy-mm-dd"),CHAR(34),
"{endDate=",CHAR(34),TEXT(G319,"yyyy-mm-dd"),CHAR(34),
IF(OR(ISBLANK(AE319),ISBLANK(AF319)),"",(CONCATENATE(" startTime=",CHAR(34),TEXT(AE319,"hh:mm"),CHAR(34)," endTime=",CHAR(34),TEXT(AF319,"h:mm"),CHAR(34),
" timeZone=",CHAR(34),AG319,CHAR(34))))),
IF(W319=2,CONCATENATE(" dates='[{",
CHAR(34),"startDate",CHAR(34),":",CHAR(34),TEXT(G319,"yyyy-mm-dd"),CHAR(34),", ",
,CHAR(34),"endDate",CHAR(34),":",CHAR(34),TEXT(G319,"yyyy-mm-dd"),CHAR(34),
IF(OR(ISBLANK(AE319),ISBLANK(AF319)),"",(CONCATENATE(", ",CHAR(34),"startTime",CHAR(34),":",CHAR(34),TEXT(AE319,"hh:mm"),CHAR(34),", ",CHAR(34),"endTime",CHAR(34),":",CHAR(34),TEXT(AF319,"hh:mm"),CHAR(34),", ",CHAR(34),"timeZone",CHAR(34),":",CHAR(34),AG319,CHAR(34)))),"}, {",
,CHAR(34),"startDate",CHAR(34),":",CHAR(34),TEXT(G319+1,"yyyy-mm-dd"),CHAR(34),", ",
,CHAR(34),"endDate",CHAR(34),":",CHAR(34),TEXT(G319+W319-1,"yyyy-mm-dd"),CHAR(34),
IF(OR(ISBLANK(AE319),ISBLANK(AF319)),"",(CONCATENATE(", ",CHAR(34),"startTime",CHAR(34),":",CHAR(34),TEXT(AE319,"hh:mm"),CHAR(34),", ",CHAR(34),"endTime",CHAR(34),":",CHAR(34),TEXT(AF319,"hh:mm"),CHAR(34),", ",CHAR(34),"timeZone",CHAR(34),":",CHAR(34),AG319,CHAR(34)))),"}]'"),
CONCATENATE(
"{  startDate=",CHAR(34),TEXT(G319,"yyyy-mm-dd"),CHAR(34),
"  endDate=",CHAR(34),TEXT(G319+W319-1,"yyyy-mm-dd"),CHAR(34),"}"))),
" &gt;&lt;/add-to-calendar-button&gt;")</f>
        <v>&lt;add-to-calendar-button  name="Wakefield Memorial"   location="King Schoolhouse, Co Rd 357, Haleyville AL - 34.1028491293549, -87.57087406507097"   description="shapenotesingings.com"   options="'Apple','Google','iCal','Outlook.com'"   styleLight="--btn-background: #550000; --btn-text: #fff; --btn-shadow:#fff;"startDate="2025-11-16"{endDate="2025-11-16" &gt;&lt;/add-to-calendar-button&gt;</v>
      </c>
      <c r="AG319" s="25" t="s">
        <v>1533</v>
      </c>
    </row>
    <row r="320" spans="1:33" x14ac:dyDescent="0.3">
      <c r="A320" t="s">
        <v>144</v>
      </c>
      <c r="B320" t="s">
        <v>144</v>
      </c>
      <c r="C320" t="s">
        <v>1162</v>
      </c>
      <c r="D320" t="s">
        <v>761</v>
      </c>
      <c r="E320" t="s">
        <v>2178</v>
      </c>
      <c r="F320" t="s">
        <v>758</v>
      </c>
      <c r="G320" s="7">
        <f ca="1">X320</f>
        <v>45983</v>
      </c>
      <c r="H320" s="5" t="s">
        <v>949</v>
      </c>
      <c r="I320" t="s">
        <v>1548</v>
      </c>
      <c r="J320" s="36" t="s">
        <v>3012</v>
      </c>
      <c r="L320" t="s">
        <v>2351</v>
      </c>
      <c r="M320" s="16" t="s">
        <v>759</v>
      </c>
      <c r="N320" s="16" t="s">
        <v>760</v>
      </c>
      <c r="O320" s="7">
        <v>44927</v>
      </c>
      <c r="P320" s="7" t="s">
        <v>938</v>
      </c>
      <c r="Q320" s="18">
        <v>11</v>
      </c>
      <c r="R320" s="18">
        <v>4</v>
      </c>
      <c r="S320" s="18">
        <v>1</v>
      </c>
      <c r="T320" s="4">
        <f>DATE(AI$2,$Q320,1+(($R320-($S320&gt;=WEEKDAY(DATE(AI$2,$Q320,1))))*7)+($S320-WEEKDAY(DATE(AI$2,$Q320,1))))</f>
        <v>45984</v>
      </c>
      <c r="U320" s="4">
        <f>DATE(AJ$2,$Q320,1+(($R320-($S320&gt;=WEEKDAY(DATE(AJ$2,$Q320,1))))*7)+($S320-WEEKDAY(DATE(AJ$2,$Q320,1))))</f>
        <v>46348</v>
      </c>
      <c r="V320" s="20">
        <v>-1</v>
      </c>
      <c r="W320" s="20">
        <v>1</v>
      </c>
      <c r="X320" s="4">
        <f ca="1">Y320-(W320-1)</f>
        <v>45983</v>
      </c>
      <c r="Y320" s="5">
        <f t="shared" ca="1" si="0"/>
        <v>45983</v>
      </c>
      <c r="Z320" t="str">
        <f ca="1">CONCATENATE(IF(OR(Y320=X320,ISBLANK(Y320)),TEXT(X320,"mmmm d"),CONCATENATE(TEXT(X320,"mmmm d"),"-",IF(TEXT(X320,"mmmm")=TEXT(Y320,"mmmm"),TEXT(Y320,"d"),TEXT(Y320,"mmmm d")))),", ",YEAR(Y320))</f>
        <v>November 22, 2025</v>
      </c>
      <c r="AA320" s="7">
        <f>O320</f>
        <v>44927</v>
      </c>
      <c r="AB320" s="14">
        <f>T320+V320-(W320-1)</f>
        <v>45983</v>
      </c>
      <c r="AC320" t="s">
        <v>1392</v>
      </c>
      <c r="AD320" s="23" t="str">
        <f ca="1">CONCATENATE("&lt;add-to-calendar-button  name=",CHAR(34),H320,CHAR(34),
IF(ISBLANK(M320),"",CONCATENATE("   location=",CHAR(34),RIGHT(M320,LEN(M320)-SEARCH("|",M320)-1),CHAR(34))),
"   description=",CHAR(34),IF(ISBLANK(I320),"",CONCATENATE(I320,"; ")),"shapenotesingings.com",CHAR(34),
"   options=",CHAR(34),"'Apple','Google','iCal','Outlook.com'",CHAR(34),"   styleLight=",CHAR(34),"--btn-background: #550000; --btn-text: #fff; --btn-shadow:#fff;",CHAR(34),
IF(W320=1,CONCATENATE(
"startDate=",CHAR(34),TEXT(G320,"yyyy-mm-dd"),CHAR(34),
"{endDate=",CHAR(34),TEXT(G320,"yyyy-mm-dd"),CHAR(34),
IF(OR(ISBLANK(AE320),ISBLANK(AF320)),"",(CONCATENATE(" startTime=",CHAR(34),TEXT(AE320,"hh:mm"),CHAR(34)," endTime=",CHAR(34),TEXT(AF320,"h:mm"),CHAR(34),
" timeZone=",CHAR(34),AG320,CHAR(34))))),
IF(W320=2,CONCATENATE(" dates='[{",
CHAR(34),"startDate",CHAR(34),":",CHAR(34),TEXT(G320,"yyyy-mm-dd"),CHAR(34),", ",
,CHAR(34),"endDate",CHAR(34),":",CHAR(34),TEXT(G320,"yyyy-mm-dd"),CHAR(34),
IF(OR(ISBLANK(AE320),ISBLANK(AF320)),"",(CONCATENATE(", ",CHAR(34),"startTime",CHAR(34),":",CHAR(34),TEXT(AE320,"hh:mm"),CHAR(34),", ",CHAR(34),"endTime",CHAR(34),":",CHAR(34),TEXT(AF320,"hh:mm"),CHAR(34),", ",CHAR(34),"timeZone",CHAR(34),":",CHAR(34),AG320,CHAR(34)))),"}, {",
,CHAR(34),"startDate",CHAR(34),":",CHAR(34),TEXT(G320+1,"yyyy-mm-dd"),CHAR(34),", ",
,CHAR(34),"endDate",CHAR(34),":",CHAR(34),TEXT(G320+W320-1,"yyyy-mm-dd"),CHAR(34),
IF(OR(ISBLANK(AE320),ISBLANK(AF320)),"",(CONCATENATE(", ",CHAR(34),"startTime",CHAR(34),":",CHAR(34),TEXT(AE320,"hh:mm"),CHAR(34),", ",CHAR(34),"endTime",CHAR(34),":",CHAR(34),TEXT(AF320,"hh:mm"),CHAR(34),", ",CHAR(34),"timeZone",CHAR(34),":",CHAR(34),AG320,CHAR(34)))),"}]'"),
CONCATENATE(
"{  startDate=",CHAR(34),TEXT(G320,"yyyy-mm-dd"),CHAR(34),
"  endDate=",CHAR(34),TEXT(G320+W320-1,"yyyy-mm-dd"),CHAR(34),"}"))),
" &gt;&lt;/add-to-calendar-button&gt;")</f>
        <v>&lt;add-to-calendar-button  name="Thanksgiving Singing"   location="Jordans Village Hall, Green Road West Jordans, Buckinghamshire, HP9 2SY, UK"   description="10:30am-4:00pm; shapenotesingings.com"   options="'Apple','Google','iCal','Outlook.com'"   styleLight="--btn-background: #550000; --btn-text: #fff; --btn-shadow:#fff;"startDate="2025-11-22"{endDate="2025-11-22" &gt;&lt;/add-to-calendar-button&gt;</v>
      </c>
      <c r="AG320" s="25" t="s">
        <v>1535</v>
      </c>
    </row>
    <row r="321" spans="1:33" x14ac:dyDescent="0.3">
      <c r="A321" t="s">
        <v>8</v>
      </c>
      <c r="B321" t="s">
        <v>11</v>
      </c>
      <c r="C321" t="s">
        <v>1134</v>
      </c>
      <c r="D321" t="s">
        <v>2271</v>
      </c>
      <c r="E321" t="s">
        <v>2178</v>
      </c>
      <c r="F321" t="s">
        <v>61</v>
      </c>
      <c r="G321" s="7">
        <f ca="1">X321</f>
        <v>45983</v>
      </c>
      <c r="H321" s="5" t="s">
        <v>14</v>
      </c>
      <c r="I321" t="s">
        <v>1040</v>
      </c>
      <c r="J321" s="36" t="s">
        <v>3013</v>
      </c>
      <c r="L321" t="s">
        <v>2273</v>
      </c>
      <c r="M321" s="16" t="s">
        <v>2267</v>
      </c>
      <c r="N321" s="16" t="s">
        <v>2268</v>
      </c>
      <c r="O321" s="7">
        <v>45539</v>
      </c>
      <c r="P321" s="7" t="s">
        <v>2272</v>
      </c>
      <c r="Q321" s="18">
        <v>11</v>
      </c>
      <c r="R321" s="18">
        <v>4</v>
      </c>
      <c r="S321" s="18">
        <v>1</v>
      </c>
      <c r="T321" s="4">
        <f>DATE(AI$2,$Q321,1+(($R321-($S321&gt;=WEEKDAY(DATE(AI$2,$Q321,1))))*7)+($S321-WEEKDAY(DATE(AI$2,$Q321,1))))</f>
        <v>45984</v>
      </c>
      <c r="U321" s="4">
        <f>DATE(AJ$2,$Q321,1+(($R321-($S321&gt;=WEEKDAY(DATE(AJ$2,$Q321,1))))*7)+($S321-WEEKDAY(DATE(AJ$2,$Q321,1))))</f>
        <v>46348</v>
      </c>
      <c r="V321" s="20">
        <v>0</v>
      </c>
      <c r="W321" s="20">
        <v>2</v>
      </c>
      <c r="X321" s="4">
        <f ca="1">Y321-(W321-1)</f>
        <v>45983</v>
      </c>
      <c r="Y321" s="5">
        <f t="shared" ca="1" si="0"/>
        <v>45984</v>
      </c>
      <c r="Z321" t="str">
        <f ca="1">CONCATENATE(IF(OR(Y321=X321,ISBLANK(Y321)),TEXT(X321,"mmmm d"),CONCATENATE(TEXT(X321,"mmmm d"),"-",IF(TEXT(X321,"mmmm")=TEXT(Y321,"mmmm"),TEXT(Y321,"d"),TEXT(Y321,"mmmm d")))),", ",YEAR(Y321))</f>
        <v>November 22-23, 2025</v>
      </c>
      <c r="AA321" s="7">
        <f>O321</f>
        <v>45539</v>
      </c>
      <c r="AB321" s="14">
        <f>T321+V321-(W321-1)</f>
        <v>45983</v>
      </c>
      <c r="AC321" t="s">
        <v>2269</v>
      </c>
      <c r="AD321" s="23" t="str">
        <f ca="1">CONCATENATE("&lt;add-to-calendar-button  name=",CHAR(34),H321,CHAR(34),
IF(ISBLANK(M321),"",CONCATENATE("   location=",CHAR(34),RIGHT(M321,LEN(M321)-SEARCH("|",M321)-1),CHAR(34))),
"   description=",CHAR(34),IF(ISBLANK(I321),"",CONCATENATE(I321,"; ")),"shapenotesingings.com",CHAR(34),
"   options=",CHAR(34),"'Apple','Google','iCal','Outlook.com'",CHAR(34),"   styleLight=",CHAR(34),"--btn-background: #550000; --btn-text: #fff; --btn-shadow:#fff;",CHAR(34),
IF(W321=1,CONCATENATE(
"startDate=",CHAR(34),TEXT(G321,"yyyy-mm-dd"),CHAR(34),
"{endDate=",CHAR(34),TEXT(G321,"yyyy-mm-dd"),CHAR(34),
IF(OR(ISBLANK(AE321),ISBLANK(AF321)),"",(CONCATENATE(" startTime=",CHAR(34),TEXT(AE321,"hh:mm"),CHAR(34)," endTime=",CHAR(34),TEXT(AF321,"h:mm"),CHAR(34),
" timeZone=",CHAR(34),AG321,CHAR(34))))),
IF(W321=2,CONCATENATE(" dates='[{",
CHAR(34),"startDate",CHAR(34),":",CHAR(34),TEXT(G321,"yyyy-mm-dd"),CHAR(34),", ",
,CHAR(34),"endDate",CHAR(34),":",CHAR(34),TEXT(G321,"yyyy-mm-dd"),CHAR(34),
IF(OR(ISBLANK(AE321),ISBLANK(AF321)),"",(CONCATENATE(", ",CHAR(34),"startTime",CHAR(34),":",CHAR(34),TEXT(AE321,"hh:mm"),CHAR(34),", ",CHAR(34),"endTime",CHAR(34),":",CHAR(34),TEXT(AF321,"hh:mm"),CHAR(34),", ",CHAR(34),"timeZone",CHAR(34),":",CHAR(34),AG321,CHAR(34)))),"}, {",
,CHAR(34),"startDate",CHAR(34),":",CHAR(34),TEXT(G321+1,"yyyy-mm-dd"),CHAR(34),", ",
,CHAR(34),"endDate",CHAR(34),":",CHAR(34),TEXT(G321+W321-1,"yyyy-mm-dd"),CHAR(34),
IF(OR(ISBLANK(AE321),ISBLANK(AF321)),"",(CONCATENATE(", ",CHAR(34),"startTime",CHAR(34),":",CHAR(34),TEXT(AE321,"hh:mm"),CHAR(34),", ",CHAR(34),"endTime",CHAR(34),":",CHAR(34),TEXT(AF321,"hh:mm"),CHAR(34),", ",CHAR(34),"timeZone",CHAR(34),":",CHAR(34),AG321,CHAR(34)))),"}]'"),
CONCATENATE(
"{  startDate=",CHAR(34),TEXT(G321,"yyyy-mm-dd"),CHAR(34),
"  endDate=",CHAR(34),TEXT(G321+W321-1,"yyyy-mm-dd"),CHAR(34),"}"))),
" &gt;&lt;/add-to-calendar-button&gt;")</f>
        <v>&lt;add-to-calendar-button  name="Alabama State Sacred Harp Musical Convention"   location="Southside Community Center, 2142 AL-77, Southside, AL 35907"   description="9:30am; shapenotesingings.com"   options="'Apple','Google','iCal','Outlook.com'"   styleLight="--btn-background: #550000; --btn-text: #fff; --btn-shadow:#fff;" dates='[{"startDate":"2025-11-22", "endDate":"2025-11-22", "startTime":"09:30", "endTime":"15:00", "timeZone":"America/Chicago"}, {"startDate":"2025-11-23", "endDate":"2025-11-23", "startTime":"09:30", "endTime":"15:00", "timeZone":"America/Chicago"}]' &gt;&lt;/add-to-calendar-button&gt;</v>
      </c>
      <c r="AE321" s="24">
        <v>0.39583333333333331</v>
      </c>
      <c r="AF321" s="24">
        <v>0.625</v>
      </c>
      <c r="AG321" s="25" t="s">
        <v>1533</v>
      </c>
    </row>
    <row r="322" spans="1:33" x14ac:dyDescent="0.3">
      <c r="A322" t="s">
        <v>8</v>
      </c>
      <c r="B322" t="s">
        <v>273</v>
      </c>
      <c r="C322" t="s">
        <v>1160</v>
      </c>
      <c r="D322" t="s">
        <v>1457</v>
      </c>
      <c r="E322" t="s">
        <v>777</v>
      </c>
      <c r="F322" t="s">
        <v>1494</v>
      </c>
      <c r="G322" s="7">
        <f ca="1">X322</f>
        <v>45987</v>
      </c>
      <c r="H322" s="5" t="s">
        <v>1495</v>
      </c>
      <c r="I322" t="s">
        <v>1496</v>
      </c>
      <c r="J322" s="36" t="s">
        <v>2634</v>
      </c>
      <c r="L322" t="s">
        <v>1448</v>
      </c>
      <c r="M322" s="16" t="s">
        <v>1453</v>
      </c>
      <c r="N322" s="16" t="s">
        <v>1452</v>
      </c>
      <c r="O322" s="7">
        <v>45012</v>
      </c>
      <c r="P322" s="7" t="s">
        <v>1509</v>
      </c>
      <c r="Q322" s="18">
        <v>11</v>
      </c>
      <c r="R322" s="18">
        <v>4</v>
      </c>
      <c r="S322" s="18">
        <v>5</v>
      </c>
      <c r="T322" s="4">
        <f>DATE(AI$2,$Q322,1+(($R322-($S322&gt;=WEEKDAY(DATE(AI$2,$Q322,1))))*7)+($S322-WEEKDAY(DATE(AI$2,$Q322,1))))</f>
        <v>45988</v>
      </c>
      <c r="U322" s="4">
        <f>DATE(AJ$2,$Q322,1+(($R322-($S322&gt;=WEEKDAY(DATE(AJ$2,$Q322,1))))*7)+($S322-WEEKDAY(DATE(AJ$2,$Q322,1))))</f>
        <v>46352</v>
      </c>
      <c r="V322" s="20">
        <v>-1</v>
      </c>
      <c r="W322" s="20">
        <v>1</v>
      </c>
      <c r="X322" s="4">
        <f ca="1">Y322-(W322-1)</f>
        <v>45987</v>
      </c>
      <c r="Y322" s="5">
        <f t="shared" ca="1" si="0"/>
        <v>45987</v>
      </c>
      <c r="Z322" t="str">
        <f ca="1">CONCATENATE(IF(OR(Y322=X322,ISBLANK(Y322)),TEXT(X322,"mmmm d"),CONCATENATE(TEXT(X322,"mmmm d"),"-",IF(TEXT(X322,"mmmm")=TEXT(Y322,"mmmm"),TEXT(Y322,"d"),TEXT(Y322,"mmmm d")))),", ",YEAR(Y322))</f>
        <v>November 26, 2025</v>
      </c>
      <c r="AA322" s="7">
        <f>O322</f>
        <v>45012</v>
      </c>
      <c r="AB322" s="14">
        <f>T322+V322-(W322-1)</f>
        <v>45987</v>
      </c>
      <c r="AC322" t="s">
        <v>1497</v>
      </c>
      <c r="AD322" s="23" t="str">
        <f ca="1">CONCATENATE("&lt;add-to-calendar-button  name=",CHAR(34),H322,CHAR(34),
IF(ISBLANK(M322),"",CONCATENATE("   location=",CHAR(34),RIGHT(M322,LEN(M322)-SEARCH("|",M322)-1),CHAR(34))),
"   description=",CHAR(34),IF(ISBLANK(I322),"",CONCATENATE(I322,"; ")),"shapenotesingings.com",CHAR(34),
"   options=",CHAR(34),"'Apple','Google','iCal','Outlook.com'",CHAR(34),"   styleLight=",CHAR(34),"--btn-background: #550000; --btn-text: #fff; --btn-shadow:#fff;",CHAR(34),
IF(W322=1,CONCATENATE(
"startDate=",CHAR(34),TEXT(G322,"yyyy-mm-dd"),CHAR(34),
"{endDate=",CHAR(34),TEXT(G322,"yyyy-mm-dd"),CHAR(34),
IF(OR(ISBLANK(AE322),ISBLANK(AF322)),"",(CONCATENATE(" startTime=",CHAR(34),TEXT(AE322,"hh:mm"),CHAR(34)," endTime=",CHAR(34),TEXT(AF322,"h:mm"),CHAR(34),
" timeZone=",CHAR(34),AG322,CHAR(34))))),
IF(W322=2,CONCATENATE(" dates='[{",
CHAR(34),"startDate",CHAR(34),":",CHAR(34),TEXT(G322,"yyyy-mm-dd"),CHAR(34),", ",
,CHAR(34),"endDate",CHAR(34),":",CHAR(34),TEXT(G322,"yyyy-mm-dd"),CHAR(34),
IF(OR(ISBLANK(AE322),ISBLANK(AF322)),"",(CONCATENATE(", ",CHAR(34),"startTime",CHAR(34),":",CHAR(34),TEXT(AE322,"hh:mm"),CHAR(34),", ",CHAR(34),"endTime",CHAR(34),":",CHAR(34),TEXT(AF322,"hh:mm"),CHAR(34),", ",CHAR(34),"timeZone",CHAR(34),":",CHAR(34),AG322,CHAR(34)))),"}, {",
,CHAR(34),"startDate",CHAR(34),":",CHAR(34),TEXT(G322+1,"yyyy-mm-dd"),CHAR(34),", ",
,CHAR(34),"endDate",CHAR(34),":",CHAR(34),TEXT(G322+W322-1,"yyyy-mm-dd"),CHAR(34),
IF(OR(ISBLANK(AE322),ISBLANK(AF322)),"",(CONCATENATE(", ",CHAR(34),"startTime",CHAR(34),":",CHAR(34),TEXT(AE322,"hh:mm"),CHAR(34),", ",CHAR(34),"endTime",CHAR(34),":",CHAR(34),TEXT(AF322,"hh:mm"),CHAR(34),", ",CHAR(34),"timeZone",CHAR(34),":",CHAR(34),AG322,CHAR(34)))),"}]'"),
CONCATENATE(
"{  startDate=",CHAR(34),TEXT(G322,"yyyy-mm-dd"),CHAR(34),
"  endDate=",CHAR(34),TEXT(G322+W322-1,"yyyy-mm-dd"),CHAR(34),"}"))),
" &gt;&lt;/add-to-calendar-button&gt;")</f>
        <v>&lt;add-to-calendar-button  name="Larry Olszewski Memorial"   location="Laurel Theater, 1538 Laurel Ave, Knoxville, TN 37916"   description="6:30pm; shapenotesingings.com"   options="'Apple','Google','iCal','Outlook.com'"   styleLight="--btn-background: #550000; --btn-text: #fff; --btn-shadow:#fff;"startDate="2025-11-26"{endDate="2025-11-26" &gt;&lt;/add-to-calendar-button&gt;</v>
      </c>
      <c r="AG322" s="25" t="s">
        <v>1532</v>
      </c>
    </row>
    <row r="323" spans="1:33" x14ac:dyDescent="0.3">
      <c r="A323" t="s">
        <v>8</v>
      </c>
      <c r="B323" t="s">
        <v>102</v>
      </c>
      <c r="C323" t="s">
        <v>1064</v>
      </c>
      <c r="D323" t="s">
        <v>2521</v>
      </c>
      <c r="E323" t="s">
        <v>34</v>
      </c>
      <c r="F323" t="str">
        <f ca="1">CONCATENATE(TEXT(G323,"mmm"),", Every 5th Sunday")</f>
        <v>Nov, Every 5th Sunday</v>
      </c>
      <c r="G323" s="7">
        <f ca="1">X323</f>
        <v>45991</v>
      </c>
      <c r="H323" s="5" t="s">
        <v>103</v>
      </c>
      <c r="I323" t="s">
        <v>1030</v>
      </c>
      <c r="K323" t="s">
        <v>1031</v>
      </c>
      <c r="L323" t="s">
        <v>2234</v>
      </c>
      <c r="M323" s="16" t="s">
        <v>2519</v>
      </c>
      <c r="N323" s="16" t="s">
        <v>2520</v>
      </c>
      <c r="O323" s="7">
        <v>44936</v>
      </c>
      <c r="P323" s="7" t="s">
        <v>926</v>
      </c>
      <c r="Q323" s="18">
        <f>MONTH(T323)</f>
        <v>11</v>
      </c>
      <c r="T323" s="4">
        <f>$AI$26</f>
        <v>45991</v>
      </c>
      <c r="U323" s="4">
        <f>$AI$26</f>
        <v>45991</v>
      </c>
      <c r="V323" s="20">
        <v>0</v>
      </c>
      <c r="W323" s="20">
        <v>1</v>
      </c>
      <c r="X323" s="4">
        <f ca="1">Y323-(W323-1)</f>
        <v>45991</v>
      </c>
      <c r="Y323" s="5">
        <f t="shared" ca="1" si="0"/>
        <v>45991</v>
      </c>
      <c r="Z323" t="str">
        <f ca="1">CONCATENATE(IF(OR(Y323=X323,ISBLANK(Y323)),TEXT(X323,"mmmm d"),CONCATENATE(TEXT(X323,"mmmm d"),"-",IF(TEXT(X323,"mmmm")=TEXT(Y323,"mmmm"),TEXT(Y323,"d"),TEXT(Y323,"mmmm d")))),", ",YEAR(Y323))</f>
        <v>November 30, 2025</v>
      </c>
      <c r="AA323" s="7">
        <f>O323</f>
        <v>44936</v>
      </c>
      <c r="AB323" s="14">
        <f>T323+V323-(W323-1)</f>
        <v>45991</v>
      </c>
      <c r="AC323" t="s">
        <v>1326</v>
      </c>
      <c r="AD323" s="23" t="str">
        <f ca="1">CONCATENATE("&lt;add-to-calendar-button  name=",CHAR(34),H323,CHAR(34),
IF(ISBLANK(M323),"",CONCATENATE("   location=",CHAR(34),RIGHT(M323,LEN(M323)-SEARCH("|",M323)-1),CHAR(34))),
"   description=",CHAR(34),IF(ISBLANK(I323),"",CONCATENATE(I323,"; ")),"shapenotesingings.com",CHAR(34),
"   options=",CHAR(34),"'Apple','Google','iCal','Outlook.com'",CHAR(34),"   styleLight=",CHAR(34),"--btn-background: #550000; --btn-text: #fff; --btn-shadow:#fff;",CHAR(34),
IF(W323=1,CONCATENATE(
"startDate=",CHAR(34),TEXT(G323,"yyyy-mm-dd"),CHAR(34),
"{endDate=",CHAR(34),TEXT(G323,"yyyy-mm-dd"),CHAR(34),
IF(OR(ISBLANK(AE323),ISBLANK(AF323)),"",(CONCATENATE(" startTime=",CHAR(34),TEXT(AE323,"hh:mm"),CHAR(34)," endTime=",CHAR(34),TEXT(AF323,"h:mm"),CHAR(34),
" timeZone=",CHAR(34),AG323,CHAR(34))))),
IF(W323=2,CONCATENATE(" dates='[{",
CHAR(34),"startDate",CHAR(34),":",CHAR(34),TEXT(G323,"yyyy-mm-dd"),CHAR(34),", ",
,CHAR(34),"endDate",CHAR(34),":",CHAR(34),TEXT(G323,"yyyy-mm-dd"),CHAR(34),
IF(OR(ISBLANK(AE323),ISBLANK(AF323)),"",(CONCATENATE(", ",CHAR(34),"startTime",CHAR(34),":",CHAR(34),TEXT(AE323,"hh:mm"),CHAR(34),", ",CHAR(34),"endTime",CHAR(34),":",CHAR(34),TEXT(AF323,"hh:mm"),CHAR(34),", ",CHAR(34),"timeZone",CHAR(34),":",CHAR(34),AG323,CHAR(34)))),"}, {",
,CHAR(34),"startDate",CHAR(34),":",CHAR(34),TEXT(G323+1,"yyyy-mm-dd"),CHAR(34),", ",
,CHAR(34),"endDate",CHAR(34),":",CHAR(34),TEXT(G323+W323-1,"yyyy-mm-dd"),CHAR(34),
IF(OR(ISBLANK(AE323),ISBLANK(AF323)),"",(CONCATENATE(", ",CHAR(34),"startTime",CHAR(34),":",CHAR(34),TEXT(AE323,"hh:mm"),CHAR(34),", ",CHAR(34),"endTime",CHAR(34),":",CHAR(34),TEXT(AF323,"hh:mm"),CHAR(34),", ",CHAR(34),"timeZone",CHAR(34),":",CHAR(34),AG323,CHAR(34)))),"}]'"),
CONCATENATE(
"{  startDate=",CHAR(34),TEXT(G323,"yyyy-mm-dd"),CHAR(34),
"  endDate=",CHAR(34),TEXT(G323+W323-1,"yyyy-mm-dd"),CHAR(34),"}"))),
" &gt;&lt;/add-to-calendar-button&gt;")</f>
        <v>&lt;add-to-calendar-button  name="Bethlehem PBC 5th Sunday Singing"   location="Bethlehem Primitive Baptist Church, 17385 Bethlehem Rd, Mulberry, FL 33547"   description="10:00am; shapenotesingings.com"   options="'Apple','Google','iCal','Outlook.com'"   styleLight="--btn-background: #550000; --btn-text: #fff; --btn-shadow:#fff;"startDate="2025-11-30"{endDate="2025-11-30" &gt;&lt;/add-to-calendar-button&gt;</v>
      </c>
      <c r="AG323" s="25" t="s">
        <v>1532</v>
      </c>
    </row>
    <row r="324" spans="1:33" x14ac:dyDescent="0.3">
      <c r="A324" t="s">
        <v>8</v>
      </c>
      <c r="B324" t="s">
        <v>142</v>
      </c>
      <c r="C324" t="s">
        <v>1154</v>
      </c>
      <c r="D324" t="s">
        <v>1678</v>
      </c>
      <c r="E324" t="s">
        <v>2193</v>
      </c>
      <c r="F324" t="str">
        <f ca="1">CONCATENATE(TEXT(G324,"mmm"),", First 5th Sun after Labor Day")</f>
        <v>Nov, First 5th Sun after Labor Day</v>
      </c>
      <c r="G324" s="7">
        <f ca="1">X324</f>
        <v>45991</v>
      </c>
      <c r="H324" s="5" t="s">
        <v>1679</v>
      </c>
      <c r="I324" t="s">
        <v>1037</v>
      </c>
      <c r="J324" s="36" t="s">
        <v>3014</v>
      </c>
      <c r="L324" t="s">
        <v>2222</v>
      </c>
      <c r="M324" s="16" t="s">
        <v>1691</v>
      </c>
      <c r="N324" s="16" t="s">
        <v>1680</v>
      </c>
      <c r="O324" s="7">
        <v>45511</v>
      </c>
      <c r="P324" s="7" t="s">
        <v>2214</v>
      </c>
      <c r="Q324" s="18">
        <v>11</v>
      </c>
      <c r="R324" s="18">
        <v>1</v>
      </c>
      <c r="S324" s="18">
        <v>1</v>
      </c>
      <c r="T324" s="4">
        <f>_xlfn.MINIFS(AI$10:AI$22,AI$10:AI$22,"&gt;"&amp;DATE(AI$2,9,1))</f>
        <v>45991</v>
      </c>
      <c r="U324" s="4">
        <f>_xlfn.MINIFS(AJ$10:AJ$22,AJ$10:AJ$22,"&gt;"&amp;DATE(AJ$2,9,1))</f>
        <v>46355</v>
      </c>
      <c r="V324" s="20">
        <v>0</v>
      </c>
      <c r="W324" s="20">
        <v>1</v>
      </c>
      <c r="X324" s="4">
        <f ca="1">Y324-(W324-1)</f>
        <v>45991</v>
      </c>
      <c r="Y324" s="5">
        <f t="shared" ca="1" si="0"/>
        <v>45991</v>
      </c>
      <c r="Z324" t="str">
        <f ca="1">CONCATENATE(IF(OR(Y324=X324,ISBLANK(Y324)),TEXT(X324,"mmmm d"),CONCATENATE(TEXT(X324,"mmmm d"),"-",IF(TEXT(X324,"mmmm")=TEXT(Y324,"mmmm"),TEXT(Y324,"d"),TEXT(Y324,"mmmm d")))),", ",YEAR(Y324))</f>
        <v>November 30, 2025</v>
      </c>
      <c r="AA324" s="7">
        <f>O324</f>
        <v>45511</v>
      </c>
      <c r="AB324" s="14">
        <f>T324+V324-(W324-1)</f>
        <v>45991</v>
      </c>
      <c r="AC324" t="s">
        <v>1681</v>
      </c>
      <c r="AD324" s="23" t="str">
        <f ca="1">CONCATENATE("&lt;add-to-calendar-button  name=",CHAR(34),H324,CHAR(34),
IF(ISBLANK(M324),"",CONCATENATE("   location=",CHAR(34),RIGHT(M324,LEN(M324)-SEARCH("|",M324)-1),CHAR(34))),
"   description=",CHAR(34),IF(ISBLANK(I324),"",CONCATENATE(I324,"; ")),"shapenotesingings.com",CHAR(34),
"   options=",CHAR(34),"'Apple','Google','iCal','Outlook.com'",CHAR(34),"   styleLight=",CHAR(34),"--btn-background: #550000; --btn-text: #fff; --btn-shadow:#fff;",CHAR(34),
IF(W324=1,CONCATENATE(
"startDate=",CHAR(34),TEXT(G324,"yyyy-mm-dd"),CHAR(34),
"{endDate=",CHAR(34),TEXT(G324,"yyyy-mm-dd"),CHAR(34),
IF(OR(ISBLANK(AE324),ISBLANK(AF324)),"",(CONCATENATE(" startTime=",CHAR(34),TEXT(AE324,"hh:mm"),CHAR(34)," endTime=",CHAR(34),TEXT(AF324,"h:mm"),CHAR(34),
" timeZone=",CHAR(34),AG324,CHAR(34))))),
IF(W324=2,CONCATENATE(" dates='[{",
CHAR(34),"startDate",CHAR(34),":",CHAR(34),TEXT(G324,"yyyy-mm-dd"),CHAR(34),", ",
,CHAR(34),"endDate",CHAR(34),":",CHAR(34),TEXT(G324,"yyyy-mm-dd"),CHAR(34),
IF(OR(ISBLANK(AE324),ISBLANK(AF324)),"",(CONCATENATE(", ",CHAR(34),"startTime",CHAR(34),":",CHAR(34),TEXT(AE324,"hh:mm"),CHAR(34),", ",CHAR(34),"endTime",CHAR(34),":",CHAR(34),TEXT(AF324,"hh:mm"),CHAR(34),", ",CHAR(34),"timeZone",CHAR(34),":",CHAR(34),AG324,CHAR(34)))),"}, {",
,CHAR(34),"startDate",CHAR(34),":",CHAR(34),TEXT(G324+1,"yyyy-mm-dd"),CHAR(34),", ",
,CHAR(34),"endDate",CHAR(34),":",CHAR(34),TEXT(G324+W324-1,"yyyy-mm-dd"),CHAR(34),
IF(OR(ISBLANK(AE324),ISBLANK(AF324)),"",(CONCATENATE(", ",CHAR(34),"startTime",CHAR(34),":",CHAR(34),TEXT(AE324,"hh:mm"),CHAR(34),", ",CHAR(34),"endTime",CHAR(34),":",CHAR(34),TEXT(AF324,"hh:mm"),CHAR(34),", ",CHAR(34),"timeZone",CHAR(34),":",CHAR(34),AG324,CHAR(34)))),"}]'"),
CONCATENATE(
"{  startDate=",CHAR(34),TEXT(G324,"yyyy-mm-dd"),CHAR(34),
"  endDate=",CHAR(34),TEXT(G324+W324-1,"yyyy-mm-dd"),CHAR(34),"}"))),
" &gt;&lt;/add-to-calendar-button&gt;")</f>
        <v>&lt;add-to-calendar-button  name="John and Loraine Bayer Memorial Singing"   location="Bear Creek Old German Baptist Meeting House, 171 South Diamond Mill Road, New Lebanon, OH 46345"   description="10am-3pm; shapenotesingings.com"   options="'Apple','Google','iCal','Outlook.com'"   styleLight="--btn-background: #550000; --btn-text: #fff; --btn-shadow:#fff;"startDate="2025-11-30"{endDate="2025-11-30" startTime="10:00" endTime="15:00" timeZone="America/New_York" &gt;&lt;/add-to-calendar-button&gt;</v>
      </c>
      <c r="AE324" s="24">
        <v>0.41666666666666669</v>
      </c>
      <c r="AF324" s="24">
        <v>0.625</v>
      </c>
      <c r="AG324" s="25" t="s">
        <v>1532</v>
      </c>
    </row>
    <row r="325" spans="1:33" x14ac:dyDescent="0.3">
      <c r="A325" t="s">
        <v>8</v>
      </c>
      <c r="B325" t="s">
        <v>11</v>
      </c>
      <c r="C325" t="s">
        <v>1134</v>
      </c>
      <c r="D325" t="s">
        <v>1832</v>
      </c>
      <c r="E325" t="s">
        <v>1435</v>
      </c>
      <c r="F325" t="s">
        <v>1833</v>
      </c>
      <c r="G325" s="7">
        <f ca="1">X325</f>
        <v>45993</v>
      </c>
      <c r="H325" s="5" t="s">
        <v>1838</v>
      </c>
      <c r="I325" t="s">
        <v>1034</v>
      </c>
      <c r="J325" s="36" t="s">
        <v>3015</v>
      </c>
      <c r="L325" t="s">
        <v>1839</v>
      </c>
      <c r="M325" s="16" t="s">
        <v>1834</v>
      </c>
      <c r="N325" s="16" t="s">
        <v>1835</v>
      </c>
      <c r="O325" s="7">
        <v>45290</v>
      </c>
      <c r="P325" s="7" t="s">
        <v>1837</v>
      </c>
      <c r="Q325" s="18">
        <v>12</v>
      </c>
      <c r="R325" s="18">
        <v>1</v>
      </c>
      <c r="S325" s="18">
        <v>3</v>
      </c>
      <c r="T325" s="4">
        <f>DATE(AI$2,$Q325,1+(($R325-($S325&gt;=WEEKDAY(DATE(AI$2,$Q325,1))))*7)+($S325-WEEKDAY(DATE(AI$2,$Q325,1))))</f>
        <v>45993</v>
      </c>
      <c r="U325" s="4">
        <f>DATE(AJ$2,$Q325,1+(($R325-($S325&gt;=WEEKDAY(DATE(AJ$2,$Q325,1))))*7)+($S325-WEEKDAY(DATE(AJ$2,$Q325,1))))</f>
        <v>46357</v>
      </c>
      <c r="V325" s="20">
        <v>0</v>
      </c>
      <c r="W325" s="20">
        <v>1</v>
      </c>
      <c r="X325" s="4">
        <f ca="1">Y325-(W325-1)</f>
        <v>45993</v>
      </c>
      <c r="Y325" s="5">
        <f t="shared" ca="1" si="0"/>
        <v>45993</v>
      </c>
      <c r="Z325" t="str">
        <f ca="1">CONCATENATE(IF(OR(Y325=X325,ISBLANK(Y325)),TEXT(X325,"mmmm d"),CONCATENATE(TEXT(X325,"mmmm d"),"-",IF(TEXT(X325,"mmmm")=TEXT(Y325,"mmmm"),TEXT(Y325,"d"),TEXT(Y325,"mmmm d")))),", ",YEAR(Y325))</f>
        <v>December 2, 2025</v>
      </c>
      <c r="AA325" s="7">
        <f>O325</f>
        <v>45290</v>
      </c>
      <c r="AB325" s="14">
        <f>T325+V325-(W325-1)</f>
        <v>45993</v>
      </c>
      <c r="AC325" t="s">
        <v>1836</v>
      </c>
      <c r="AD325" s="23" t="str">
        <f ca="1">CONCATENATE("&lt;add-to-calendar-button  name=",CHAR(34),H325,CHAR(34),
IF(ISBLANK(M325),"",CONCATENATE("   location=",CHAR(34),RIGHT(M325,LEN(M325)-SEARCH("|",M325)-1),CHAR(34))),
"   description=",CHAR(34),IF(ISBLANK(I325),"",CONCATENATE(I325,"; ")),"shapenotesingings.com",CHAR(34),
"   options=",CHAR(34),"'Apple','Google','iCal','Outlook.com'",CHAR(34),"   styleLight=",CHAR(34),"--btn-background: #550000; --btn-text: #fff; --btn-shadow:#fff;",CHAR(34),
IF(W325=1,CONCATENATE(
"startDate=",CHAR(34),TEXT(G325,"yyyy-mm-dd"),CHAR(34),
"{endDate=",CHAR(34),TEXT(G325,"yyyy-mm-dd"),CHAR(34),
IF(OR(ISBLANK(AE325),ISBLANK(AF325)),"",(CONCATENATE(" startTime=",CHAR(34),TEXT(AE325,"hh:mm"),CHAR(34)," endTime=",CHAR(34),TEXT(AF325,"h:mm"),CHAR(34),
" timeZone=",CHAR(34),AG325,CHAR(34))))),
IF(W325=2,CONCATENATE(" dates='[{",
CHAR(34),"startDate",CHAR(34),":",CHAR(34),TEXT(G325,"yyyy-mm-dd"),CHAR(34),", ",
,CHAR(34),"endDate",CHAR(34),":",CHAR(34),TEXT(G325,"yyyy-mm-dd"),CHAR(34),
IF(OR(ISBLANK(AE325),ISBLANK(AF325)),"",(CONCATENATE(", ",CHAR(34),"startTime",CHAR(34),":",CHAR(34),TEXT(AE325,"hh:mm"),CHAR(34),", ",CHAR(34),"endTime",CHAR(34),":",CHAR(34),TEXT(AF325,"hh:mm"),CHAR(34),", ",CHAR(34),"timeZone",CHAR(34),":",CHAR(34),AG325,CHAR(34)))),"}, {",
,CHAR(34),"startDate",CHAR(34),":",CHAR(34),TEXT(G325+1,"yyyy-mm-dd"),CHAR(34),", ",
,CHAR(34),"endDate",CHAR(34),":",CHAR(34),TEXT(G325+W325-1,"yyyy-mm-dd"),CHAR(34),
IF(OR(ISBLANK(AE325),ISBLANK(AF325)),"",(CONCATENATE(", ",CHAR(34),"startTime",CHAR(34),":",CHAR(34),TEXT(AE325,"hh:mm"),CHAR(34),", ",CHAR(34),"endTime",CHAR(34),":",CHAR(34),TEXT(AF325,"hh:mm"),CHAR(34),", ",CHAR(34),"timeZone",CHAR(34),":",CHAR(34),AG325,CHAR(34)))),"}]'"),
CONCATENATE(
"{  startDate=",CHAR(34),TEXT(G325,"yyyy-mm-dd"),CHAR(34),
"  endDate=",CHAR(34),TEXT(G325+W325-1,"yyyy-mm-dd"),CHAR(34),"}"))),
" &gt;&lt;/add-to-calendar-button&gt;")</f>
        <v>&lt;add-to-calendar-button  name="Bibb County Christmas Singing"   location="Brent Baptist Church, 2446 Main St, Brent, AL 35034"   description="6pm; shapenotesingings.com"   options="'Apple','Google','iCal','Outlook.com'"   styleLight="--btn-background: #550000; --btn-text: #fff; --btn-shadow:#fff;"startDate="2025-12-02"{endDate="2025-12-02" startTime="18:00" endTime="21:00" timeZone="America/Chicago" &gt;&lt;/add-to-calendar-button&gt;</v>
      </c>
      <c r="AE325" s="24">
        <v>0.75</v>
      </c>
      <c r="AF325" s="24">
        <v>0.875</v>
      </c>
      <c r="AG325" s="25" t="s">
        <v>1533</v>
      </c>
    </row>
    <row r="326" spans="1:33" x14ac:dyDescent="0.3">
      <c r="A326" t="s">
        <v>8</v>
      </c>
      <c r="B326" t="s">
        <v>102</v>
      </c>
      <c r="C326" t="s">
        <v>1064</v>
      </c>
      <c r="D326" t="s">
        <v>269</v>
      </c>
      <c r="E326" t="s">
        <v>34</v>
      </c>
      <c r="F326" t="s">
        <v>876</v>
      </c>
      <c r="G326" s="7">
        <f t="shared" ref="G326:G338" ca="1" si="1">X326</f>
        <v>45997</v>
      </c>
      <c r="H326" s="5" t="s">
        <v>763</v>
      </c>
      <c r="J326" s="36" t="s">
        <v>3016</v>
      </c>
      <c r="L326" t="s">
        <v>2396</v>
      </c>
      <c r="M326" s="16" t="s">
        <v>1038</v>
      </c>
      <c r="N326" s="16" t="s">
        <v>764</v>
      </c>
      <c r="O326" s="7">
        <v>44936</v>
      </c>
      <c r="P326" s="7" t="s">
        <v>926</v>
      </c>
      <c r="Q326" s="18">
        <v>12</v>
      </c>
      <c r="R326" s="18">
        <v>1</v>
      </c>
      <c r="S326" s="18">
        <v>1</v>
      </c>
      <c r="T326" s="4">
        <f>DATE(AI$2,$Q326,1+(($R326-($S326&gt;=WEEKDAY(DATE(AI$2,$Q326,1))))*7)+($S326-WEEKDAY(DATE(AI$2,$Q326,1))))</f>
        <v>45998</v>
      </c>
      <c r="U326" s="4">
        <f>DATE(AJ$2,$Q326,1+(($R326-($S326&gt;=WEEKDAY(DATE(AJ$2,$Q326,1))))*7)+($S326-WEEKDAY(DATE(AJ$2,$Q326,1))))</f>
        <v>46362</v>
      </c>
      <c r="V326" s="20">
        <v>0</v>
      </c>
      <c r="W326" s="20">
        <v>2</v>
      </c>
      <c r="X326" s="4">
        <f t="shared" ref="X326:X338" ca="1" si="2">Y326-(W326-1)</f>
        <v>45997</v>
      </c>
      <c r="Y326" s="5">
        <f t="shared" ca="1" si="0"/>
        <v>45998</v>
      </c>
      <c r="Z326" t="str">
        <f ca="1">CONCATENATE(IF(OR(Y326=X326,ISBLANK(Y326)),TEXT(X326,"mmmm d"),CONCATENATE(TEXT(X326,"mmmm d"),"-",IF(TEXT(X326,"mmmm")=TEXT(Y326,"mmmm"),TEXT(Y326,"d"),TEXT(Y326,"mmmm d")))),", ",YEAR(Y326))</f>
        <v>December 6-7, 2025</v>
      </c>
      <c r="AA326" s="7">
        <f t="shared" ref="AA326:AA338" si="3">O326</f>
        <v>44936</v>
      </c>
      <c r="AB326" s="14">
        <f t="shared" ref="AB326:AB338" si="4">T326+V326-(W326-1)</f>
        <v>45997</v>
      </c>
      <c r="AC326" t="s">
        <v>1393</v>
      </c>
      <c r="AD326" s="23" t="str">
        <f t="shared" ref="AD326:AD338" ca="1" si="5">CONCATENATE("&lt;add-to-calendar-button  name=",CHAR(34),H326,CHAR(34),
IF(ISBLANK(M326),"",CONCATENATE("   location=",CHAR(34),RIGHT(M326,LEN(M326)-SEARCH("|",M326)-1),CHAR(34))),
"   description=",CHAR(34),IF(ISBLANK(I326),"",CONCATENATE(I326,"; ")),"shapenotesingings.com",CHAR(34),
"   options=",CHAR(34),"'Apple','Google','iCal','Outlook.com'",CHAR(34),"   styleLight=",CHAR(34),"--btn-background: #550000; --btn-text: #fff; --btn-shadow:#fff;",CHAR(34),
IF(W326=1,CONCATENATE(
"startDate=",CHAR(34),TEXT(G326,"yyyy-mm-dd"),CHAR(34),
"{endDate=",CHAR(34),TEXT(G326,"yyyy-mm-dd"),CHAR(34),
IF(OR(ISBLANK(AE326),ISBLANK(AF326)),"",(CONCATENATE(" startTime=",CHAR(34),TEXT(AE326,"hh:mm"),CHAR(34)," endTime=",CHAR(34),TEXT(AF326,"h:mm"),CHAR(34),
" timeZone=",CHAR(34),AG326,CHAR(34))))),
IF(W326=2,CONCATENATE(" dates='[{",
CHAR(34),"startDate",CHAR(34),":",CHAR(34),TEXT(G326,"yyyy-mm-dd"),CHAR(34),", ",
,CHAR(34),"endDate",CHAR(34),":",CHAR(34),TEXT(G326,"yyyy-mm-dd"),CHAR(34),
IF(OR(ISBLANK(AE326),ISBLANK(AF326)),"",(CONCATENATE(", ",CHAR(34),"startTime",CHAR(34),":",CHAR(34),TEXT(AE326,"hh:mm"),CHAR(34),", ",CHAR(34),"endTime",CHAR(34),":",CHAR(34),TEXT(AF326,"hh:mm"),CHAR(34),", ",CHAR(34),"timeZone",CHAR(34),":",CHAR(34),AG326,CHAR(34)))),"}, {",
,CHAR(34),"startDate",CHAR(34),":",CHAR(34),TEXT(G326+1,"yyyy-mm-dd"),CHAR(34),", ",
,CHAR(34),"endDate",CHAR(34),":",CHAR(34),TEXT(G326+W326-1,"yyyy-mm-dd"),CHAR(34),
IF(OR(ISBLANK(AE326),ISBLANK(AF326)),"",(CONCATENATE(", ",CHAR(34),"startTime",CHAR(34),":",CHAR(34),TEXT(AE326,"hh:mm"),CHAR(34),", ",CHAR(34),"endTime",CHAR(34),":",CHAR(34),TEXT(AF326,"hh:mm"),CHAR(34),", ",CHAR(34),"timeZone",CHAR(34),":",CHAR(34),AG326,CHAR(34)))),"}]'"),
CONCATENATE(
"{  startDate=",CHAR(34),TEXT(G326,"yyyy-mm-dd"),CHAR(34),
"  endDate=",CHAR(34),TEXT(G326+W326-1,"yyyy-mm-dd"),CHAR(34),"}"))),
" &gt;&lt;/add-to-calendar-button&gt;")</f>
        <v>&lt;add-to-calendar-button  name="Florida State Sacred Harp Convention"   location="Union Hill Singing Hall, 2759 Union Hill Church Rd, Bonifay, FL 32425"   description="shapenotesingings.com"   options="'Apple','Google','iCal','Outlook.com'"   styleLight="--btn-background: #550000; --btn-text: #fff; --btn-shadow:#fff;" dates='[{"startDate":"2025-12-06", "endDate":"2025-12-06"}, {"startDate":"2025-12-07", "endDate":"2025-12-07"}]' &gt;&lt;/add-to-calendar-button&gt;</v>
      </c>
      <c r="AG326" s="25" t="s">
        <v>1533</v>
      </c>
    </row>
    <row r="327" spans="1:33" x14ac:dyDescent="0.3">
      <c r="A327" t="s">
        <v>8</v>
      </c>
      <c r="B327" t="s">
        <v>176</v>
      </c>
      <c r="C327" t="s">
        <v>1157</v>
      </c>
      <c r="D327" t="s">
        <v>1694</v>
      </c>
      <c r="E327" t="s">
        <v>2379</v>
      </c>
      <c r="F327" t="s">
        <v>762</v>
      </c>
      <c r="G327" s="7">
        <f t="shared" ca="1" si="1"/>
        <v>45997</v>
      </c>
      <c r="H327" s="5" t="s">
        <v>2322</v>
      </c>
      <c r="I327" t="s">
        <v>1039</v>
      </c>
      <c r="J327" s="36" t="s">
        <v>3017</v>
      </c>
      <c r="K327" t="s">
        <v>2323</v>
      </c>
      <c r="L327" t="s">
        <v>2321</v>
      </c>
      <c r="M327" s="16" t="s">
        <v>1763</v>
      </c>
      <c r="N327" s="16" t="s">
        <v>1764</v>
      </c>
      <c r="O327" s="7">
        <v>45220</v>
      </c>
      <c r="P327" s="7" t="s">
        <v>1984</v>
      </c>
      <c r="Q327" s="18">
        <v>12</v>
      </c>
      <c r="R327" s="18">
        <v>1</v>
      </c>
      <c r="S327" s="18">
        <v>7</v>
      </c>
      <c r="T327" s="4">
        <f>DATE(AI$2,$Q327,1+(($R327-($S327&gt;=WEEKDAY(DATE(AI$2,$Q327,1))))*7)+($S327-WEEKDAY(DATE(AI$2,$Q327,1))))</f>
        <v>45997</v>
      </c>
      <c r="U327" s="4">
        <f>DATE(AJ$2,$Q327,1+(($R327-($S327&gt;=WEEKDAY(DATE(AJ$2,$Q327,1))))*7)+($S327-WEEKDAY(DATE(AJ$2,$Q327,1))))</f>
        <v>46361</v>
      </c>
      <c r="V327" s="20">
        <v>0</v>
      </c>
      <c r="W327" s="20">
        <v>1</v>
      </c>
      <c r="X327" s="4">
        <f t="shared" ca="1" si="2"/>
        <v>45997</v>
      </c>
      <c r="Y327" s="5">
        <f t="shared" ca="1" si="0"/>
        <v>45997</v>
      </c>
      <c r="Z327" t="str">
        <f ca="1">CONCATENATE(IF(OR(Y327=X327,ISBLANK(Y327)),TEXT(X327,"mmmm d"),CONCATENATE(TEXT(X327,"mmmm d"),"-",IF(TEXT(X327,"mmmm")=TEXT(Y327,"mmmm"),TEXT(Y327,"d"),TEXT(Y327,"mmmm d")))),", ",YEAR(Y327))</f>
        <v>December 6, 2025</v>
      </c>
      <c r="AA327" s="7">
        <f t="shared" si="3"/>
        <v>45220</v>
      </c>
      <c r="AB327" s="14">
        <f t="shared" si="4"/>
        <v>45997</v>
      </c>
      <c r="AC327" t="s">
        <v>1765</v>
      </c>
      <c r="AD327" s="23" t="str">
        <f t="shared" ca="1" si="5"/>
        <v>&lt;add-to-calendar-button  name="Philadelphia All-Day Singing"   location="St. Mary's Church, Hamilton Village, 3916 Locust Walk, Philadelphia, PA 19104"   description="10am-3:30pm; shapenotesingings.com"   options="'Apple','Google','iCal','Outlook.com'"   styleLight="--btn-background: #550000; --btn-text: #fff; --btn-shadow:#fff;"startDate="2025-12-06"{endDate="2025-12-06" &gt;&lt;/add-to-calendar-button&gt;</v>
      </c>
      <c r="AG327" s="25" t="s">
        <v>1532</v>
      </c>
    </row>
    <row r="328" spans="1:33" x14ac:dyDescent="0.3">
      <c r="A328" t="s">
        <v>8</v>
      </c>
      <c r="B328" t="s">
        <v>11</v>
      </c>
      <c r="C328" t="s">
        <v>1134</v>
      </c>
      <c r="D328" t="s">
        <v>594</v>
      </c>
      <c r="E328" t="s">
        <v>2178</v>
      </c>
      <c r="F328" t="s">
        <v>876</v>
      </c>
      <c r="G328" s="7">
        <f t="shared" ca="1" si="1"/>
        <v>45998</v>
      </c>
      <c r="H328" s="5" t="s">
        <v>1801</v>
      </c>
      <c r="I328" t="s">
        <v>1028</v>
      </c>
      <c r="J328" s="36" t="s">
        <v>3018</v>
      </c>
      <c r="L328" t="s">
        <v>1803</v>
      </c>
      <c r="M328" s="16" t="s">
        <v>1804</v>
      </c>
      <c r="N328" s="16" t="s">
        <v>1805</v>
      </c>
      <c r="O328" s="7">
        <v>45258</v>
      </c>
      <c r="P328" s="7" t="s">
        <v>1802</v>
      </c>
      <c r="Q328" s="18">
        <v>12</v>
      </c>
      <c r="R328" s="18">
        <v>1</v>
      </c>
      <c r="S328" s="18">
        <v>1</v>
      </c>
      <c r="T328" s="4">
        <f>DATE(AI$2,$Q328,1+(($R328-($S328&gt;=WEEKDAY(DATE(AI$2,$Q328,1))))*7)+($S328-WEEKDAY(DATE(AI$2,$Q328,1))))</f>
        <v>45998</v>
      </c>
      <c r="U328" s="4">
        <f>DATE(AJ$2,$Q328,1+(($R328-($S328&gt;=WEEKDAY(DATE(AJ$2,$Q328,1))))*7)+($S328-WEEKDAY(DATE(AJ$2,$Q328,1))))</f>
        <v>46362</v>
      </c>
      <c r="V328" s="20">
        <v>0</v>
      </c>
      <c r="W328" s="20">
        <v>1</v>
      </c>
      <c r="X328" s="4">
        <f t="shared" ca="1" si="2"/>
        <v>45998</v>
      </c>
      <c r="Y328" s="5">
        <f t="shared" ca="1" si="0"/>
        <v>45998</v>
      </c>
      <c r="Z328" t="str">
        <f ca="1">CONCATENATE(IF(OR(Y328=X328,ISBLANK(Y328)),TEXT(X328,"mmmm d"),CONCATENATE(TEXT(X328,"mmmm d"),"-",IF(TEXT(X328,"mmmm")=TEXT(Y328,"mmmm"),TEXT(Y328,"d"),TEXT(Y328,"mmmm d")))),", ",YEAR(Y328))</f>
        <v>December 7, 2025</v>
      </c>
      <c r="AA328" s="7">
        <f t="shared" si="3"/>
        <v>45258</v>
      </c>
      <c r="AB328" s="14">
        <f t="shared" si="4"/>
        <v>45998</v>
      </c>
      <c r="AC328" t="s">
        <v>1338</v>
      </c>
      <c r="AD328" s="23" t="str">
        <f t="shared" ca="1" si="5"/>
        <v>&lt;add-to-calendar-button  name="Joe Beasley Memorial"   location="Concord Primitive Baptist Church, 575 County Highway 173, Winfield, AL 35594 - 33.94417263347147, -87.79405531185712"   description="10am; shapenotesingings.com"   options="'Apple','Google','iCal','Outlook.com'"   styleLight="--btn-background: #550000; --btn-text: #fff; --btn-shadow:#fff;"startDate="2025-12-07"{endDate="2025-12-07" startTime="10:00" endTime="15:00" timeZone="America/Chicago" &gt;&lt;/add-to-calendar-button&gt;</v>
      </c>
      <c r="AE328" s="24">
        <v>0.41666666666666669</v>
      </c>
      <c r="AF328" s="24">
        <v>0.625</v>
      </c>
      <c r="AG328" s="25" t="s">
        <v>1533</v>
      </c>
    </row>
    <row r="329" spans="1:33" x14ac:dyDescent="0.3">
      <c r="A329" t="s">
        <v>8</v>
      </c>
      <c r="B329" t="s">
        <v>114</v>
      </c>
      <c r="C329" t="s">
        <v>1153</v>
      </c>
      <c r="D329" t="s">
        <v>1840</v>
      </c>
      <c r="E329" t="s">
        <v>781</v>
      </c>
      <c r="F329" t="s">
        <v>767</v>
      </c>
      <c r="G329" s="7">
        <f t="shared" ca="1" si="1"/>
        <v>46004</v>
      </c>
      <c r="H329" s="5" t="s">
        <v>1841</v>
      </c>
      <c r="I329" t="s">
        <v>1842</v>
      </c>
      <c r="J329" s="36" t="s">
        <v>2629</v>
      </c>
      <c r="K329" t="s">
        <v>2452</v>
      </c>
      <c r="L329" t="s">
        <v>1843</v>
      </c>
      <c r="M329" s="16" t="s">
        <v>1846</v>
      </c>
      <c r="N329" s="16" t="s">
        <v>1847</v>
      </c>
      <c r="O329" s="7">
        <v>45586</v>
      </c>
      <c r="P329" s="7" t="s">
        <v>2349</v>
      </c>
      <c r="Q329" s="18">
        <v>12</v>
      </c>
      <c r="R329" s="18">
        <v>2</v>
      </c>
      <c r="S329" s="18">
        <v>1</v>
      </c>
      <c r="T329" s="4">
        <f>DATE(AI$2,$Q329,1+(($R329-($S329&gt;=WEEKDAY(DATE(AI$2,$Q329,1))))*7)+($S329-WEEKDAY(DATE(AI$2,$Q329,1))))</f>
        <v>46005</v>
      </c>
      <c r="U329" s="4">
        <f>DATE(AJ$2,$Q329,1+(($R329-($S329&gt;=WEEKDAY(DATE(AJ$2,$Q329,1))))*7)+($S329-WEEKDAY(DATE(AJ$2,$Q329,1))))</f>
        <v>46369</v>
      </c>
      <c r="V329" s="20">
        <v>-1</v>
      </c>
      <c r="W329" s="20">
        <v>1</v>
      </c>
      <c r="X329" s="4">
        <f t="shared" ca="1" si="2"/>
        <v>46004</v>
      </c>
      <c r="Y329" s="5">
        <f t="shared" ca="1" si="0"/>
        <v>46004</v>
      </c>
      <c r="Z329" t="str">
        <f ca="1">CONCATENATE(IF(OR(Y329=X329,ISBLANK(Y329)),TEXT(X329,"mmmm d"),CONCATENATE(TEXT(X329,"mmmm d"),"-",IF(TEXT(X329,"mmmm")=TEXT(Y329,"mmmm"),TEXT(Y329,"d"),TEXT(Y329,"mmmm d")))),", ",YEAR(Y329))</f>
        <v>December 13, 2025</v>
      </c>
      <c r="AA329" s="7">
        <f t="shared" si="3"/>
        <v>45586</v>
      </c>
      <c r="AB329" s="14">
        <f t="shared" si="4"/>
        <v>46004</v>
      </c>
      <c r="AC329" t="s">
        <v>1844</v>
      </c>
      <c r="AD329" s="23" t="str">
        <f t="shared" ca="1" si="5"/>
        <v>&lt;add-to-calendar-button  name="Shook-Smathers House Christmas Singing"   location="The Shook-Smathers House, 178 Morgan St, Clyde, NC 28721"   description="1-4pm; shapenotesingings.com"   options="'Apple','Google','iCal','Outlook.com'"   styleLight="--btn-background: #550000; --btn-text: #fff; --btn-shadow:#fff;"startDate="2025-12-13"{endDate="2025-12-13" startTime="13:00" endTime="16:00" timeZone="America/New_York" &gt;&lt;/add-to-calendar-button&gt;</v>
      </c>
      <c r="AE329" s="24">
        <v>0.54166666666666663</v>
      </c>
      <c r="AF329" s="24">
        <v>0.66666666666666663</v>
      </c>
      <c r="AG329" s="25" t="s">
        <v>1532</v>
      </c>
    </row>
    <row r="330" spans="1:33" x14ac:dyDescent="0.3">
      <c r="A330" t="s">
        <v>8</v>
      </c>
      <c r="B330" t="s">
        <v>523</v>
      </c>
      <c r="C330" t="s">
        <v>1145</v>
      </c>
      <c r="D330" t="s">
        <v>766</v>
      </c>
      <c r="E330" t="s">
        <v>2178</v>
      </c>
      <c r="F330" t="s">
        <v>774</v>
      </c>
      <c r="G330" s="7">
        <f t="shared" ca="1" si="1"/>
        <v>46004</v>
      </c>
      <c r="H330" s="5" t="s">
        <v>1795</v>
      </c>
      <c r="I330" t="s">
        <v>1028</v>
      </c>
      <c r="J330" s="36" t="s">
        <v>3019</v>
      </c>
      <c r="L330" t="s">
        <v>2406</v>
      </c>
      <c r="M330" s="16" t="s">
        <v>2308</v>
      </c>
      <c r="N330" s="16" t="s">
        <v>2309</v>
      </c>
      <c r="O330" s="7">
        <v>45656</v>
      </c>
      <c r="P330" s="7" t="s">
        <v>2465</v>
      </c>
      <c r="Q330" s="18">
        <v>12</v>
      </c>
      <c r="R330" s="18">
        <v>2</v>
      </c>
      <c r="S330" s="18">
        <v>1</v>
      </c>
      <c r="T330" s="4">
        <f>DATE(AI$2,$Q330,1+(($R330-($S330&gt;=WEEKDAY(DATE(AI$2,$Q330,1))))*7)+($S330-WEEKDAY(DATE(AI$2,$Q330,1))))</f>
        <v>46005</v>
      </c>
      <c r="U330" s="4">
        <f>DATE(AJ$2,$Q330,1+(($R330-($S330&gt;=WEEKDAY(DATE(AJ$2,$Q330,1))))*7)+($S330-WEEKDAY(DATE(AJ$2,$Q330,1))))</f>
        <v>46369</v>
      </c>
      <c r="V330" s="20">
        <v>-1</v>
      </c>
      <c r="W330" s="20">
        <v>1</v>
      </c>
      <c r="X330" s="4">
        <f t="shared" ca="1" si="2"/>
        <v>46004</v>
      </c>
      <c r="Y330" s="5">
        <f t="shared" ca="1" si="0"/>
        <v>46004</v>
      </c>
      <c r="Z330" t="str">
        <f ca="1">CONCATENATE(IF(OR(Y330=X330,ISBLANK(Y330)),TEXT(X330,"mmmm d"),CONCATENATE(TEXT(X330,"mmmm d"),"-",IF(TEXT(X330,"mmmm")=TEXT(Y330,"mmmm"),TEXT(Y330,"d"),TEXT(Y330,"mmmm d")))),", ",YEAR(Y330))</f>
        <v>December 13, 2025</v>
      </c>
      <c r="AA330" s="7">
        <f t="shared" si="3"/>
        <v>45656</v>
      </c>
      <c r="AB330" s="14">
        <f t="shared" si="4"/>
        <v>46004</v>
      </c>
      <c r="AC330" t="s">
        <v>2310</v>
      </c>
      <c r="AD330" s="23" t="str">
        <f t="shared" ca="1" si="5"/>
        <v>&lt;add-to-calendar-button  name="Lynd Schoolhouse Singing"   location="Lynd Schoolhouse, 723 N Lynd Rd, Orleans, IN"   description="10am; shapenotesingings.com"   options="'Apple','Google','iCal','Outlook.com'"   styleLight="--btn-background: #550000; --btn-text: #fff; --btn-shadow:#fff;"startDate="2025-12-13"{endDate="2025-12-13" startTime="10:00" endTime="15:00" timeZone="America/New_York" &gt;&lt;/add-to-calendar-button&gt;</v>
      </c>
      <c r="AE330" s="24">
        <v>0.41666666666666669</v>
      </c>
      <c r="AF330" s="24">
        <v>0.625</v>
      </c>
      <c r="AG330" s="25" t="s">
        <v>1532</v>
      </c>
    </row>
    <row r="331" spans="1:33" x14ac:dyDescent="0.3">
      <c r="A331" t="s">
        <v>8</v>
      </c>
      <c r="B331" t="s">
        <v>17</v>
      </c>
      <c r="C331" t="s">
        <v>1140</v>
      </c>
      <c r="D331" t="s">
        <v>661</v>
      </c>
      <c r="E331" t="s">
        <v>1435</v>
      </c>
      <c r="F331" t="s">
        <v>768</v>
      </c>
      <c r="G331" s="7">
        <f t="shared" ca="1" si="1"/>
        <v>46004</v>
      </c>
      <c r="H331" s="5" t="s">
        <v>812</v>
      </c>
      <c r="I331" t="s">
        <v>1037</v>
      </c>
      <c r="J331" s="36" t="s">
        <v>2630</v>
      </c>
      <c r="L331" t="s">
        <v>2350</v>
      </c>
      <c r="M331" s="16" t="s">
        <v>909</v>
      </c>
      <c r="N331" s="16" t="s">
        <v>910</v>
      </c>
      <c r="O331" s="7">
        <v>45673</v>
      </c>
      <c r="P331" s="7" t="s">
        <v>2718</v>
      </c>
      <c r="Q331" s="18">
        <v>12</v>
      </c>
      <c r="R331" s="18">
        <v>2</v>
      </c>
      <c r="S331" s="18">
        <v>1</v>
      </c>
      <c r="T331" s="4">
        <f>DATE(AI$2,$Q331,1+(($R331-($S331&gt;=WEEKDAY(DATE(AI$2,$Q331,1))))*7)+($S331-WEEKDAY(DATE(AI$2,$Q331,1))))</f>
        <v>46005</v>
      </c>
      <c r="U331" s="4">
        <f>DATE(AJ$2,$Q331,1+(($R331-($S331&gt;=WEEKDAY(DATE(AJ$2,$Q331,1))))*7)+($S331-WEEKDAY(DATE(AJ$2,$Q331,1))))</f>
        <v>46369</v>
      </c>
      <c r="V331" s="20">
        <v>0</v>
      </c>
      <c r="W331" s="20">
        <v>2</v>
      </c>
      <c r="X331" s="4">
        <f t="shared" ca="1" si="2"/>
        <v>46004</v>
      </c>
      <c r="Y331" s="5">
        <f ca="1">IF(OR(T331+V331&lt;(NOW()-0.5),ISNUMBER(SEARCH("&lt;h4&gt;",#REF!))),U331+V331,T331+V331)</f>
        <v>46005</v>
      </c>
      <c r="Z331" t="str">
        <f ca="1">CONCATENATE(IF(OR(Y331=X331,ISBLANK(Y331)),TEXT(X331,"mmmm d"),CONCATENATE(TEXT(X331,"mmmm d"),"-",IF(TEXT(X331,"mmmm")=TEXT(Y331,"mmmm"),TEXT(Y331,"d"),TEXT(Y331,"mmmm d")))),", ",YEAR(Y331))</f>
        <v>December 13-14, 2025</v>
      </c>
      <c r="AA331" s="7">
        <f t="shared" si="3"/>
        <v>45673</v>
      </c>
      <c r="AB331" s="14">
        <f t="shared" si="4"/>
        <v>46004</v>
      </c>
      <c r="AC331" t="s">
        <v>2717</v>
      </c>
      <c r="AD331" s="23" t="str">
        <f t="shared" ca="1" si="5"/>
        <v>&lt;add-to-calendar-button  name="Georgia State Christian Harmony Convention"   location="No. 3 Railroad Steet, Arnoldsville, GA 30619"   description="10am-3pm; shapenotesingings.com"   options="'Apple','Google','iCal','Outlook.com'"   styleLight="--btn-background: #550000; --btn-text: #fff; --btn-shadow:#fff;" dates='[{"startDate":"2025-12-13", "endDate":"2025-12-13", "startTime":"10:00", "endTime":"15:00", "timeZone":"America/New_York"}, {"startDate":"2025-12-14", "endDate":"2025-12-14", "startTime":"10:00", "endTime":"15:00", "timeZone":"America/New_York"}]' &gt;&lt;/add-to-calendar-button&gt;</v>
      </c>
      <c r="AE331" s="24">
        <v>0.41666666666666669</v>
      </c>
      <c r="AF331" s="24">
        <v>0.625</v>
      </c>
      <c r="AG331" s="25" t="s">
        <v>1532</v>
      </c>
    </row>
    <row r="332" spans="1:33" x14ac:dyDescent="0.3">
      <c r="A332" t="s">
        <v>8</v>
      </c>
      <c r="B332" t="s">
        <v>357</v>
      </c>
      <c r="C332" t="s">
        <v>1143</v>
      </c>
      <c r="D332" t="s">
        <v>769</v>
      </c>
      <c r="E332" t="s">
        <v>2185</v>
      </c>
      <c r="F332" t="s">
        <v>772</v>
      </c>
      <c r="G332" s="7">
        <f t="shared" ca="1" si="1"/>
        <v>46005</v>
      </c>
      <c r="H332" s="5" t="s">
        <v>2632</v>
      </c>
      <c r="I332" t="s">
        <v>1035</v>
      </c>
      <c r="J332" s="36" t="s">
        <v>2633</v>
      </c>
      <c r="K332" t="s">
        <v>1036</v>
      </c>
      <c r="L332" t="s">
        <v>1809</v>
      </c>
      <c r="M332" s="16" t="s">
        <v>771</v>
      </c>
      <c r="N332" s="16" t="s">
        <v>770</v>
      </c>
      <c r="O332" s="7">
        <v>44936</v>
      </c>
      <c r="P332" s="7" t="s">
        <v>926</v>
      </c>
      <c r="Q332" s="18">
        <v>12</v>
      </c>
      <c r="R332" s="18">
        <v>2</v>
      </c>
      <c r="S332" s="18">
        <v>1</v>
      </c>
      <c r="T332" s="4">
        <f>DATE(AI$2,$Q332,1+(($R332-($S332&gt;=WEEKDAY(DATE(AI$2,$Q332,1))))*7)+($S332-WEEKDAY(DATE(AI$2,$Q332,1))))</f>
        <v>46005</v>
      </c>
      <c r="U332" s="4">
        <f>DATE(AJ$2,$Q332,1+(($R332-($S332&gt;=WEEKDAY(DATE(AJ$2,$Q332,1))))*7)+($S332-WEEKDAY(DATE(AJ$2,$Q332,1))))</f>
        <v>46369</v>
      </c>
      <c r="V332" s="20">
        <v>0</v>
      </c>
      <c r="W332" s="20">
        <v>1</v>
      </c>
      <c r="X332" s="4">
        <f t="shared" ca="1" si="2"/>
        <v>46005</v>
      </c>
      <c r="Y332" s="5">
        <f ca="1">IF(OR(T332+V332&lt;(NOW()-0.5),ISNUMBER(SEARCH("&lt;h4&gt;",K332))),U332+V332,T332+V332)</f>
        <v>46005</v>
      </c>
      <c r="Z332" t="str">
        <f ca="1">CONCATENATE(IF(OR(Y332=X332,ISBLANK(Y332)),TEXT(X332,"mmmm d"),CONCATENATE(TEXT(X332,"mmmm d"),"-",IF(TEXT(X332,"mmmm")=TEXT(Y332,"mmmm"),TEXT(Y332,"d"),TEXT(Y332,"mmmm d")))),", ",YEAR(Y332))</f>
        <v>December 14, 2025</v>
      </c>
      <c r="AA332" s="7">
        <f t="shared" si="3"/>
        <v>44936</v>
      </c>
      <c r="AB332" s="14">
        <f t="shared" si="4"/>
        <v>46005</v>
      </c>
      <c r="AC332" t="s">
        <v>1394</v>
      </c>
      <c r="AD332" s="23" t="str">
        <f t="shared" ca="1" si="5"/>
        <v>&lt;add-to-calendar-button  name="Kentucky Christmas Shapenote Sing"   location="Mt. Zion UMC, 4462 Lexington Rd, Harrodsburg, KY 40330"   description="3pm; shapenotesingings.com"   options="'Apple','Google','iCal','Outlook.com'"   styleLight="--btn-background: #550000; --btn-text: #fff; --btn-shadow:#fff;"startDate="2025-12-14"{endDate="2025-12-14" &gt;&lt;/add-to-calendar-button&gt;</v>
      </c>
      <c r="AG332" s="25" t="s">
        <v>1532</v>
      </c>
    </row>
    <row r="333" spans="1:33" x14ac:dyDescent="0.3">
      <c r="A333" t="s">
        <v>8</v>
      </c>
      <c r="B333" t="s">
        <v>11</v>
      </c>
      <c r="C333" t="s">
        <v>1134</v>
      </c>
      <c r="D333" t="s">
        <v>184</v>
      </c>
      <c r="E333" t="s">
        <v>34</v>
      </c>
      <c r="F333" t="s">
        <v>774</v>
      </c>
      <c r="G333" s="7">
        <f t="shared" ca="1" si="1"/>
        <v>46011</v>
      </c>
      <c r="H333" s="5" t="s">
        <v>773</v>
      </c>
      <c r="L333" t="s">
        <v>1988</v>
      </c>
      <c r="M333" s="16" t="s">
        <v>999</v>
      </c>
      <c r="N333" s="16" t="s">
        <v>186</v>
      </c>
      <c r="O333" s="7">
        <v>44936</v>
      </c>
      <c r="P333" s="7" t="s">
        <v>926</v>
      </c>
      <c r="Q333" s="18">
        <v>12</v>
      </c>
      <c r="R333" s="18">
        <v>3</v>
      </c>
      <c r="S333" s="18">
        <v>1</v>
      </c>
      <c r="T333" s="4">
        <f>DATE(AI$2,$Q333,1+(($R333-($S333&gt;=WEEKDAY(DATE(AI$2,$Q333,1))))*7)+($S333-WEEKDAY(DATE(AI$2,$Q333,1))))</f>
        <v>46012</v>
      </c>
      <c r="U333" s="4">
        <f>DATE(AJ$2,$Q333,1+(($R333-($S333&gt;=WEEKDAY(DATE(AJ$2,$Q333,1))))*7)+($S333-WEEKDAY(DATE(AJ$2,$Q333,1))))</f>
        <v>46376</v>
      </c>
      <c r="V333" s="20">
        <v>-1</v>
      </c>
      <c r="W333" s="20">
        <v>1</v>
      </c>
      <c r="X333" s="4">
        <f t="shared" ca="1" si="2"/>
        <v>46011</v>
      </c>
      <c r="Y333" s="5">
        <f ca="1">IF(OR(T333+V333&lt;(NOW()-0.5),ISNUMBER(SEARCH("&lt;h4&gt;",K333))),U333+V333,T333+V333)</f>
        <v>46011</v>
      </c>
      <c r="Z333" t="str">
        <f ca="1">CONCATENATE(IF(OR(Y333=X333,ISBLANK(Y333)),TEXT(X333,"mmmm d"),CONCATENATE(TEXT(X333,"mmmm d"),"-",IF(TEXT(X333,"mmmm")=TEXT(Y333,"mmmm"),TEXT(Y333,"d"),TEXT(Y333,"mmmm d")))),", ",YEAR(Y333))</f>
        <v>December 20, 2025</v>
      </c>
      <c r="AA333" s="7">
        <f t="shared" si="3"/>
        <v>44936</v>
      </c>
      <c r="AB333" s="14">
        <f t="shared" si="4"/>
        <v>46011</v>
      </c>
      <c r="AC333" t="s">
        <v>1245</v>
      </c>
      <c r="AD333" s="23" t="str">
        <f t="shared" ca="1" si="5"/>
        <v>&lt;add-to-calendar-button  name="Christmas Singing"   location="Traveler's Rest Church, 654 Traveler's Rest Rd, Samson, AL 36477"   description="shapenotesingings.com"   options="'Apple','Google','iCal','Outlook.com'"   styleLight="--btn-background: #550000; --btn-text: #fff; --btn-shadow:#fff;"startDate="2025-12-20"{endDate="2025-12-20" &gt;&lt;/add-to-calendar-button&gt;</v>
      </c>
      <c r="AG333" s="25" t="s">
        <v>1533</v>
      </c>
    </row>
    <row r="334" spans="1:33" x14ac:dyDescent="0.3">
      <c r="A334" t="s">
        <v>8</v>
      </c>
      <c r="B334" t="s">
        <v>114</v>
      </c>
      <c r="C334" t="s">
        <v>1153</v>
      </c>
      <c r="D334" t="s">
        <v>778</v>
      </c>
      <c r="E334" t="s">
        <v>781</v>
      </c>
      <c r="F334" t="s">
        <v>2373</v>
      </c>
      <c r="G334" s="7">
        <f t="shared" ca="1" si="1"/>
        <v>46016</v>
      </c>
      <c r="H334" s="5" t="s">
        <v>2374</v>
      </c>
      <c r="I334" t="s">
        <v>2375</v>
      </c>
      <c r="J334" s="36" t="s">
        <v>2635</v>
      </c>
      <c r="L334" t="s">
        <v>2376</v>
      </c>
      <c r="M334" s="16" t="s">
        <v>779</v>
      </c>
      <c r="N334" s="16" t="s">
        <v>780</v>
      </c>
      <c r="O334" s="7">
        <v>45598</v>
      </c>
      <c r="P334" s="7" t="s">
        <v>2377</v>
      </c>
      <c r="Q334" s="18">
        <v>12</v>
      </c>
      <c r="T334" s="4">
        <f>DATE(AI$2,12,25)</f>
        <v>46016</v>
      </c>
      <c r="U334" s="4">
        <f>DATE(AI$2,12,25)</f>
        <v>46016</v>
      </c>
      <c r="V334" s="20">
        <v>0</v>
      </c>
      <c r="W334" s="20">
        <v>1</v>
      </c>
      <c r="X334" s="4">
        <f t="shared" ca="1" si="2"/>
        <v>46016</v>
      </c>
      <c r="Y334" s="5">
        <f ca="1">IF(OR(T334+V334&lt;(NOW()-0.5),ISNUMBER(SEARCH("&lt;h4&gt;",#REF!))),U334+V334,T334+V334)</f>
        <v>46016</v>
      </c>
      <c r="Z334" t="str">
        <f ca="1">CONCATENATE(IF(OR(Y334=X334,ISBLANK(Y334)),TEXT(X334,"mmmm d"),CONCATENATE(TEXT(X334,"mmmm d"),"-",IF(TEXT(X334,"mmmm")=TEXT(Y334,"mmmm"),TEXT(Y334,"d"),TEXT(Y334,"mmmm d")))),", ",YEAR(Y334))</f>
        <v>December 25, 2025</v>
      </c>
      <c r="AA334" s="7">
        <f t="shared" si="3"/>
        <v>45598</v>
      </c>
      <c r="AB334" s="14">
        <f t="shared" si="4"/>
        <v>46016</v>
      </c>
      <c r="AC334" t="s">
        <v>1290</v>
      </c>
      <c r="AD334" s="23" t="str">
        <f t="shared" ca="1" si="5"/>
        <v>&lt;add-to-calendar-button  name="Calvary Christmas Night Singing"   location="Calvary Episcopal Church, 2840 Hendersonville Rd, Fletcher, NC 28732"   description="5:30-8:30pm; shapenotesingings.com"   options="'Apple','Google','iCal','Outlook.com'"   styleLight="--btn-background: #550000; --btn-text: #fff; --btn-shadow:#fff;"startDate="2025-12-25"{endDate="2025-12-25" startTime="17:30" endTime="20:30" timeZone="America/New_York" &gt;&lt;/add-to-calendar-button&gt;</v>
      </c>
      <c r="AE334" s="24">
        <v>0.72916666666666663</v>
      </c>
      <c r="AF334" s="24">
        <v>0.85416666666666663</v>
      </c>
      <c r="AG334" s="25" t="s">
        <v>1532</v>
      </c>
    </row>
    <row r="335" spans="1:33" x14ac:dyDescent="0.3">
      <c r="A335" t="s">
        <v>144</v>
      </c>
      <c r="B335" t="s">
        <v>144</v>
      </c>
      <c r="C335" t="s">
        <v>1162</v>
      </c>
      <c r="D335" t="s">
        <v>705</v>
      </c>
      <c r="E335" t="s">
        <v>1435</v>
      </c>
      <c r="F335" t="s">
        <v>816</v>
      </c>
      <c r="G335" s="7">
        <f t="shared" ca="1" si="1"/>
        <v>46017</v>
      </c>
      <c r="H335" s="5" t="s">
        <v>1849</v>
      </c>
      <c r="I335" t="s">
        <v>1035</v>
      </c>
      <c r="L335" t="s">
        <v>2491</v>
      </c>
      <c r="M335" s="16" t="s">
        <v>2473</v>
      </c>
      <c r="N335" s="16" t="s">
        <v>2474</v>
      </c>
      <c r="O335" s="7">
        <v>45657</v>
      </c>
      <c r="P335" s="7" t="s">
        <v>2475</v>
      </c>
      <c r="Q335" s="18">
        <v>12</v>
      </c>
      <c r="T335" s="4">
        <f>DATE(AI$2,12,26)</f>
        <v>46017</v>
      </c>
      <c r="U335" s="4">
        <f>DATE(AJ$2,12,26)</f>
        <v>46382</v>
      </c>
      <c r="V335" s="20">
        <v>0</v>
      </c>
      <c r="W335" s="20">
        <v>1</v>
      </c>
      <c r="X335" s="4">
        <f t="shared" ca="1" si="2"/>
        <v>46017</v>
      </c>
      <c r="Y335" s="5">
        <f ca="1">IF(OR(T335+V335&lt;(NOW()-0.5),ISNUMBER(SEARCH("&lt;h4&gt;",K335))),U335+V335,T335+V335)</f>
        <v>46017</v>
      </c>
      <c r="Z335" t="str">
        <f ca="1">CONCATENATE(IF(OR(Y335=X335,ISBLANK(Y335)),TEXT(X335,"mmmm d"),CONCATENATE(TEXT(X335,"mmmm d"),"-",IF(TEXT(X335,"mmmm")=TEXT(Y335,"mmmm"),TEXT(Y335,"d"),TEXT(Y335,"mmmm d")))),", ",YEAR(Y335))</f>
        <v>December 26, 2025</v>
      </c>
      <c r="AA335" s="7">
        <f t="shared" si="3"/>
        <v>45657</v>
      </c>
      <c r="AB335" s="14">
        <f t="shared" si="4"/>
        <v>46017</v>
      </c>
      <c r="AC335" t="s">
        <v>2476</v>
      </c>
      <c r="AD335" s="23" t="str">
        <f t="shared" ca="1" si="5"/>
        <v>&lt;add-to-calendar-button  name="Boxing Day Singing"   location="St. Mary's Church, Primrose Hill, 2 Elsworthy Rd, London NW3 3DU, United Kingdom"   description="3pm; shapenotesingings.com"   options="'Apple','Google','iCal','Outlook.com'"   styleLight="--btn-background: #550000; --btn-text: #fff; --btn-shadow:#fff;"startDate="2025-12-26"{endDate="2025-12-26" startTime="15:00" endTime="18:00" timeZone="Europe/London" &gt;&lt;/add-to-calendar-button&gt;</v>
      </c>
      <c r="AE335" s="24">
        <v>0.625</v>
      </c>
      <c r="AF335" s="24">
        <v>0.75</v>
      </c>
      <c r="AG335" s="25" t="s">
        <v>1535</v>
      </c>
    </row>
    <row r="336" spans="1:33" ht="13.8" customHeight="1" x14ac:dyDescent="0.3">
      <c r="A336" t="s">
        <v>8</v>
      </c>
      <c r="B336" t="s">
        <v>11</v>
      </c>
      <c r="C336" t="s">
        <v>1134</v>
      </c>
      <c r="D336" t="s">
        <v>46</v>
      </c>
      <c r="E336" t="s">
        <v>2178</v>
      </c>
      <c r="F336" t="s">
        <v>874</v>
      </c>
      <c r="G336" s="7">
        <f t="shared" ca="1" si="1"/>
        <v>46018</v>
      </c>
      <c r="H336" s="5" t="s">
        <v>47</v>
      </c>
      <c r="I336" t="s">
        <v>1032</v>
      </c>
      <c r="J336" s="36" t="s">
        <v>3020</v>
      </c>
      <c r="L336" t="s">
        <v>983</v>
      </c>
      <c r="M336" s="16" t="s">
        <v>989</v>
      </c>
      <c r="N336" s="16" t="s">
        <v>136</v>
      </c>
      <c r="O336" s="7">
        <v>45305</v>
      </c>
      <c r="P336" s="7" t="s">
        <v>1884</v>
      </c>
      <c r="Q336" s="18">
        <v>12</v>
      </c>
      <c r="T336" s="4">
        <f>DATE(AI$2,12,27)</f>
        <v>46018</v>
      </c>
      <c r="U336" s="4">
        <f>DATE(AJ$2,12,27)</f>
        <v>46383</v>
      </c>
      <c r="V336" s="20">
        <v>0</v>
      </c>
      <c r="W336" s="20">
        <v>1</v>
      </c>
      <c r="X336" s="4">
        <f t="shared" ca="1" si="2"/>
        <v>46018</v>
      </c>
      <c r="Y336" s="5">
        <f ca="1">IF(OR(T336+V336&lt;(NOW()-0.5),ISNUMBER(SEARCH("&lt;h4&gt;",K336))),U336+V336,T336+V336)</f>
        <v>46018</v>
      </c>
      <c r="Z336" t="str">
        <f ca="1">CONCATENATE(IF(OR(Y336=X336,ISBLANK(Y336)),TEXT(X336,"mmmm d"),CONCATENATE(TEXT(X336,"mmmm d"),"-",IF(TEXT(X336,"mmmm")=TEXT(Y336,"mmmm"),TEXT(Y336,"d"),TEXT(Y336,"mmmm d")))),", ",YEAR(Y336))</f>
        <v>December 27, 2025</v>
      </c>
      <c r="AA336" s="7">
        <f t="shared" si="3"/>
        <v>45305</v>
      </c>
      <c r="AB336" s="14">
        <f t="shared" si="4"/>
        <v>46018</v>
      </c>
      <c r="AC336" t="s">
        <v>1207</v>
      </c>
      <c r="AD336" s="23" t="str">
        <f t="shared" ca="1" si="5"/>
        <v>&lt;add-to-calendar-button  name="Barrett's Singing"   location="Liberty Baptist Church, 1500 Liberty Rd, Henagar, AL 35978"   description="5:30pm; shapenotesingings.com"   options="'Apple','Google','iCal','Outlook.com'"   styleLight="--btn-background: #550000; --btn-text: #fff; --btn-shadow:#fff;"startDate="2025-12-27"{endDate="2025-12-27" startTime="17:30" endTime="22:00" timeZone="America/Chicago" &gt;&lt;/add-to-calendar-button&gt;</v>
      </c>
      <c r="AE336" s="24">
        <v>0.72916666666666663</v>
      </c>
      <c r="AF336" s="24">
        <v>0.91666666666666663</v>
      </c>
      <c r="AG336" s="25" t="s">
        <v>1533</v>
      </c>
    </row>
    <row r="337" spans="1:33" ht="13.8" customHeight="1" x14ac:dyDescent="0.3">
      <c r="A337" t="s">
        <v>8</v>
      </c>
      <c r="B337" t="s">
        <v>200</v>
      </c>
      <c r="C337" t="s">
        <v>395</v>
      </c>
      <c r="D337" t="s">
        <v>906</v>
      </c>
      <c r="E337" t="s">
        <v>2178</v>
      </c>
      <c r="F337" t="s">
        <v>1826</v>
      </c>
      <c r="G337" s="7">
        <f t="shared" ca="1" si="1"/>
        <v>46018</v>
      </c>
      <c r="H337" s="5" t="s">
        <v>1796</v>
      </c>
      <c r="I337" t="s">
        <v>1040</v>
      </c>
      <c r="J337" s="36" t="s">
        <v>3021</v>
      </c>
      <c r="L337" t="s">
        <v>2492</v>
      </c>
      <c r="M337" s="16" t="s">
        <v>1797</v>
      </c>
      <c r="N337" s="16" t="s">
        <v>1798</v>
      </c>
      <c r="O337" s="7">
        <v>45254</v>
      </c>
      <c r="P337" s="7" t="s">
        <v>2009</v>
      </c>
      <c r="Q337" s="18">
        <v>1</v>
      </c>
      <c r="R337" s="18">
        <v>1</v>
      </c>
      <c r="S337" s="18">
        <v>7</v>
      </c>
      <c r="T337" s="4">
        <f>DATE(AI$2+1,$Q337,1+(($R337-($S337&gt;=WEEKDAY(DATE(AI$2+1,$Q337,1))))*7)+($S337-WEEKDAY(DATE(AI$2+1,$Q337,1))))</f>
        <v>46025</v>
      </c>
      <c r="U337" s="4">
        <f>DATE(AJ$2+1,$Q337,1+(($R337-($S337&gt;=WEEKDAY(DATE(AJ$2+1,$Q337,1))))*7)+($S337-WEEKDAY(DATE(AJ$2+1,$Q337,1))))</f>
        <v>46389</v>
      </c>
      <c r="V337" s="20">
        <v>-7</v>
      </c>
      <c r="W337" s="20">
        <v>1</v>
      </c>
      <c r="X337" s="4">
        <f t="shared" ca="1" si="2"/>
        <v>46018</v>
      </c>
      <c r="Y337" s="5">
        <f ca="1">IF(OR(T337+V337&lt;(NOW()-0.5),ISNUMBER(SEARCH("&lt;h4&gt;",K337))),U337+V337,T337+V337)</f>
        <v>46018</v>
      </c>
      <c r="Z337" t="str">
        <f ca="1">CONCATENATE(IF(OR(Y337=X337,ISBLANK(Y337)),TEXT(X337,"mmmm d"),CONCATENATE(TEXT(X337,"mmmm d"),"-",IF(TEXT(X337,"mmmm")=TEXT(Y337,"mmmm"),TEXT(Y337,"d"),TEXT(Y337,"mmmm d")))),", ",YEAR(Y337))</f>
        <v>December 27, 2025</v>
      </c>
      <c r="AA337" s="7">
        <f t="shared" si="3"/>
        <v>45254</v>
      </c>
      <c r="AB337" s="14">
        <f t="shared" si="4"/>
        <v>46018</v>
      </c>
      <c r="AC337" t="s">
        <v>1799</v>
      </c>
      <c r="AD337" s="23" t="str">
        <f t="shared" ca="1" si="5"/>
        <v>&lt;add-to-calendar-button  name="Olympia Christmas Harp All-Day Singing"   location="The Organic Farm at Evergreen, 2712 Lewis Rd NW, Olympia, WA 98505"   description="9:30am; shapenotesingings.com"   options="'Apple','Google','iCal','Outlook.com'"   styleLight="--btn-background: #550000; --btn-text: #fff; --btn-shadow:#fff;"startDate="2025-12-27"{endDate="2025-12-27" startTime="09:30" endTime="15:00" timeZone="America/Los_Angeles" &gt;&lt;/add-to-calendar-button&gt;</v>
      </c>
      <c r="AE337" s="24">
        <v>0.39583333333333331</v>
      </c>
      <c r="AF337" s="24">
        <v>0.625</v>
      </c>
      <c r="AG337" s="25" t="s">
        <v>1534</v>
      </c>
    </row>
    <row r="338" spans="1:33" x14ac:dyDescent="0.3">
      <c r="A338" t="s">
        <v>8</v>
      </c>
      <c r="B338" t="s">
        <v>11</v>
      </c>
      <c r="C338" t="s">
        <v>1134</v>
      </c>
      <c r="D338" t="s">
        <v>92</v>
      </c>
      <c r="E338" t="s">
        <v>2178</v>
      </c>
      <c r="F338" t="s">
        <v>775</v>
      </c>
      <c r="G338" s="7">
        <f t="shared" ca="1" si="1"/>
        <v>46022</v>
      </c>
      <c r="H338" s="5" t="s">
        <v>91</v>
      </c>
      <c r="I338" t="s">
        <v>1033</v>
      </c>
      <c r="J338" s="36" t="s">
        <v>3022</v>
      </c>
      <c r="L338" t="s">
        <v>2493</v>
      </c>
      <c r="M338" s="16" t="s">
        <v>310</v>
      </c>
      <c r="N338" s="16" t="s">
        <v>311</v>
      </c>
      <c r="O338" s="7">
        <v>44936</v>
      </c>
      <c r="P338" s="7" t="s">
        <v>926</v>
      </c>
      <c r="Q338" s="18">
        <v>12</v>
      </c>
      <c r="T338" s="4">
        <f>DATE(AI$2,12,31)</f>
        <v>46022</v>
      </c>
      <c r="U338" s="4">
        <f>DATE(AJ$2,12,31)</f>
        <v>46387</v>
      </c>
      <c r="V338" s="20">
        <v>0</v>
      </c>
      <c r="W338" s="20">
        <v>1</v>
      </c>
      <c r="X338" s="4">
        <f t="shared" ca="1" si="2"/>
        <v>46022</v>
      </c>
      <c r="Y338" s="5">
        <f ca="1">IF(OR(T338+V338&lt;(NOW()-0.5),ISNUMBER(SEARCH("&lt;h4&gt;",K338))),U338+V338,T338+V338)</f>
        <v>46022</v>
      </c>
      <c r="Z338" t="str">
        <f ca="1">CONCATENATE(IF(OR(Y338=X338,ISBLANK(Y338)),TEXT(X338,"mmmm d"),CONCATENATE(TEXT(X338,"mmmm d"),"-",IF(TEXT(X338,"mmmm")=TEXT(Y338,"mmmm"),TEXT(Y338,"d"),TEXT(Y338,"mmmm d")))),", ",YEAR(Y338))</f>
        <v>December 31, 2025</v>
      </c>
      <c r="AA338" s="7">
        <f t="shared" si="3"/>
        <v>44936</v>
      </c>
      <c r="AB338" s="14">
        <f t="shared" si="4"/>
        <v>46022</v>
      </c>
      <c r="AC338" t="s">
        <v>1433</v>
      </c>
      <c r="AD338" s="23" t="str">
        <f t="shared" ca="1" si="5"/>
        <v>&lt;add-to-calendar-button  name="Wootten Family New Years Eve Singing"   location="Antioch Baptist Church, 844 Co Rd 783, Ider, AL 35981"   description="7pm; shapenotesingings.com"   options="'Apple','Google','iCal','Outlook.com'"   styleLight="--btn-background: #550000; --btn-text: #fff; --btn-shadow:#fff;"startDate="2025-12-31"{endDate="2025-12-31" &gt;&lt;/add-to-calendar-button&gt;</v>
      </c>
      <c r="AG338" s="25" t="s">
        <v>1533</v>
      </c>
    </row>
    <row r="340" spans="1:33" ht="13.8" customHeight="1" x14ac:dyDescent="0.3">
      <c r="G340" s="7"/>
      <c r="O340" s="7"/>
      <c r="P340" s="7"/>
    </row>
    <row r="341" spans="1:33" x14ac:dyDescent="0.3">
      <c r="G341" s="7"/>
      <c r="O341" s="7"/>
      <c r="P341" s="7"/>
    </row>
    <row r="342" spans="1:33" ht="13.8" customHeight="1" x14ac:dyDescent="0.3">
      <c r="G342" s="7"/>
      <c r="O342" s="7"/>
      <c r="P342" s="7"/>
      <c r="Y342" s="5"/>
      <c r="AA342" s="7"/>
    </row>
    <row r="343" spans="1:33" x14ac:dyDescent="0.3">
      <c r="G343" s="7"/>
      <c r="O343" s="7"/>
      <c r="P343" s="7"/>
    </row>
    <row r="344" spans="1:33" x14ac:dyDescent="0.3">
      <c r="G344" s="7"/>
      <c r="H344"/>
      <c r="O344" s="7"/>
      <c r="P344" s="7"/>
    </row>
    <row r="345" spans="1:33" x14ac:dyDescent="0.3">
      <c r="G345" s="7"/>
      <c r="H345"/>
      <c r="O345" s="7"/>
      <c r="P345" s="7"/>
      <c r="T345" s="4"/>
      <c r="U345" s="4"/>
      <c r="V345" s="20"/>
      <c r="W345" s="20"/>
      <c r="Y345" s="5"/>
      <c r="AA345" s="7"/>
    </row>
    <row r="346" spans="1:33" x14ac:dyDescent="0.3">
      <c r="G346" s="7"/>
      <c r="O346" s="7"/>
      <c r="P346" s="7"/>
    </row>
  </sheetData>
  <sortState xmlns:xlrd2="http://schemas.microsoft.com/office/spreadsheetml/2017/richdata2" ref="A2:AG346">
    <sortCondition ref="AB2:AB346"/>
  </sortState>
  <conditionalFormatting sqref="X2:X338">
    <cfRule type="expression" dxfId="195" priority="55">
      <formula>ISBLANK(Y2)</formula>
    </cfRule>
  </conditionalFormatting>
  <conditionalFormatting sqref="T2:U338">
    <cfRule type="expression" dxfId="194" priority="54">
      <formula>ISBLANK(R2)</formula>
    </cfRule>
  </conditionalFormatting>
  <conditionalFormatting sqref="T11:U12 T2:U7 T40:U338">
    <cfRule type="expression" dxfId="193" priority="52">
      <formula>ISBLANK(V2)</formula>
    </cfRule>
  </conditionalFormatting>
  <conditionalFormatting sqref="X5:X7">
    <cfRule type="timePeriod" dxfId="192" priority="51" timePeriod="lastMonth">
      <formula>AND(MONTH(X5)=MONTH(EDATE(TODAY(),0-1)),YEAR(X5)=YEAR(EDATE(TODAY(),0-1)))</formula>
    </cfRule>
  </conditionalFormatting>
  <conditionalFormatting sqref="L1:L20 L288:L338 L22:L275 L277:L286">
    <cfRule type="containsBlanks" dxfId="191" priority="56">
      <formula>LEN(TRIM(L1))=0</formula>
    </cfRule>
  </conditionalFormatting>
  <conditionalFormatting sqref="T345:U345">
    <cfRule type="expression" dxfId="190" priority="35">
      <formula>ISBLANK(R345)</formula>
    </cfRule>
  </conditionalFormatting>
  <conditionalFormatting sqref="T345:U345">
    <cfRule type="expression" dxfId="189" priority="34">
      <formula>ISBLANK(V345)</formula>
    </cfRule>
  </conditionalFormatting>
  <conditionalFormatting sqref="L276">
    <cfRule type="containsBlanks" dxfId="188" priority="21">
      <formula>LEN(TRIM(L276))=0</formula>
    </cfRule>
  </conditionalFormatting>
  <conditionalFormatting sqref="L287">
    <cfRule type="containsBlanks" dxfId="187" priority="17">
      <formula>LEN(TRIM(L287))=0</formula>
    </cfRule>
  </conditionalFormatting>
  <hyperlinks>
    <hyperlink ref="AG1" r:id="rId1" xr:uid="{B65EF6B8-EF79-4200-81B0-F52BB1235D8E}"/>
  </hyperlinks>
  <pageMargins left="0.7" right="0.7" top="0.75" bottom="0.75" header="0.3" footer="0.3"/>
  <pageSetup orientation="portrait" horizontalDpi="200" verticalDpi="2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1B9DE-FF21-4455-A1BA-071A4D15D7AC}">
  <sheetPr codeName="Sheet2"/>
  <dimension ref="A1:AG51"/>
  <sheetViews>
    <sheetView workbookViewId="0">
      <pane ySplit="1" topLeftCell="A42" activePane="bottomLeft" state="frozen"/>
      <selection pane="bottomLeft" activeCell="C85" sqref="C85"/>
    </sheetView>
  </sheetViews>
  <sheetFormatPr defaultRowHeight="14.4" x14ac:dyDescent="0.3"/>
  <cols>
    <col min="1" max="1" width="4.33203125" bestFit="1" customWidth="1"/>
    <col min="2" max="2" width="3.44140625" bestFit="1" customWidth="1"/>
    <col min="3" max="3" width="13.109375" bestFit="1" customWidth="1"/>
    <col min="4" max="4" width="6.88671875" bestFit="1" customWidth="1"/>
    <col min="5" max="5" width="25.6640625" bestFit="1" customWidth="1"/>
    <col min="6" max="6" width="11.109375" bestFit="1" customWidth="1"/>
    <col min="7" max="7" width="8.5546875" bestFit="1" customWidth="1"/>
    <col min="8" max="8" width="19.6640625" bestFit="1" customWidth="1"/>
    <col min="9" max="9" width="7.109375" bestFit="1" customWidth="1"/>
    <col min="10" max="10" width="7.109375" customWidth="1"/>
    <col min="12" max="12" width="13.44140625" customWidth="1"/>
    <col min="13" max="13" width="23.6640625" customWidth="1"/>
    <col min="14" max="14" width="33.109375" customWidth="1"/>
    <col min="15" max="15" width="8.5546875" bestFit="1" customWidth="1"/>
    <col min="16" max="16" width="31.21875" customWidth="1"/>
    <col min="17" max="17" width="3" bestFit="1" customWidth="1"/>
    <col min="18" max="19" width="2" bestFit="1" customWidth="1"/>
    <col min="20" max="21" width="10.5546875" bestFit="1" customWidth="1"/>
    <col min="22" max="23" width="2" bestFit="1" customWidth="1"/>
    <col min="24" max="25" width="10.5546875" bestFit="1" customWidth="1"/>
    <col min="26" max="26" width="15.109375" bestFit="1" customWidth="1"/>
    <col min="27" max="27" width="8.5546875" bestFit="1" customWidth="1"/>
    <col min="28" max="28" width="10.33203125" bestFit="1" customWidth="1"/>
    <col min="29" max="33" width="18.88671875" customWidth="1"/>
  </cols>
  <sheetData>
    <row r="1" spans="1:33" x14ac:dyDescent="0.3">
      <c r="A1" t="s">
        <v>1638</v>
      </c>
      <c r="B1" t="s">
        <v>0</v>
      </c>
      <c r="C1" t="s">
        <v>1132</v>
      </c>
      <c r="D1" t="s">
        <v>1</v>
      </c>
      <c r="E1" t="s">
        <v>4</v>
      </c>
      <c r="F1" t="s">
        <v>6</v>
      </c>
      <c r="G1" t="s">
        <v>67</v>
      </c>
      <c r="H1" t="s">
        <v>7</v>
      </c>
      <c r="I1" t="s">
        <v>1027</v>
      </c>
      <c r="K1" t="s">
        <v>984</v>
      </c>
      <c r="L1" t="s">
        <v>9</v>
      </c>
      <c r="M1" t="s">
        <v>5</v>
      </c>
      <c r="N1" t="s">
        <v>120</v>
      </c>
      <c r="O1" t="s">
        <v>853</v>
      </c>
      <c r="P1" t="s">
        <v>925</v>
      </c>
      <c r="Q1" t="s">
        <v>59</v>
      </c>
      <c r="R1" t="s">
        <v>56</v>
      </c>
      <c r="S1" t="s">
        <v>70</v>
      </c>
      <c r="T1" t="s">
        <v>851</v>
      </c>
      <c r="U1" t="s">
        <v>852</v>
      </c>
      <c r="V1" t="s">
        <v>72</v>
      </c>
      <c r="W1" t="s">
        <v>71</v>
      </c>
      <c r="X1" t="s">
        <v>57</v>
      </c>
      <c r="Y1" t="s">
        <v>68</v>
      </c>
      <c r="Z1" t="s">
        <v>58</v>
      </c>
      <c r="AA1" t="s">
        <v>924</v>
      </c>
      <c r="AB1" t="s">
        <v>893</v>
      </c>
      <c r="AC1" t="s">
        <v>1196</v>
      </c>
      <c r="AD1" t="s">
        <v>1524</v>
      </c>
      <c r="AE1" t="s">
        <v>1529</v>
      </c>
      <c r="AF1" t="s">
        <v>1530</v>
      </c>
      <c r="AG1" t="s">
        <v>1531</v>
      </c>
    </row>
    <row r="2" spans="1:33" x14ac:dyDescent="0.3">
      <c r="A2" t="s">
        <v>8</v>
      </c>
      <c r="B2" t="s">
        <v>114</v>
      </c>
      <c r="C2" t="s">
        <v>1153</v>
      </c>
      <c r="D2" t="s">
        <v>801</v>
      </c>
      <c r="E2" t="s">
        <v>781</v>
      </c>
      <c r="F2" t="s">
        <v>1025</v>
      </c>
      <c r="G2" s="7">
        <f t="shared" ref="G2:G15" ca="1" si="0">X2</f>
        <v>45942</v>
      </c>
      <c r="H2" s="5" t="s">
        <v>1519</v>
      </c>
      <c r="I2" t="s">
        <v>1126</v>
      </c>
      <c r="L2" t="s">
        <v>1738</v>
      </c>
      <c r="M2" s="16" t="s">
        <v>803</v>
      </c>
      <c r="N2" s="16" t="s">
        <v>804</v>
      </c>
      <c r="O2" s="7">
        <v>45021</v>
      </c>
      <c r="P2" s="7" t="s">
        <v>1520</v>
      </c>
      <c r="Q2" s="18">
        <v>10</v>
      </c>
      <c r="R2" s="18">
        <v>2</v>
      </c>
      <c r="S2" s="18">
        <v>1</v>
      </c>
      <c r="T2" s="4">
        <f>DATE('Annual Singings'!AI$2,$Q2,1+(($R2-($S2&gt;=WEEKDAY(DATE('Annual Singings'!AI$2,$Q2,1))))*7)+($S2-WEEKDAY(DATE('Annual Singings'!AI$2,$Q2,1))))</f>
        <v>45942</v>
      </c>
      <c r="U2" s="4">
        <f>DATE('Annual Singings'!AJ$2,$Q2,1+(($R2-($S2&gt;=WEEKDAY(DATE('Annual Singings'!AJ$2,$Q2,1))))*7)+($S2-WEEKDAY(DATE('Annual Singings'!AJ$2,$Q2,1))))</f>
        <v>46306</v>
      </c>
      <c r="V2" s="20">
        <v>0</v>
      </c>
      <c r="W2" s="20">
        <v>1</v>
      </c>
      <c r="X2" s="4">
        <f t="shared" ref="X2:X15" ca="1" si="1">Y2-(W2-1)</f>
        <v>45942</v>
      </c>
      <c r="Y2" s="5">
        <f ca="1">IF(OR(T2+V2&lt;(TODAY()-1),ISNUMBER(SEARCH("&lt;h4&gt;",K2))),U2+V2,T2+V2)</f>
        <v>45942</v>
      </c>
      <c r="Z2" t="str">
        <f ca="1">CONCATENATE(IF(OR(Y2=X2,ISBLANK(Y2)),TEXT(X2,"mmmm d"),CONCATENATE(TEXT(X2,"mmmm d"),"-",IF(TEXT(X2,"mmmm")=TEXT(Y2,"mmmm"),TEXT(Y2,"d"),TEXT(Y2,"mmmm d")))),", ",YEAR(Y2))</f>
        <v>October 12, 2025</v>
      </c>
      <c r="AA2" s="7">
        <f t="shared" ref="AA2:AA15" si="2">O2</f>
        <v>45021</v>
      </c>
      <c r="AB2" s="14">
        <f t="shared" ref="AB2:AB15" si="3">T2+V2-(W2-1)</f>
        <v>45942</v>
      </c>
      <c r="AC2" t="s">
        <v>1521</v>
      </c>
      <c r="AD2" s="23" t="str">
        <f t="shared" ref="AD2:AD15" ca="1" si="4">CONCATENATE("&lt;add-to-calendar-button  name=",CHAR(34),H2,CHAR(34),
IF(ISBLANK(M2),"",CONCATENATE("   location=",CHAR(34),RIGHT(M2,LEN(M2)-SEARCH("|",M2)-1),CHAR(34))),
"   description=",CHAR(34),IF(ISBLANK(I2),"",CONCATENATE(I2,"; ")),"shapenotesingings.com",CHAR(34),
"   options=",CHAR(34),"'Apple','Google','iCal','Outlook.com'",CHAR(34),"   styleLight=",CHAR(34),"--btn-background: #550000; --btn-text: #fff; --btn-shadow:#fff;",CHAR(34),
IF(W2=1,CONCATENATE(
"startDate=",CHAR(34),TEXT(G2,"yyyy-mm-dd"),CHAR(34),
"{endDate=",CHAR(34),TEXT(G2,"yyyy-mm-dd"),CHAR(34),
IF(OR(ISBLANK(AE2),ISBLANK(AF2)),"",(CONCATENATE(" startTime=",CHAR(34),TEXT(AE2,"hh:mm"),CHAR(34)," endTime=",CHAR(34),TEXT(AF2,"h:mm"),CHAR(34),
" timeZone=",CHAR(34),AG2,CHAR(34))))),
IF(W2=2,CONCATENATE(" dates='[{",
CHAR(34),"startDate",CHAR(34),":",CHAR(34),TEXT(G2,"yyyy-mm-dd"),CHAR(34),", ",
,CHAR(34),"endDate",CHAR(34),":",CHAR(34),TEXT(G2,"yyyy-mm-dd"),CHAR(34),
IF(OR(ISBLANK(AE2),ISBLANK(AF2)),"",(CONCATENATE(", ",CHAR(34),"startTime",CHAR(34),":",CHAR(34),TEXT(AE2,"hh:mm"),CHAR(34),", ",CHAR(34),"endTime",CHAR(34),":",CHAR(34),TEXT(AF2,"hh:mm"),CHAR(34),", ",CHAR(34),"timeZone",CHAR(34),":",CHAR(34),AG2,CHAR(34)))),"}, {",
,CHAR(34),"startDate",CHAR(34),":",CHAR(34),TEXT(G2+1,"yyyy-mm-dd"),CHAR(34),", ",
,CHAR(34),"endDate",CHAR(34),":",CHAR(34),TEXT(G2+W2-1,"yyyy-mm-dd"),CHAR(34),
IF(OR(ISBLANK(AE2),ISBLANK(AF2)),"",(CONCATENATE(", ",CHAR(34),"startTime",CHAR(34),":",CHAR(34),TEXT(AE2,"hh:mm"),CHAR(34),", ",CHAR(34),"endTime",CHAR(34),":",CHAR(34),TEXT(AF2,"hh:mm"),CHAR(34),", ",CHAR(34),"timeZone",CHAR(34),":",CHAR(34),AG2,CHAR(34)))),"}]'"),
CONCATENATE(
"{  startDate=",CHAR(34),TEXT(G2,"yyyy-mm-dd"),CHAR(34),
"  endDate=",CHAR(34),TEXT(G2+W2-1,"yyyy-mm-dd"),CHAR(34),"}"))),
" &gt;&lt;/add-to-calendar-button&gt;")</f>
        <v>&lt;add-to-calendar-button  name="Plott-Toberfest Singing"   location="Morning Star United Methodist, 2535 Dutch Cove Rd, Canton, NC 28716"   description="1:30pm; shapenotesingings.com"   options="'Apple','Google','iCal','Outlook.com'"   styleLight="--btn-background: #550000; --btn-text: #fff; --btn-shadow:#fff;"startDate="2025-10-12"{endDate="2025-10-12" &gt;&lt;/add-to-calendar-button&gt;</v>
      </c>
      <c r="AE2" s="24"/>
      <c r="AF2" s="24"/>
      <c r="AG2" s="25" t="s">
        <v>1532</v>
      </c>
    </row>
    <row r="3" spans="1:33" x14ac:dyDescent="0.3">
      <c r="A3" t="s">
        <v>23</v>
      </c>
      <c r="B3" t="s">
        <v>478</v>
      </c>
      <c r="D3" t="s">
        <v>24</v>
      </c>
      <c r="E3" t="s">
        <v>32</v>
      </c>
      <c r="F3" t="s">
        <v>313</v>
      </c>
      <c r="G3" s="7">
        <f t="shared" ca="1" si="0"/>
        <v>46130</v>
      </c>
      <c r="H3" s="5" t="s">
        <v>864</v>
      </c>
      <c r="I3" t="s">
        <v>1052</v>
      </c>
      <c r="L3" t="s">
        <v>1740</v>
      </c>
      <c r="M3" s="16" t="s">
        <v>1696</v>
      </c>
      <c r="N3" s="16" t="s">
        <v>1697</v>
      </c>
      <c r="O3" s="7">
        <v>45156</v>
      </c>
      <c r="P3" s="7" t="s">
        <v>1699</v>
      </c>
      <c r="Q3" s="18">
        <v>4</v>
      </c>
      <c r="R3" s="18">
        <v>3</v>
      </c>
      <c r="S3" s="18">
        <v>1</v>
      </c>
      <c r="T3" s="4">
        <f>DATE('Annual Singings'!AI$2,$Q3,1+(($R3-($S3&gt;=WEEKDAY(DATE('Annual Singings'!AI$2,$Q3,1))))*7)+($S3-WEEKDAY(DATE('Annual Singings'!AI$2,$Q3,1))))</f>
        <v>45767</v>
      </c>
      <c r="U3" s="4">
        <f>DATE('Annual Singings'!AJ$2,$Q3,1+(($R3-($S3&gt;=WEEKDAY(DATE('Annual Singings'!AJ$2,$Q3,1))))*7)+($S3-WEEKDAY(DATE('Annual Singings'!AJ$2,$Q3,1))))</f>
        <v>46131</v>
      </c>
      <c r="V3" s="20">
        <v>-1</v>
      </c>
      <c r="W3" s="20">
        <v>1</v>
      </c>
      <c r="X3" s="4">
        <f t="shared" ca="1" si="1"/>
        <v>46130</v>
      </c>
      <c r="Y3" s="5">
        <f ca="1">IF(OR(T3+V3&lt;(TODAY()-1),ISNUMBER(SEARCH("&lt;h4&gt;",K3))),U3+V3,T3+V3)</f>
        <v>46130</v>
      </c>
      <c r="Z3" t="str">
        <f ca="1">CONCATENATE(IF(OR(Y3=X3,ISBLANK(Y3)),TEXT(X3,"mmmm d"),CONCATENATE(TEXT(X3,"mmmm d"),"-",IF(TEXT(X3,"mmmm")=TEXT(Y3,"mmmm"),TEXT(Y3,"d"),TEXT(Y3,"mmmm d")))),", ",YEAR(Y3))</f>
        <v>April 18, 2026</v>
      </c>
      <c r="AA3" s="7">
        <f t="shared" si="2"/>
        <v>45156</v>
      </c>
      <c r="AB3" s="14">
        <f t="shared" si="3"/>
        <v>45766</v>
      </c>
      <c r="AC3" t="s">
        <v>1698</v>
      </c>
      <c r="AD3" s="23" t="str">
        <f t="shared" ca="1" si="4"/>
        <v>&lt;add-to-calendar-button  name="Paris Singing"   location="American Church in Paris, 65 Quai d'Orsay, 75007 Paris, France"   description="10:30-4pm; shapenotesingings.com"   options="'Apple','Google','iCal','Outlook.com'"   styleLight="--btn-background: #550000; --btn-text: #fff; --btn-shadow:#fff;"startDate="2026-04-18"{endDate="2026-04-18" startTime="10:30" endTime="16:00" timeZone="Europe/Paris" &gt;&lt;/add-to-calendar-button&gt;</v>
      </c>
      <c r="AE3" s="24">
        <v>0.4375</v>
      </c>
      <c r="AF3" s="24">
        <v>0.66666666666666663</v>
      </c>
      <c r="AG3" s="25" t="s">
        <v>1545</v>
      </c>
    </row>
    <row r="4" spans="1:33" x14ac:dyDescent="0.3">
      <c r="A4" t="s">
        <v>8</v>
      </c>
      <c r="B4" t="s">
        <v>151</v>
      </c>
      <c r="C4" t="s">
        <v>1137</v>
      </c>
      <c r="D4" t="s">
        <v>854</v>
      </c>
      <c r="E4" t="s">
        <v>32</v>
      </c>
      <c r="F4" t="s">
        <v>66</v>
      </c>
      <c r="G4" s="7">
        <f t="shared" ca="1" si="0"/>
        <v>46023</v>
      </c>
      <c r="H4" t="s">
        <v>855</v>
      </c>
      <c r="L4" t="s">
        <v>950</v>
      </c>
      <c r="M4" s="16" t="s">
        <v>857</v>
      </c>
      <c r="N4" s="16" t="s">
        <v>856</v>
      </c>
      <c r="O4" s="7">
        <v>44936</v>
      </c>
      <c r="P4" s="7" t="s">
        <v>926</v>
      </c>
      <c r="Q4" s="18">
        <v>1</v>
      </c>
      <c r="R4" s="18"/>
      <c r="S4" s="18"/>
      <c r="T4" s="4">
        <f>DATE('Annual Singings'!AI$2,1,1)</f>
        <v>45658</v>
      </c>
      <c r="U4" s="4">
        <f>DATE('Annual Singings'!AJ$2,1,1)</f>
        <v>46023</v>
      </c>
      <c r="V4" s="20">
        <v>0</v>
      </c>
      <c r="W4" s="20">
        <v>1</v>
      </c>
      <c r="X4" s="4">
        <f t="shared" ca="1" si="1"/>
        <v>46023</v>
      </c>
      <c r="Y4" s="5">
        <f ca="1">IF(OR(T4+V4&lt;(TODAY()-1),ISNUMBER(SEARCH("&lt;h4&gt;",K4))),U4+V4,T4+V4)</f>
        <v>46023</v>
      </c>
      <c r="Z4" t="str">
        <f ca="1">CONCATENATE(IF(OR(Y4=X4,ISBLANK(Y4)),TEXT(X4,"mmmm d"),CONCATENATE(TEXT(X4,"mmmm d"),"-",TEXT(Y4,"d"))),", ",YEAR(Y4))</f>
        <v>January 1, 2026</v>
      </c>
      <c r="AA4" s="7">
        <f t="shared" si="2"/>
        <v>44936</v>
      </c>
      <c r="AB4" s="14">
        <f t="shared" si="3"/>
        <v>45658</v>
      </c>
      <c r="AC4" t="s">
        <v>1198</v>
      </c>
      <c r="AD4" s="23" t="str">
        <f t="shared" ca="1" si="4"/>
        <v>&lt;add-to-calendar-button  name="Dominic Ciavonne Ziegler Memorial Singing"   location="Old Felta Schoolhouse, Felta Rd &amp; Foreman Ln, Healdsburg CA 95448"   description="shapenotesingings.com"   options="'Apple','Google','iCal','Outlook.com'"   styleLight="--btn-background: #550000; --btn-text: #fff; --btn-shadow:#fff;"startDate="2026-01-01"{endDate="2026-01-01" &gt;&lt;/add-to-calendar-button&gt;</v>
      </c>
      <c r="AE4" s="24"/>
      <c r="AF4" s="24"/>
      <c r="AG4" s="25" t="s">
        <v>1534</v>
      </c>
    </row>
    <row r="5" spans="1:33" x14ac:dyDescent="0.3">
      <c r="A5" t="s">
        <v>8</v>
      </c>
      <c r="B5" t="s">
        <v>17</v>
      </c>
      <c r="C5" t="s">
        <v>1140</v>
      </c>
      <c r="D5" t="s">
        <v>18</v>
      </c>
      <c r="E5" t="s">
        <v>33</v>
      </c>
      <c r="F5" t="s">
        <v>66</v>
      </c>
      <c r="G5" s="7">
        <f t="shared" ca="1" si="0"/>
        <v>46023</v>
      </c>
      <c r="H5" s="5" t="s">
        <v>148</v>
      </c>
      <c r="I5" t="s">
        <v>1028</v>
      </c>
      <c r="L5" t="s">
        <v>951</v>
      </c>
      <c r="M5" s="16" t="s">
        <v>1029</v>
      </c>
      <c r="N5" s="16" t="s">
        <v>121</v>
      </c>
      <c r="O5" s="7">
        <v>44936</v>
      </c>
      <c r="P5" s="7" t="s">
        <v>926</v>
      </c>
      <c r="Q5" s="18">
        <v>1</v>
      </c>
      <c r="R5" s="18"/>
      <c r="S5" s="18"/>
      <c r="T5" s="4">
        <f>DATE('Annual Singings'!AI$2,1,1)</f>
        <v>45658</v>
      </c>
      <c r="U5" s="4">
        <f>DATE('Annual Singings'!AJ$2,1,1)</f>
        <v>46023</v>
      </c>
      <c r="V5" s="20">
        <v>0</v>
      </c>
      <c r="W5" s="18">
        <v>1</v>
      </c>
      <c r="X5" s="4">
        <f t="shared" ca="1" si="1"/>
        <v>46023</v>
      </c>
      <c r="Y5" s="5">
        <f ca="1">IF(OR(T5+V5&lt;(TODAY()-1),ISNUMBER(SEARCH("&lt;h4&gt;",K5))),U5+V5,T5+V5)</f>
        <v>46023</v>
      </c>
      <c r="Z5" t="str">
        <f ca="1">CONCATENATE(IF(OR(Y5=X5,ISBLANK(Y5)),TEXT(X5,"mmmm d"),CONCATENATE(TEXT(X5,"mmmm d"),"-",TEXT(Y5,"d"))),", ",YEAR(Y5))</f>
        <v>January 1, 2026</v>
      </c>
      <c r="AA5" s="7">
        <f t="shared" si="2"/>
        <v>44936</v>
      </c>
      <c r="AB5" s="14">
        <f t="shared" si="3"/>
        <v>45658</v>
      </c>
      <c r="AC5" t="s">
        <v>1199</v>
      </c>
      <c r="AD5" s="23" t="str">
        <f t="shared" ca="1" si="4"/>
        <v>&lt;add-to-calendar-button  name="New Year's Day Georgian Harmony Singing"   location="Hollingsworth Home, 1547 Adams Clarke Rd, Commerce GA"   description="10am; shapenotesingings.com"   options="'Apple','Google','iCal','Outlook.com'"   styleLight="--btn-background: #550000; --btn-text: #fff; --btn-shadow:#fff;"startDate="2026-01-01"{endDate="2026-01-01" startTime="10:00" endTime="15:00" timeZone="America/New_York" &gt;&lt;/add-to-calendar-button&gt;</v>
      </c>
      <c r="AE5" s="24">
        <v>0.41666666666666669</v>
      </c>
      <c r="AF5" s="24">
        <v>0.625</v>
      </c>
      <c r="AG5" s="25" t="s">
        <v>1532</v>
      </c>
    </row>
    <row r="6" spans="1:33" x14ac:dyDescent="0.3">
      <c r="A6" t="s">
        <v>8</v>
      </c>
      <c r="B6" t="s">
        <v>17</v>
      </c>
      <c r="C6" t="s">
        <v>1140</v>
      </c>
      <c r="D6" t="s">
        <v>73</v>
      </c>
      <c r="E6" t="s">
        <v>32</v>
      </c>
      <c r="F6" t="s">
        <v>891</v>
      </c>
      <c r="G6" s="7">
        <f t="shared" ca="1" si="0"/>
        <v>45907</v>
      </c>
      <c r="H6" s="5" t="s">
        <v>620</v>
      </c>
      <c r="I6" t="s">
        <v>1028</v>
      </c>
      <c r="K6" t="s">
        <v>1808</v>
      </c>
      <c r="M6" s="16" t="s">
        <v>74</v>
      </c>
      <c r="N6" s="16" t="s">
        <v>132</v>
      </c>
      <c r="O6" s="7">
        <v>45168</v>
      </c>
      <c r="P6" s="7" t="s">
        <v>1702</v>
      </c>
      <c r="Q6" s="18">
        <v>9</v>
      </c>
      <c r="R6" s="18">
        <v>1</v>
      </c>
      <c r="S6" s="18">
        <v>1</v>
      </c>
      <c r="T6" s="4">
        <f>DATE('Annual Singings'!AI$2,$Q6,1+(($R6-($S6&gt;=WEEKDAY(DATE('Annual Singings'!AI$2,$Q6,1))))*7)+($S6-WEEKDAY(DATE('Annual Singings'!AI$2,$Q6,1))))</f>
        <v>45907</v>
      </c>
      <c r="U6" s="4">
        <f>DATE('Annual Singings'!AJ$2,$Q6,1+(($R6-($S6&gt;=WEEKDAY(DATE('Annual Singings'!AJ$2,$Q6,1))))*7)+($S6-WEEKDAY(DATE('Annual Singings'!AJ$2,$Q6,1))))</f>
        <v>46271</v>
      </c>
      <c r="V6" s="20">
        <v>0</v>
      </c>
      <c r="W6" s="20">
        <v>1</v>
      </c>
      <c r="X6" s="4">
        <f t="shared" ca="1" si="1"/>
        <v>45907</v>
      </c>
      <c r="Y6" s="5">
        <f ca="1">IF(OR(T6+V6&lt;(NOW()-0.5),ISNUMBER(SEARCH("&lt;h4&gt;",K6))),U6+V6,T6+V6)</f>
        <v>45907</v>
      </c>
      <c r="Z6" t="str">
        <f t="shared" ref="Z6:Z15" ca="1" si="5">CONCATENATE(IF(OR(Y6=X6,ISBLANK(Y6)),TEXT(X6,"mmmm d"),CONCATENATE(TEXT(X6,"mmmm d"),"-",IF(TEXT(X6,"mmmm")=TEXT(Y6,"mmmm"),TEXT(Y6,"d"),TEXT(Y6,"mmmm d")))),", ",YEAR(Y6))</f>
        <v>September 7, 2025</v>
      </c>
      <c r="AA6" s="7">
        <f t="shared" si="2"/>
        <v>45168</v>
      </c>
      <c r="AB6" s="14">
        <f t="shared" si="3"/>
        <v>45907</v>
      </c>
      <c r="AC6" t="s">
        <v>1350</v>
      </c>
      <c r="AD6" s="23" t="str">
        <f t="shared" ca="1" si="4"/>
        <v>&lt;add-to-calendar-button  name="Shiloh-Littlevine Singing"   location="Shiloh Primitive Baptist Church, 225 Shiloh Church Road, Waco GA"   description="10am; shapenotesingings.com"   options="'Apple','Google','iCal','Outlook.com'"   styleLight="--btn-background: #550000; --btn-text: #fff; --btn-shadow:#fff;"startDate="2025-09-07"{endDate="2025-09-07" startTime="10:00" endTime="15:00" timeZone="America/New_York" &gt;&lt;/add-to-calendar-button&gt;</v>
      </c>
      <c r="AE6" s="24">
        <v>0.41666666666666669</v>
      </c>
      <c r="AF6" s="24">
        <v>0.625</v>
      </c>
      <c r="AG6" s="25" t="s">
        <v>1532</v>
      </c>
    </row>
    <row r="7" spans="1:33" x14ac:dyDescent="0.3">
      <c r="A7" t="s">
        <v>8</v>
      </c>
      <c r="B7" t="s">
        <v>11</v>
      </c>
      <c r="C7" t="s">
        <v>1134</v>
      </c>
      <c r="D7" t="s">
        <v>197</v>
      </c>
      <c r="E7" t="s">
        <v>32</v>
      </c>
      <c r="F7" t="s">
        <v>69</v>
      </c>
      <c r="G7" s="7">
        <f t="shared" ca="1" si="0"/>
        <v>46067</v>
      </c>
      <c r="H7" s="5" t="s">
        <v>196</v>
      </c>
      <c r="I7" t="s">
        <v>1040</v>
      </c>
      <c r="M7" s="16" t="s">
        <v>195</v>
      </c>
      <c r="N7" s="16" t="s">
        <v>198</v>
      </c>
      <c r="O7" s="7">
        <v>44936</v>
      </c>
      <c r="P7" s="7" t="s">
        <v>926</v>
      </c>
      <c r="Q7" s="18">
        <v>2</v>
      </c>
      <c r="R7" s="18">
        <v>3</v>
      </c>
      <c r="S7" s="18">
        <v>1</v>
      </c>
      <c r="T7" s="4">
        <f>DATE('Annual Singings'!AI$2,$Q7,1+(($R7-($S7&gt;=WEEKDAY(DATE('Annual Singings'!AI$2,$Q7,1))))*7)+($S7-WEEKDAY(DATE('Annual Singings'!AI$2,$Q7,1))))</f>
        <v>45704</v>
      </c>
      <c r="U7" s="4">
        <f>DATE('Annual Singings'!AJ$2,$Q7,1+(($R7-($S7&gt;=WEEKDAY(DATE('Annual Singings'!AJ$2,$Q7,1))))*7)+($S7-WEEKDAY(DATE('Annual Singings'!AJ$2,$Q7,1))))</f>
        <v>46068</v>
      </c>
      <c r="V7" s="20">
        <v>-1</v>
      </c>
      <c r="W7" s="20">
        <v>1</v>
      </c>
      <c r="X7" s="4">
        <f t="shared" ca="1" si="1"/>
        <v>46067</v>
      </c>
      <c r="Y7" s="5">
        <f t="shared" ref="Y7:Y15" ca="1" si="6">IF(OR(T7+V7&lt;(TODAY()-1),ISNUMBER(SEARCH("&lt;h4&gt;",K7))),U7+V7,T7+V7)</f>
        <v>46067</v>
      </c>
      <c r="Z7" t="str">
        <f t="shared" ca="1" si="5"/>
        <v>February 14, 2026</v>
      </c>
      <c r="AA7" s="7">
        <f t="shared" si="2"/>
        <v>44936</v>
      </c>
      <c r="AB7" s="14">
        <f t="shared" si="3"/>
        <v>45703</v>
      </c>
      <c r="AC7" t="s">
        <v>1218</v>
      </c>
      <c r="AD7" s="23" t="str">
        <f t="shared" ca="1" si="4"/>
        <v>&lt;add-to-calendar-button  name="Alabama Collegiate Singing"   location="University Church of Christ, 1200 Julia Tutwiler Dr, Tuscaloosa, Alabama 35404"   description="9:30am; shapenotesingings.com"   options="'Apple','Google','iCal','Outlook.com'"   styleLight="--btn-background: #550000; --btn-text: #fff; --btn-shadow:#fff;"startDate="2026-02-14"{endDate="2026-02-14" startTime="09:30" endTime="15:00" timeZone="America/Chicago" &gt;&lt;/add-to-calendar-button&gt;</v>
      </c>
      <c r="AE7" s="24">
        <v>0.39583333333333331</v>
      </c>
      <c r="AF7" s="24">
        <v>0.625</v>
      </c>
      <c r="AG7" s="25" t="s">
        <v>1533</v>
      </c>
    </row>
    <row r="8" spans="1:33" x14ac:dyDescent="0.3">
      <c r="A8" t="s">
        <v>8</v>
      </c>
      <c r="B8" t="s">
        <v>176</v>
      </c>
      <c r="C8" t="s">
        <v>1157</v>
      </c>
      <c r="D8" t="s">
        <v>263</v>
      </c>
      <c r="E8" t="s">
        <v>32</v>
      </c>
      <c r="F8" t="s">
        <v>259</v>
      </c>
      <c r="G8" s="7">
        <f t="shared" ca="1" si="0"/>
        <v>46102</v>
      </c>
      <c r="H8" s="29" t="s">
        <v>830</v>
      </c>
      <c r="M8" s="16" t="s">
        <v>261</v>
      </c>
      <c r="N8" s="16" t="s">
        <v>262</v>
      </c>
      <c r="O8" s="7">
        <v>44936</v>
      </c>
      <c r="P8" s="7" t="s">
        <v>926</v>
      </c>
      <c r="Q8" s="18">
        <v>3</v>
      </c>
      <c r="R8" s="18">
        <v>4</v>
      </c>
      <c r="S8" s="18">
        <v>1</v>
      </c>
      <c r="T8" s="4">
        <f>DATE('Annual Singings'!AI$2,$Q8,1+(($R8-($S8&gt;=WEEKDAY(DATE('Annual Singings'!AI$2,$Q8,1))))*7)+($S8-WEEKDAY(DATE('Annual Singings'!AI$2,$Q8,1))))</f>
        <v>45739</v>
      </c>
      <c r="U8" s="4">
        <f>DATE('Annual Singings'!AJ$2,$Q8,1+(($R8-($S8&gt;=WEEKDAY(DATE('Annual Singings'!AJ$2,$Q8,1))))*7)+($S8-WEEKDAY(DATE('Annual Singings'!AJ$2,$Q8,1))))</f>
        <v>46103</v>
      </c>
      <c r="V8" s="20">
        <v>-1</v>
      </c>
      <c r="W8" s="20">
        <v>1</v>
      </c>
      <c r="X8" s="4">
        <f t="shared" ca="1" si="1"/>
        <v>46102</v>
      </c>
      <c r="Y8" s="5">
        <f t="shared" ca="1" si="6"/>
        <v>46102</v>
      </c>
      <c r="Z8" t="str">
        <f t="shared" ca="1" si="5"/>
        <v>March 21, 2026</v>
      </c>
      <c r="AA8" s="7">
        <f t="shared" si="2"/>
        <v>44936</v>
      </c>
      <c r="AB8" s="14">
        <f t="shared" si="3"/>
        <v>45738</v>
      </c>
      <c r="AC8" t="s">
        <v>1236</v>
      </c>
      <c r="AD8" s="23" t="str">
        <f t="shared" ca="1" si="4"/>
        <v>&lt;add-to-calendar-button  name="Pittsburgh Regional All-Day Singing"   location="Crossroads Presbyterian Church, 2310 Haymaker Road, Monroeville, Pennsylvania 15146"   description="shapenotesingings.com"   options="'Apple','Google','iCal','Outlook.com'"   styleLight="--btn-background: #550000; --btn-text: #fff; --btn-shadow:#fff;"startDate="2026-03-21"{endDate="2026-03-21" &gt;&lt;/add-to-calendar-button&gt;</v>
      </c>
      <c r="AE8" s="24"/>
      <c r="AF8" s="24"/>
      <c r="AG8" s="25" t="s">
        <v>1532</v>
      </c>
    </row>
    <row r="9" spans="1:33" x14ac:dyDescent="0.3">
      <c r="A9" t="s">
        <v>144</v>
      </c>
      <c r="B9" t="s">
        <v>144</v>
      </c>
      <c r="C9" t="s">
        <v>1162</v>
      </c>
      <c r="D9" t="s">
        <v>393</v>
      </c>
      <c r="E9" t="s">
        <v>32</v>
      </c>
      <c r="F9" t="s">
        <v>385</v>
      </c>
      <c r="G9" s="7">
        <f t="shared" ca="1" si="0"/>
        <v>45794</v>
      </c>
      <c r="H9" s="5" t="s">
        <v>390</v>
      </c>
      <c r="I9" t="s">
        <v>1041</v>
      </c>
      <c r="L9" t="s">
        <v>952</v>
      </c>
      <c r="M9" s="16" t="s">
        <v>391</v>
      </c>
      <c r="N9" s="16" t="s">
        <v>392</v>
      </c>
      <c r="O9" s="7">
        <v>44967</v>
      </c>
      <c r="P9" s="7" t="s">
        <v>1167</v>
      </c>
      <c r="Q9" s="18">
        <v>5</v>
      </c>
      <c r="R9" s="18">
        <v>3</v>
      </c>
      <c r="S9" s="18">
        <v>1</v>
      </c>
      <c r="T9" s="4">
        <f>DATE('Annual Singings'!AI$2,$Q9,1+(($R9-($S9&gt;=WEEKDAY(DATE('Annual Singings'!AI$2,$Q9,1))))*7)+($S9-WEEKDAY(DATE('Annual Singings'!AI$2,$Q9,1))))</f>
        <v>45795</v>
      </c>
      <c r="U9" s="4">
        <f>DATE('Annual Singings'!AJ$2,$Q9,1+(($R9-($S9&gt;=WEEKDAY(DATE('Annual Singings'!AJ$2,$Q9,1))))*7)+($S9-WEEKDAY(DATE('Annual Singings'!AJ$2,$Q9,1))))</f>
        <v>46159</v>
      </c>
      <c r="V9" s="20">
        <v>-1</v>
      </c>
      <c r="W9" s="20">
        <v>1</v>
      </c>
      <c r="X9" s="4">
        <f t="shared" ca="1" si="1"/>
        <v>45794</v>
      </c>
      <c r="Y9" s="5">
        <f t="shared" ca="1" si="6"/>
        <v>45794</v>
      </c>
      <c r="Z9" t="str">
        <f t="shared" ca="1" si="5"/>
        <v>May 17, 2025</v>
      </c>
      <c r="AA9" s="7">
        <f t="shared" si="2"/>
        <v>44967</v>
      </c>
      <c r="AB9" s="14">
        <f t="shared" si="3"/>
        <v>45794</v>
      </c>
      <c r="AC9" t="s">
        <v>1272</v>
      </c>
      <c r="AD9" s="23" t="str">
        <f t="shared" ca="1" si="4"/>
        <v>&lt;add-to-calendar-button  name="Goodshaw Sacred Harp Singing"   location="Goodshaw Baptist Church, Chapel Street, Goodshaw, Rossendale, Lancashire, UK"   description="10:30am; shapenotesingings.com"   options="'Apple','Google','iCal','Outlook.com'"   styleLight="--btn-background: #550000; --btn-text: #fff; --btn-shadow:#fff;"startDate="2025-05-17"{endDate="2025-05-17" &gt;&lt;/add-to-calendar-button&gt;</v>
      </c>
      <c r="AE9" s="24"/>
      <c r="AF9" s="24"/>
      <c r="AG9" s="25" t="s">
        <v>1535</v>
      </c>
    </row>
    <row r="10" spans="1:33" x14ac:dyDescent="0.3">
      <c r="A10" t="s">
        <v>8</v>
      </c>
      <c r="B10" t="s">
        <v>11</v>
      </c>
      <c r="C10" t="s">
        <v>1134</v>
      </c>
      <c r="D10" t="s">
        <v>297</v>
      </c>
      <c r="E10" t="s">
        <v>32</v>
      </c>
      <c r="F10" t="s">
        <v>590</v>
      </c>
      <c r="G10" s="7">
        <f t="shared" ca="1" si="0"/>
        <v>45886</v>
      </c>
      <c r="H10" s="5" t="s">
        <v>591</v>
      </c>
      <c r="I10" t="s">
        <v>1040</v>
      </c>
      <c r="L10" t="s">
        <v>976</v>
      </c>
      <c r="M10" s="16" t="s">
        <v>592</v>
      </c>
      <c r="N10" s="16" t="s">
        <v>593</v>
      </c>
      <c r="O10" s="7">
        <v>44936</v>
      </c>
      <c r="P10" s="7" t="s">
        <v>926</v>
      </c>
      <c r="Q10" s="18">
        <v>8</v>
      </c>
      <c r="R10" s="18">
        <v>3</v>
      </c>
      <c r="S10" s="18">
        <v>1</v>
      </c>
      <c r="T10" s="4">
        <f>DATE('Annual Singings'!AI$2,$Q10,1+(($R10-($S10&gt;=WEEKDAY(DATE('Annual Singings'!AI$2,$Q10,1))))*7)+($S10-WEEKDAY(DATE('Annual Singings'!AI$2,$Q10,1))))</f>
        <v>45886</v>
      </c>
      <c r="U10" s="4">
        <f>DATE('Annual Singings'!AJ$2,$Q10,1+(($R10-($S10&gt;=WEEKDAY(DATE('Annual Singings'!AJ$2,$Q10,1))))*7)+($S10-WEEKDAY(DATE('Annual Singings'!AJ$2,$Q10,1))))</f>
        <v>46250</v>
      </c>
      <c r="V10" s="20">
        <v>0</v>
      </c>
      <c r="W10" s="20">
        <v>1</v>
      </c>
      <c r="X10" s="4">
        <f t="shared" ca="1" si="1"/>
        <v>45886</v>
      </c>
      <c r="Y10" s="5">
        <f t="shared" ca="1" si="6"/>
        <v>45886</v>
      </c>
      <c r="Z10" t="str">
        <f t="shared" ca="1" si="5"/>
        <v>August 17, 2025</v>
      </c>
      <c r="AA10" s="7">
        <f t="shared" si="2"/>
        <v>44936</v>
      </c>
      <c r="AB10" s="14">
        <f t="shared" si="3"/>
        <v>45886</v>
      </c>
      <c r="AC10" t="s">
        <v>1337</v>
      </c>
      <c r="AD10" s="23" t="str">
        <f t="shared" ca="1" si="4"/>
        <v>&lt;add-to-calendar-button  name="Cleburne County Convention"   location="Edwardsville Baptist Church, 4062 Burton St, Heflin, AL 36264"   description="9:30am; shapenotesingings.com"   options="'Apple','Google','iCal','Outlook.com'"   styleLight="--btn-background: #550000; --btn-text: #fff; --btn-shadow:#fff;"startDate="2025-08-17"{endDate="2025-08-17" startTime="09:30" endTime="15:00" timeZone="America/Chicago" &gt;&lt;/add-to-calendar-button&gt;</v>
      </c>
      <c r="AE10" s="24">
        <v>0.39583333333333331</v>
      </c>
      <c r="AF10" s="24">
        <v>0.625</v>
      </c>
      <c r="AG10" s="25" t="s">
        <v>1533</v>
      </c>
    </row>
    <row r="11" spans="1:33" x14ac:dyDescent="0.3">
      <c r="A11" t="s">
        <v>653</v>
      </c>
      <c r="B11" t="s">
        <v>654</v>
      </c>
      <c r="D11" t="s">
        <v>869</v>
      </c>
      <c r="E11" t="s">
        <v>32</v>
      </c>
      <c r="F11" t="s">
        <v>894</v>
      </c>
      <c r="G11" s="7">
        <f t="shared" ca="1" si="0"/>
        <v>45922</v>
      </c>
      <c r="H11" s="5" t="s">
        <v>870</v>
      </c>
      <c r="L11" t="s">
        <v>1737</v>
      </c>
      <c r="M11" s="16" t="s">
        <v>871</v>
      </c>
      <c r="N11" s="16" t="s">
        <v>872</v>
      </c>
      <c r="O11" s="7">
        <v>45117</v>
      </c>
      <c r="P11" s="7" t="s">
        <v>1663</v>
      </c>
      <c r="Q11" s="18">
        <v>9</v>
      </c>
      <c r="R11" s="18">
        <v>3</v>
      </c>
      <c r="S11" s="18">
        <v>1</v>
      </c>
      <c r="T11" s="4">
        <f>DATE('Annual Singings'!AI$2,$Q11,1+(($R11-($S11&gt;=WEEKDAY(DATE('Annual Singings'!AI$2,$Q11,1))))*7)+($S11-WEEKDAY(DATE('Annual Singings'!AI$2,$Q11,1))))</f>
        <v>45921</v>
      </c>
      <c r="U11" s="4">
        <f>DATE('Annual Singings'!AJ$2,$Q11,1+(($R11-($S11&gt;=WEEKDAY(DATE('Annual Singings'!AJ$2,$Q11,1))))*7)+($S11-WEEKDAY(DATE('Annual Singings'!AJ$2,$Q11,1))))</f>
        <v>46285</v>
      </c>
      <c r="V11" s="20">
        <v>5</v>
      </c>
      <c r="W11" s="20">
        <v>5</v>
      </c>
      <c r="X11" s="4">
        <f t="shared" ca="1" si="1"/>
        <v>45922</v>
      </c>
      <c r="Y11" s="5">
        <f t="shared" ca="1" si="6"/>
        <v>45926</v>
      </c>
      <c r="Z11" t="str">
        <f t="shared" ca="1" si="5"/>
        <v>September 22-26, 2025</v>
      </c>
      <c r="AA11" s="7">
        <f t="shared" si="2"/>
        <v>45117</v>
      </c>
      <c r="AB11" s="14">
        <f t="shared" si="3"/>
        <v>45922</v>
      </c>
      <c r="AC11" t="s">
        <v>1363</v>
      </c>
      <c r="AD11" s="23" t="str">
        <f t="shared" ca="1" si="4"/>
        <v>&lt;add-to-calendar-button  name="Camp FaSoLa Europe"   location="Wichrowe Wzgórze, 83-333 Chmielno, Poland"   description="shapenotesingings.com"   options="'Apple','Google','iCal','Outlook.com'"   styleLight="--btn-background: #550000; --btn-text: #fff; --btn-shadow:#fff;"{  startDate="2025-09-22"  endDate="2025-09-26"} &gt;&lt;/add-to-calendar-button&gt;</v>
      </c>
      <c r="AE11" s="24"/>
      <c r="AF11" s="24"/>
      <c r="AG11" s="25" t="s">
        <v>1544</v>
      </c>
    </row>
    <row r="12" spans="1:33" x14ac:dyDescent="0.3">
      <c r="A12" t="s">
        <v>8</v>
      </c>
      <c r="B12" t="s">
        <v>752</v>
      </c>
      <c r="C12" t="s">
        <v>1146</v>
      </c>
      <c r="D12" t="s">
        <v>753</v>
      </c>
      <c r="E12" t="s">
        <v>89</v>
      </c>
      <c r="F12" t="s">
        <v>749</v>
      </c>
      <c r="G12" s="7">
        <f t="shared" ca="1" si="0"/>
        <v>45976</v>
      </c>
      <c r="H12" s="5" t="s">
        <v>754</v>
      </c>
      <c r="I12" t="s">
        <v>1028</v>
      </c>
      <c r="L12" t="s">
        <v>1766</v>
      </c>
      <c r="M12" s="16" t="s">
        <v>750</v>
      </c>
      <c r="N12" s="16" t="s">
        <v>751</v>
      </c>
      <c r="O12" s="7">
        <v>45226</v>
      </c>
      <c r="P12" s="7" t="s">
        <v>1770</v>
      </c>
      <c r="Q12" s="18">
        <v>11</v>
      </c>
      <c r="R12" s="18">
        <v>3</v>
      </c>
      <c r="S12" s="18">
        <v>1</v>
      </c>
      <c r="T12" s="4">
        <f>DATE('Annual Singings'!AI$2,$Q12,1+(($R12-($S12&gt;=WEEKDAY(DATE('Annual Singings'!AI$2,$Q12,1))))*7)+($S12-WEEKDAY(DATE('Annual Singings'!AI$2,$Q12,1))))</f>
        <v>45977</v>
      </c>
      <c r="U12" s="4">
        <f>DATE('Annual Singings'!AJ$2,$Q12,1+(($R12-($S12&gt;=WEEKDAY(DATE('Annual Singings'!AJ$2,$Q12,1))))*7)+($S12-WEEKDAY(DATE('Annual Singings'!AJ$2,$Q12,1))))</f>
        <v>46341</v>
      </c>
      <c r="V12" s="20">
        <v>-1</v>
      </c>
      <c r="W12" s="20">
        <v>1</v>
      </c>
      <c r="X12" s="4">
        <f t="shared" ca="1" si="1"/>
        <v>45976</v>
      </c>
      <c r="Y12" s="5">
        <f t="shared" ca="1" si="6"/>
        <v>45976</v>
      </c>
      <c r="Z12" t="str">
        <f t="shared" ca="1" si="5"/>
        <v>November 15, 2025</v>
      </c>
      <c r="AA12" s="7">
        <f t="shared" si="2"/>
        <v>45226</v>
      </c>
      <c r="AB12" s="14">
        <f t="shared" si="3"/>
        <v>45976</v>
      </c>
      <c r="AC12" t="s">
        <v>1390</v>
      </c>
      <c r="AD12" s="23" t="str">
        <f t="shared" ca="1" si="4"/>
        <v>&lt;add-to-calendar-button  name="Northeast Kansas Singing"   location="The White Schoolhouse, 1510 North 3rd Street, Lawrence, Kansas"   description="10am; shapenotesingings.com"   options="'Apple','Google','iCal','Outlook.com'"   styleLight="--btn-background: #550000; --btn-text: #fff; --btn-shadow:#fff;"startDate="2025-11-15"{endDate="2025-11-15" startTime="10:00" endTime="15:00" timeZone="America/Chicago" &gt;&lt;/add-to-calendar-button&gt;</v>
      </c>
      <c r="AE12" s="24">
        <v>0.41666666666666669</v>
      </c>
      <c r="AF12" s="24">
        <v>0.625</v>
      </c>
      <c r="AG12" s="25" t="s">
        <v>1533</v>
      </c>
    </row>
    <row r="13" spans="1:33" x14ac:dyDescent="0.3">
      <c r="A13" t="s">
        <v>8</v>
      </c>
      <c r="B13" t="s">
        <v>523</v>
      </c>
      <c r="C13" t="s">
        <v>1145</v>
      </c>
      <c r="D13" t="s">
        <v>729</v>
      </c>
      <c r="E13" t="s">
        <v>34</v>
      </c>
      <c r="F13" t="s">
        <v>726</v>
      </c>
      <c r="G13" s="7">
        <f t="shared" ca="1" si="0"/>
        <v>45969</v>
      </c>
      <c r="H13" s="5" t="s">
        <v>732</v>
      </c>
      <c r="K13" t="s">
        <v>1762</v>
      </c>
      <c r="L13" t="s">
        <v>982</v>
      </c>
      <c r="M13" s="16" t="s">
        <v>730</v>
      </c>
      <c r="N13" s="16" t="s">
        <v>731</v>
      </c>
      <c r="O13" s="7">
        <v>44936</v>
      </c>
      <c r="P13" s="7" t="s">
        <v>926</v>
      </c>
      <c r="Q13" s="18">
        <v>11</v>
      </c>
      <c r="R13" s="18">
        <v>2</v>
      </c>
      <c r="S13" s="18">
        <v>1</v>
      </c>
      <c r="T13" s="4">
        <f>DATE('Annual Singings'!AI$2,$Q13,1+(($R13-($S13&gt;=WEEKDAY(DATE('Annual Singings'!AI$2,$Q13,1))))*7)+($S13-WEEKDAY(DATE('Annual Singings'!AI$2,$Q13,1))))</f>
        <v>45970</v>
      </c>
      <c r="U13" s="4">
        <f>DATE('Annual Singings'!AJ$2,$Q13,1+(($R13-($S13&gt;=WEEKDAY(DATE('Annual Singings'!AJ$2,$Q13,1))))*7)+($S13-WEEKDAY(DATE('Annual Singings'!AJ$2,$Q13,1))))</f>
        <v>46334</v>
      </c>
      <c r="V13" s="20">
        <v>-1</v>
      </c>
      <c r="W13" s="20">
        <v>1</v>
      </c>
      <c r="X13" s="4">
        <f t="shared" ca="1" si="1"/>
        <v>45969</v>
      </c>
      <c r="Y13" s="5">
        <f t="shared" ca="1" si="6"/>
        <v>45969</v>
      </c>
      <c r="Z13" t="str">
        <f t="shared" ca="1" si="5"/>
        <v>November 8, 2025</v>
      </c>
      <c r="AA13" s="7">
        <f t="shared" si="2"/>
        <v>44936</v>
      </c>
      <c r="AB13" s="14">
        <f t="shared" si="3"/>
        <v>45969</v>
      </c>
      <c r="AC13" t="s">
        <v>1385</v>
      </c>
      <c r="AD13" s="23" t="str">
        <f t="shared" ca="1" si="4"/>
        <v>&lt;add-to-calendar-button  name="Johnny Lee and Kelly Day Memorial Cooper Book Singing"   location="2403 W 300 N, Camden, IN 46917"   description="shapenotesingings.com"   options="'Apple','Google','iCal','Outlook.com'"   styleLight="--btn-background: #550000; --btn-text: #fff; --btn-shadow:#fff;"startDate="2025-11-08"{endDate="2025-11-08" &gt;&lt;/add-to-calendar-button&gt;</v>
      </c>
      <c r="AE13" s="24"/>
      <c r="AF13" s="24"/>
      <c r="AG13" s="25" t="s">
        <v>1532</v>
      </c>
    </row>
    <row r="14" spans="1:33" x14ac:dyDescent="0.3">
      <c r="A14" t="s">
        <v>8</v>
      </c>
      <c r="B14" t="s">
        <v>11</v>
      </c>
      <c r="C14" t="s">
        <v>1134</v>
      </c>
      <c r="D14" t="s">
        <v>365</v>
      </c>
      <c r="E14" t="s">
        <v>32</v>
      </c>
      <c r="F14" t="s">
        <v>646</v>
      </c>
      <c r="G14" s="7">
        <f t="shared" ca="1" si="0"/>
        <v>45921</v>
      </c>
      <c r="H14" s="5" t="s">
        <v>647</v>
      </c>
      <c r="I14" t="s">
        <v>1028</v>
      </c>
      <c r="L14" t="s">
        <v>963</v>
      </c>
      <c r="M14" s="16" t="s">
        <v>1130</v>
      </c>
      <c r="N14" s="16" t="s">
        <v>366</v>
      </c>
      <c r="O14" s="7">
        <v>44936</v>
      </c>
      <c r="P14" s="7" t="s">
        <v>926</v>
      </c>
      <c r="Q14" s="18">
        <v>9</v>
      </c>
      <c r="R14" s="18">
        <v>3</v>
      </c>
      <c r="S14" s="18">
        <v>1</v>
      </c>
      <c r="T14" s="4">
        <f>DATE('Annual Singings'!AI$2,$Q14,1+(($R14-($S14&gt;=WEEKDAY(DATE('Annual Singings'!AI$2,$Q14,1))))*7)+($S14-WEEKDAY(DATE('Annual Singings'!AI$2,$Q14,1))))</f>
        <v>45921</v>
      </c>
      <c r="U14" s="4">
        <f>DATE('Annual Singings'!AJ$2,$Q14,1+(($R14-($S14&gt;=WEEKDAY(DATE('Annual Singings'!AJ$2,$Q14,1))))*7)+($S14-WEEKDAY(DATE('Annual Singings'!AJ$2,$Q14,1))))</f>
        <v>46285</v>
      </c>
      <c r="V14" s="20">
        <v>0</v>
      </c>
      <c r="W14" s="20">
        <v>1</v>
      </c>
      <c r="X14" s="4">
        <f t="shared" ca="1" si="1"/>
        <v>45921</v>
      </c>
      <c r="Y14" s="5">
        <f t="shared" ca="1" si="6"/>
        <v>45921</v>
      </c>
      <c r="Z14" t="str">
        <f t="shared" ca="1" si="5"/>
        <v>September 21, 2025</v>
      </c>
      <c r="AA14" s="7">
        <f t="shared" si="2"/>
        <v>44936</v>
      </c>
      <c r="AB14" s="14">
        <f t="shared" si="3"/>
        <v>45921</v>
      </c>
      <c r="AC14" t="s">
        <v>1361</v>
      </c>
      <c r="AD14" s="23" t="str">
        <f t="shared" ca="1" si="4"/>
        <v>&lt;add-to-calendar-button  name="Cornelius Benjamin Keeton and Travis Keeton Memorial Singing"   location="Shady Grove (Keeton Cemetery), 141 Keeton Lane, Nauvoo, Walker County, Alabama"   description="10am; shapenotesingings.com"   options="'Apple','Google','iCal','Outlook.com'"   styleLight="--btn-background: #550000; --btn-text: #fff; --btn-shadow:#fff;"startDate="2025-09-21"{endDate="2025-09-21" startTime="10:00" endTime="15:00" timeZone="America/Chicago" &gt;&lt;/add-to-calendar-button&gt;</v>
      </c>
      <c r="AE14" s="24">
        <v>0.41666666666666669</v>
      </c>
      <c r="AF14" s="24">
        <v>0.625</v>
      </c>
      <c r="AG14" s="25" t="s">
        <v>1533</v>
      </c>
    </row>
    <row r="15" spans="1:33" x14ac:dyDescent="0.3">
      <c r="A15" t="s">
        <v>8</v>
      </c>
      <c r="B15" t="s">
        <v>11</v>
      </c>
      <c r="C15" t="s">
        <v>1134</v>
      </c>
      <c r="D15" t="s">
        <v>467</v>
      </c>
      <c r="E15" t="s">
        <v>32</v>
      </c>
      <c r="F15" t="s">
        <v>891</v>
      </c>
      <c r="G15" s="7">
        <f t="shared" ca="1" si="0"/>
        <v>45907</v>
      </c>
      <c r="H15" s="5" t="s">
        <v>619</v>
      </c>
      <c r="I15" t="s">
        <v>1040</v>
      </c>
      <c r="L15" t="s">
        <v>1709</v>
      </c>
      <c r="M15" s="16" t="s">
        <v>1706</v>
      </c>
      <c r="N15" s="16" t="s">
        <v>1707</v>
      </c>
      <c r="O15" s="7">
        <v>44936</v>
      </c>
      <c r="P15" s="7" t="s">
        <v>926</v>
      </c>
      <c r="Q15" s="18">
        <v>9</v>
      </c>
      <c r="R15" s="18">
        <v>1</v>
      </c>
      <c r="S15" s="18">
        <v>1</v>
      </c>
      <c r="T15" s="4">
        <f>DATE('Annual Singings'!AI$2,$Q15,1+(($R15-($S15&gt;=WEEKDAY(DATE('Annual Singings'!AI$2,$Q15,1))))*7)+($S15-WEEKDAY(DATE('Annual Singings'!AI$2,$Q15,1))))</f>
        <v>45907</v>
      </c>
      <c r="U15" s="4">
        <f>DATE('Annual Singings'!AJ$2,$Q15,1+(($R15-($S15&gt;=WEEKDAY(DATE('Annual Singings'!AJ$2,$Q15,1))))*7)+($S15-WEEKDAY(DATE('Annual Singings'!AJ$2,$Q15,1))))</f>
        <v>46271</v>
      </c>
      <c r="V15" s="20">
        <v>0</v>
      </c>
      <c r="W15" s="20">
        <v>1</v>
      </c>
      <c r="X15" s="4">
        <f t="shared" ca="1" si="1"/>
        <v>45907</v>
      </c>
      <c r="Y15" s="5">
        <f t="shared" ca="1" si="6"/>
        <v>45907</v>
      </c>
      <c r="Z15" t="str">
        <f t="shared" ca="1" si="5"/>
        <v>September 7, 2025</v>
      </c>
      <c r="AA15" s="7">
        <f t="shared" si="2"/>
        <v>44936</v>
      </c>
      <c r="AB15" s="14">
        <f t="shared" si="3"/>
        <v>45907</v>
      </c>
      <c r="AC15" t="s">
        <v>1708</v>
      </c>
      <c r="AD15" s="23" t="str">
        <f t="shared" ca="1" si="4"/>
        <v>&lt;add-to-calendar-button  name="Clear Creek West Convention"   location="Pleasant Hill Church (Johnson Schoolhouse), 176 Pleasant Hill Loop, Carbon Hill, AL 35549"   description="9:30am; shapenotesingings.com"   options="'Apple','Google','iCal','Outlook.com'"   styleLight="--btn-background: #550000; --btn-text: #fff; --btn-shadow:#fff;"startDate="2025-09-07"{endDate="2025-09-07" startTime="09:30" endTime="15:00" timeZone="America/Chicago" &gt;&lt;/add-to-calendar-button&gt;</v>
      </c>
      <c r="AE15" s="24">
        <v>0.39583333333333331</v>
      </c>
      <c r="AF15" s="24">
        <v>0.625</v>
      </c>
      <c r="AG15" s="25" t="s">
        <v>1533</v>
      </c>
    </row>
    <row r="17" spans="1:33" x14ac:dyDescent="0.3">
      <c r="A17" t="s">
        <v>8</v>
      </c>
      <c r="B17" t="s">
        <v>357</v>
      </c>
      <c r="C17" t="s">
        <v>1143</v>
      </c>
      <c r="D17" t="s">
        <v>576</v>
      </c>
      <c r="E17" t="s">
        <v>32</v>
      </c>
      <c r="F17" t="s">
        <v>572</v>
      </c>
      <c r="G17" s="7">
        <f t="shared" ref="G17:G30" ca="1" si="7">X17</f>
        <v>45878</v>
      </c>
      <c r="H17" s="5" t="s">
        <v>573</v>
      </c>
      <c r="I17" t="s">
        <v>1028</v>
      </c>
      <c r="K17" t="s">
        <v>1807</v>
      </c>
      <c r="L17" t="s">
        <v>975</v>
      </c>
      <c r="M17" s="16" t="s">
        <v>574</v>
      </c>
      <c r="N17" s="16" t="s">
        <v>575</v>
      </c>
      <c r="O17" s="7">
        <v>45049</v>
      </c>
      <c r="P17" s="7" t="s">
        <v>1578</v>
      </c>
      <c r="Q17" s="18">
        <v>8</v>
      </c>
      <c r="R17" s="18">
        <v>2</v>
      </c>
      <c r="S17" s="18">
        <v>1</v>
      </c>
      <c r="T17" s="4">
        <f>DATE('Annual Singings'!AI$2,$Q17,1+(($R17-($S17&gt;=WEEKDAY(DATE('Annual Singings'!AI$2,$Q17,1))))*7)+($S17-WEEKDAY(DATE('Annual Singings'!AI$2,$Q17,1))))</f>
        <v>45879</v>
      </c>
      <c r="U17" s="4">
        <f>DATE('Annual Singings'!AJ$2,$Q17,1+(($R17-($S17&gt;=WEEKDAY(DATE('Annual Singings'!AJ$2,$Q17,1))))*7)+($S17-WEEKDAY(DATE('Annual Singings'!AJ$2,$Q17,1))))</f>
        <v>46243</v>
      </c>
      <c r="V17" s="20">
        <v>-1</v>
      </c>
      <c r="W17" s="20">
        <v>1</v>
      </c>
      <c r="X17" s="4">
        <f t="shared" ref="X17:X30" ca="1" si="8">Y17-(W17-1)</f>
        <v>45878</v>
      </c>
      <c r="Y17" s="5">
        <f ca="1">IF(OR(T17+V17&lt;(TODAY()-1),ISNUMBER(SEARCH("&lt;h4&gt;",K17))),U17+V17,T17+V17)</f>
        <v>45878</v>
      </c>
      <c r="Z17" t="str">
        <f t="shared" ref="Z17:Z30" ca="1" si="9">CONCATENATE(IF(OR(Y17=X17,ISBLANK(Y17)),TEXT(X17,"mmmm d"),CONCATENATE(TEXT(X17,"mmmm d"),"-",IF(TEXT(X17,"mmmm")=TEXT(Y17,"mmmm"),TEXT(Y17,"d"),TEXT(Y17,"mmmm d")))),", ",YEAR(Y17))</f>
        <v>August 9, 2025</v>
      </c>
      <c r="AA17" s="7">
        <f t="shared" ref="AA17:AA30" si="10">O17</f>
        <v>45049</v>
      </c>
      <c r="AB17" s="14">
        <f t="shared" ref="AB17:AB30" si="11">T17+V17-(W17-1)</f>
        <v>45878</v>
      </c>
      <c r="AC17" t="s">
        <v>1332</v>
      </c>
      <c r="AD17" s="23" t="str">
        <f t="shared" ref="AD17:AD30" ca="1" si="12">CONCATENATE("&lt;add-to-calendar-button  name=",CHAR(34),H17,CHAR(34),
IF(ISBLANK(M17),"",CONCATENATE("   location=",CHAR(34),RIGHT(M17,LEN(M17)-SEARCH("|",M17)-1),CHAR(34))),
"   description=",CHAR(34),IF(ISBLANK(I17),"",CONCATENATE(I17,"; ")),"shapenotesingings.com",CHAR(34),
"   options=",CHAR(34),"'Apple','Google','iCal','Outlook.com'",CHAR(34),"   styleLight=",CHAR(34),"--btn-background: #550000; --btn-text: #fff; --btn-shadow:#fff;",CHAR(34),
IF(W17=1,CONCATENATE(
"startDate=",CHAR(34),TEXT(G17,"yyyy-mm-dd"),CHAR(34),
"{endDate=",CHAR(34),TEXT(G17,"yyyy-mm-dd"),CHAR(34),
IF(OR(ISBLANK(AE17),ISBLANK(AF17)),"",(CONCATENATE(" startTime=",CHAR(34),TEXT(AE17,"hh:mm"),CHAR(34)," endTime=",CHAR(34),TEXT(AF17,"h:mm"),CHAR(34),
" timeZone=",CHAR(34),AG17,CHAR(34))))),
IF(W17=2,CONCATENATE(" dates='[{",
CHAR(34),"startDate",CHAR(34),":",CHAR(34),TEXT(G17,"yyyy-mm-dd"),CHAR(34),", ",
,CHAR(34),"endDate",CHAR(34),":",CHAR(34),TEXT(G17,"yyyy-mm-dd"),CHAR(34),
IF(OR(ISBLANK(AE17),ISBLANK(AF17)),"",(CONCATENATE(", ",CHAR(34),"startTime",CHAR(34),":",CHAR(34),TEXT(AE17,"hh:mm"),CHAR(34),", ",CHAR(34),"endTime",CHAR(34),":",CHAR(34),TEXT(AF17,"hh:mm"),CHAR(34),", ",CHAR(34),"timeZone",CHAR(34),":",CHAR(34),AG17,CHAR(34)))),"}, {",
,CHAR(34),"startDate",CHAR(34),":",CHAR(34),TEXT(G17+1,"yyyy-mm-dd"),CHAR(34),", ",
,CHAR(34),"endDate",CHAR(34),":",CHAR(34),TEXT(G17+W17-1,"yyyy-mm-dd"),CHAR(34),
IF(OR(ISBLANK(AE17),ISBLANK(AF17)),"",(CONCATENATE(", ",CHAR(34),"startTime",CHAR(34),":",CHAR(34),TEXT(AE17,"hh:mm"),CHAR(34),", ",CHAR(34),"endTime",CHAR(34),":",CHAR(34),TEXT(AF17,"hh:mm"),CHAR(34),", ",CHAR(34),"timeZone",CHAR(34),":",CHAR(34),AG17,CHAR(34)))),"}]'"),
CONCATENATE(
"{  startDate=",CHAR(34),TEXT(G17,"yyyy-mm-dd"),CHAR(34),
"  endDate=",CHAR(34),TEXT(G17+W17-1,"yyyy-mm-dd"),CHAR(34),"}"))),
" &gt;&lt;/add-to-calendar-button&gt;")</f>
        <v>&lt;add-to-calendar-button  name="East Kentucky All-Day Singing"   location="Calvary Campus, 31 Stuart Robinson Road, Letcher, Kentucky 41832"   description="10am; shapenotesingings.com"   options="'Apple','Google','iCal','Outlook.com'"   styleLight="--btn-background: #550000; --btn-text: #fff; --btn-shadow:#fff;"startDate="2025-08-09"{endDate="2025-08-09" startTime="10:00" endTime="15:00" timeZone="America/New_York" &gt;&lt;/add-to-calendar-button&gt;</v>
      </c>
      <c r="AE17" s="24">
        <v>0.41666666666666669</v>
      </c>
      <c r="AF17" s="24">
        <v>0.625</v>
      </c>
      <c r="AG17" s="25" t="s">
        <v>1532</v>
      </c>
    </row>
    <row r="18" spans="1:33" x14ac:dyDescent="0.3">
      <c r="A18" t="s">
        <v>8</v>
      </c>
      <c r="B18" t="s">
        <v>11</v>
      </c>
      <c r="C18" t="s">
        <v>1134</v>
      </c>
      <c r="D18" t="s">
        <v>166</v>
      </c>
      <c r="E18" t="s">
        <v>32</v>
      </c>
      <c r="F18" t="s">
        <v>301</v>
      </c>
      <c r="G18" s="7">
        <f t="shared" ca="1" si="7"/>
        <v>98</v>
      </c>
      <c r="H18" s="5" t="s">
        <v>304</v>
      </c>
      <c r="I18" t="s">
        <v>1044</v>
      </c>
      <c r="K18" t="s">
        <v>1525</v>
      </c>
      <c r="L18" t="s">
        <v>960</v>
      </c>
      <c r="M18" s="16" t="s">
        <v>1527</v>
      </c>
      <c r="N18" s="16" t="s">
        <v>1526</v>
      </c>
      <c r="O18" s="7">
        <v>45007</v>
      </c>
      <c r="P18" s="7" t="s">
        <v>1440</v>
      </c>
      <c r="Q18" s="18">
        <v>4</v>
      </c>
      <c r="R18" s="18">
        <v>2</v>
      </c>
      <c r="S18" s="18">
        <v>1</v>
      </c>
      <c r="T18" s="4">
        <f>DATE(AI$2,$Q18,1+(($R18-($S18&gt;=WEEKDAY(DATE(AI$2,$Q18,1))))*7)+($S18-WEEKDAY(DATE(AI$2,$Q18,1))))</f>
        <v>99</v>
      </c>
      <c r="U18" s="4">
        <f>DATE(AJ$2,$Q18,1+(($R18-($S18&gt;=WEEKDAY(DATE(AJ$2,$Q18,1))))*7)+($S18-WEEKDAY(DATE(AJ$2,$Q18,1))))</f>
        <v>99</v>
      </c>
      <c r="V18" s="20">
        <v>-1</v>
      </c>
      <c r="W18" s="20">
        <v>1</v>
      </c>
      <c r="X18" s="4">
        <f t="shared" ca="1" si="8"/>
        <v>98</v>
      </c>
      <c r="Y18" s="5">
        <f ca="1">IF(OR(T18+V18&lt;(TODAY()-1),ISNUMBER(SEARCH("&lt;h4&gt;",K18))),U18+V18,T18+V18)</f>
        <v>98</v>
      </c>
      <c r="Z18" t="str">
        <f t="shared" ca="1" si="9"/>
        <v>April 7, 1900</v>
      </c>
      <c r="AA18" s="7">
        <f t="shared" si="10"/>
        <v>45007</v>
      </c>
      <c r="AB18" s="14">
        <f t="shared" si="11"/>
        <v>98</v>
      </c>
      <c r="AC18" t="s">
        <v>1528</v>
      </c>
      <c r="AD18" s="23" t="str">
        <f t="shared" ca="1" si="12"/>
        <v>&lt;add-to-calendar-button  name="State Line Church Singing"   location="State Line Church, County Road 207, Muscadine Alabama - 33.75589158693513, -85.36160104618016"   description="9am; shapenotesingings.com"   options="'Apple','Google','iCal','Outlook.com'"   styleLight="--btn-background: #550000; --btn-text: #fff; --btn-shadow:#fff;"startDate="1900-04-07"{endDate="1900-04-07" startTime="09:00" endTime="15:00" timeZone="America/Chicago" &gt;&lt;/add-to-calendar-button&gt;</v>
      </c>
      <c r="AE18" s="24">
        <v>0.375</v>
      </c>
      <c r="AF18" s="24">
        <v>0.625</v>
      </c>
      <c r="AG18" s="25" t="s">
        <v>1533</v>
      </c>
    </row>
    <row r="19" spans="1:33" x14ac:dyDescent="0.3">
      <c r="A19" t="s">
        <v>8</v>
      </c>
      <c r="B19" t="s">
        <v>11</v>
      </c>
      <c r="C19" t="s">
        <v>1134</v>
      </c>
      <c r="D19" t="s">
        <v>75</v>
      </c>
      <c r="E19" t="s">
        <v>32</v>
      </c>
      <c r="F19" t="s">
        <v>1550</v>
      </c>
      <c r="G19" s="7">
        <f t="shared" ca="1" si="7"/>
        <v>45820</v>
      </c>
      <c r="H19" s="5" t="s">
        <v>76</v>
      </c>
      <c r="I19" t="s">
        <v>1051</v>
      </c>
      <c r="L19" t="s">
        <v>969</v>
      </c>
      <c r="M19" s="16" t="s">
        <v>77</v>
      </c>
      <c r="N19" s="16" t="s">
        <v>133</v>
      </c>
      <c r="O19" s="7">
        <v>45034</v>
      </c>
      <c r="P19" s="7" t="s">
        <v>1551</v>
      </c>
      <c r="Q19" s="18">
        <v>6</v>
      </c>
      <c r="R19" s="18">
        <v>3</v>
      </c>
      <c r="S19" s="18">
        <v>1</v>
      </c>
      <c r="T19" s="4">
        <f>DATE('Annual Singings'!AI$2,$Q19,1+(($R19-($S19&gt;=WEEKDAY(DATE('Annual Singings'!AI$2,$Q19,1))))*7)+($S19-WEEKDAY(DATE('Annual Singings'!AI$2,$Q19,1))))</f>
        <v>45823</v>
      </c>
      <c r="U19" s="4">
        <f>DATE('Annual Singings'!AJ$2,$Q19,1+(($R19-($S19&gt;=WEEKDAY(DATE('Annual Singings'!AJ$2,$Q19,1))))*7)+($S19-WEEKDAY(DATE('Annual Singings'!AJ$2,$Q19,1))))</f>
        <v>46194</v>
      </c>
      <c r="V19" s="20">
        <v>-2</v>
      </c>
      <c r="W19" s="20">
        <v>2</v>
      </c>
      <c r="X19" s="4">
        <f t="shared" ca="1" si="8"/>
        <v>45820</v>
      </c>
      <c r="Y19" s="5">
        <f ca="1">IF(OR(T19+V19&lt;(TODAY()-1),ISNUMBER(SEARCH("&lt;h4&gt;",K19))),U19+V19,T19+V19)</f>
        <v>45821</v>
      </c>
      <c r="Z19" t="str">
        <f t="shared" ca="1" si="9"/>
        <v>June 12-13, 2025</v>
      </c>
      <c r="AA19" s="7">
        <f t="shared" si="10"/>
        <v>45034</v>
      </c>
      <c r="AB19" s="14">
        <f t="shared" si="11"/>
        <v>45820</v>
      </c>
      <c r="AC19" t="s">
        <v>1293</v>
      </c>
      <c r="AD19" s="23" t="str">
        <f t="shared" ca="1" si="12"/>
        <v>&lt;add-to-calendar-button  name="National Sacred Harp Convention"   location="Friendship Hall, Alabama Square Dance Association, 1024 Old Walker Chapel Road, Fultondale"   description="9:30am-2:30pm; shapenotesingings.com"   options="'Apple','Google','iCal','Outlook.com'"   styleLight="--btn-background: #550000; --btn-text: #fff; --btn-shadow:#fff;" dates='[{"startDate":"2025-06-12", "endDate":"2025-06-12", "startTime":"09:30", "endTime":"14:30", "timeZone":"America/Chicago"}, {"startDate":"2025-06-13", "endDate":"2025-06-13", "startTime":"09:30", "endTime":"14:30", "timeZone":"America/Chicago"}]' &gt;&lt;/add-to-calendar-button&gt;</v>
      </c>
      <c r="AE19" s="24">
        <v>0.39583333333333331</v>
      </c>
      <c r="AF19" s="24">
        <v>0.60416666666666663</v>
      </c>
      <c r="AG19" s="25" t="s">
        <v>1533</v>
      </c>
    </row>
    <row r="20" spans="1:33" x14ac:dyDescent="0.3">
      <c r="A20" t="s">
        <v>8</v>
      </c>
      <c r="B20" t="s">
        <v>250</v>
      </c>
      <c r="C20" t="s">
        <v>1152</v>
      </c>
      <c r="D20" t="s">
        <v>400</v>
      </c>
      <c r="E20" t="s">
        <v>32</v>
      </c>
      <c r="F20" t="s">
        <v>397</v>
      </c>
      <c r="G20" s="7">
        <f t="shared" ca="1" si="7"/>
        <v>45795</v>
      </c>
      <c r="H20" s="5" t="s">
        <v>399</v>
      </c>
      <c r="I20" t="s">
        <v>1088</v>
      </c>
      <c r="K20" t="s">
        <v>1089</v>
      </c>
      <c r="M20" s="16" t="s">
        <v>1006</v>
      </c>
      <c r="N20" s="16" t="s">
        <v>401</v>
      </c>
      <c r="O20" s="7">
        <v>44936</v>
      </c>
      <c r="P20" s="7" t="s">
        <v>926</v>
      </c>
      <c r="Q20" s="18">
        <v>5</v>
      </c>
      <c r="R20" s="18">
        <v>3</v>
      </c>
      <c r="S20" s="18">
        <v>1</v>
      </c>
      <c r="T20" s="4">
        <f>DATE('Annual Singings'!AI$2,$Q20,1+(($R20-($S20&gt;=WEEKDAY(DATE('Annual Singings'!AI$2,$Q20,1))))*7)+($S20-WEEKDAY(DATE('Annual Singings'!AI$2,$Q20,1))))</f>
        <v>45795</v>
      </c>
      <c r="U20" s="4">
        <f>DATE('Annual Singings'!AJ$2,$Q20,1+(($R20-($S20&gt;=WEEKDAY(DATE('Annual Singings'!AJ$2,$Q20,1))))*7)+($S20-WEEKDAY(DATE('Annual Singings'!AJ$2,$Q20,1))))</f>
        <v>46159</v>
      </c>
      <c r="V20" s="20">
        <v>0</v>
      </c>
      <c r="W20" s="20">
        <v>1</v>
      </c>
      <c r="X20" s="4">
        <f t="shared" ca="1" si="8"/>
        <v>45795</v>
      </c>
      <c r="Y20" s="5">
        <f t="shared" ref="Y20:Y30" ca="1" si="13">IF(OR(T20+V20&lt;(NOW()-0.5),ISNUMBER(SEARCH("&lt;h4&gt;",K20))),U20+V20,T20+V20)</f>
        <v>45795</v>
      </c>
      <c r="Z20" t="str">
        <f t="shared" ca="1" si="9"/>
        <v>May 18, 2025</v>
      </c>
      <c r="AA20" s="7">
        <f t="shared" si="10"/>
        <v>44936</v>
      </c>
      <c r="AB20" s="14">
        <f t="shared" si="11"/>
        <v>45795</v>
      </c>
      <c r="AC20" t="s">
        <v>1273</v>
      </c>
      <c r="AD20" s="23" t="str">
        <f t="shared" ca="1" si="12"/>
        <v>&lt;add-to-calendar-button  name="Concord Baptist Church Singing"   location="Concord Baptist Church, Co Rd 238 &amp; Co Rd 235, Bruce MS - 34.013684190567595, -89.42893181977298"   description="12pm; shapenotesingings.com"   options="'Apple','Google','iCal','Outlook.com'"   styleLight="--btn-background: #550000; --btn-text: #fff; --btn-shadow:#fff;"startDate="2025-05-18"{endDate="2025-05-18" &gt;&lt;/add-to-calendar-button&gt;</v>
      </c>
      <c r="AE20" s="24"/>
      <c r="AF20" s="24"/>
      <c r="AG20" s="25" t="s">
        <v>1533</v>
      </c>
    </row>
    <row r="21" spans="1:33" x14ac:dyDescent="0.3">
      <c r="A21" t="s">
        <v>8</v>
      </c>
      <c r="B21" t="s">
        <v>250</v>
      </c>
      <c r="C21" t="s">
        <v>1152</v>
      </c>
      <c r="D21" t="s">
        <v>402</v>
      </c>
      <c r="E21" t="s">
        <v>1437</v>
      </c>
      <c r="F21" t="s">
        <v>403</v>
      </c>
      <c r="G21" s="7">
        <f t="shared" ca="1" si="7"/>
        <v>45801</v>
      </c>
      <c r="H21" s="5" t="s">
        <v>404</v>
      </c>
      <c r="L21" t="s">
        <v>966</v>
      </c>
      <c r="M21" s="16" t="s">
        <v>405</v>
      </c>
      <c r="N21" s="16" t="s">
        <v>406</v>
      </c>
      <c r="O21" s="7">
        <v>44936</v>
      </c>
      <c r="P21" s="7" t="s">
        <v>926</v>
      </c>
      <c r="Q21" s="18">
        <v>5</v>
      </c>
      <c r="R21" s="18">
        <v>4</v>
      </c>
      <c r="S21" s="18">
        <v>1</v>
      </c>
      <c r="T21" s="4">
        <f>DATE('Annual Singings'!AI$2,$Q21,1+(($R21-($S21&gt;=WEEKDAY(DATE('Annual Singings'!AI$2,$Q21,1))))*7)+($S21-WEEKDAY(DATE('Annual Singings'!AI$2,$Q21,1))))</f>
        <v>45802</v>
      </c>
      <c r="U21" s="4">
        <f>DATE('Annual Singings'!AJ$2,$Q21,1+(($R21-($S21&gt;=WEEKDAY(DATE('Annual Singings'!AJ$2,$Q21,1))))*7)+($S21-WEEKDAY(DATE('Annual Singings'!AJ$2,$Q21,1))))</f>
        <v>46166</v>
      </c>
      <c r="V21" s="20">
        <v>0</v>
      </c>
      <c r="W21" s="20">
        <v>2</v>
      </c>
      <c r="X21" s="4">
        <f t="shared" ca="1" si="8"/>
        <v>45801</v>
      </c>
      <c r="Y21" s="5">
        <f t="shared" ca="1" si="13"/>
        <v>45802</v>
      </c>
      <c r="Z21" t="str">
        <f t="shared" ca="1" si="9"/>
        <v>May 24-25, 2025</v>
      </c>
      <c r="AA21" s="7">
        <f t="shared" si="10"/>
        <v>44936</v>
      </c>
      <c r="AB21" s="14">
        <f t="shared" si="11"/>
        <v>45801</v>
      </c>
      <c r="AC21" t="s">
        <v>1275</v>
      </c>
      <c r="AD21" s="23" t="str">
        <f t="shared" ca="1" si="12"/>
        <v>&lt;add-to-calendar-button  name="John Merritt Memorial Singing"   location="Old Courthouse Museum, 1008 Cherry Street, Vicksburg, Mississippi"   description="shapenotesingings.com"   options="'Apple','Google','iCal','Outlook.com'"   styleLight="--btn-background: #550000; --btn-text: #fff; --btn-shadow:#fff;" dates='[{"startDate":"2025-05-24", "endDate":"2025-05-24"}, {"startDate":"2025-05-25", "endDate":"2025-05-25"}]' &gt;&lt;/add-to-calendar-button&gt;</v>
      </c>
      <c r="AE21" s="24"/>
      <c r="AF21" s="24"/>
      <c r="AG21" s="25" t="s">
        <v>1533</v>
      </c>
    </row>
    <row r="22" spans="1:33" ht="13.2" customHeight="1" x14ac:dyDescent="0.3">
      <c r="A22" t="s">
        <v>8</v>
      </c>
      <c r="B22" t="s">
        <v>17</v>
      </c>
      <c r="C22" t="s">
        <v>1140</v>
      </c>
      <c r="D22" t="s">
        <v>30</v>
      </c>
      <c r="E22" t="s">
        <v>32</v>
      </c>
      <c r="F22" t="s">
        <v>892</v>
      </c>
      <c r="G22" s="7">
        <f t="shared" ca="1" si="7"/>
        <v>45803</v>
      </c>
      <c r="H22" s="5" t="s">
        <v>422</v>
      </c>
      <c r="I22" t="s">
        <v>1037</v>
      </c>
      <c r="L22" t="s">
        <v>961</v>
      </c>
      <c r="M22" s="16" t="s">
        <v>423</v>
      </c>
      <c r="N22" s="16" t="s">
        <v>424</v>
      </c>
      <c r="O22" s="7">
        <v>45031</v>
      </c>
      <c r="P22" s="7" t="s">
        <v>1547</v>
      </c>
      <c r="Q22" s="18">
        <v>6</v>
      </c>
      <c r="R22" s="18">
        <v>1</v>
      </c>
      <c r="S22" s="18">
        <v>2</v>
      </c>
      <c r="T22" s="4">
        <f>DATE('Annual Singings'!AI$2,$Q22,1+(($R22-($S22&gt;=WEEKDAY(DATE('Annual Singings'!AI$2,$Q22,1))))*7)+($S22-WEEKDAY(DATE('Annual Singings'!AI$2,$Q22,1))))</f>
        <v>45810</v>
      </c>
      <c r="U22" s="4">
        <f>DATE('Annual Singings'!AJ$2,$Q22,1+(($R22-($S22&gt;=WEEKDAY(DATE('Annual Singings'!AJ$2,$Q22,1))))*7)+($S22-WEEKDAY(DATE('Annual Singings'!AJ$2,$Q22,1))))</f>
        <v>46174</v>
      </c>
      <c r="V22" s="20">
        <v>-7</v>
      </c>
      <c r="W22" s="20">
        <v>1</v>
      </c>
      <c r="X22" s="4">
        <f t="shared" ca="1" si="8"/>
        <v>45803</v>
      </c>
      <c r="Y22" s="5">
        <f t="shared" ca="1" si="13"/>
        <v>45803</v>
      </c>
      <c r="Z22" t="str">
        <f t="shared" ca="1" si="9"/>
        <v>May 26, 2025</v>
      </c>
      <c r="AA22" s="7">
        <f t="shared" si="10"/>
        <v>45031</v>
      </c>
      <c r="AB22" s="14">
        <f t="shared" si="11"/>
        <v>45803</v>
      </c>
      <c r="AC22" t="s">
        <v>1278</v>
      </c>
      <c r="AD22" s="23" t="str">
        <f t="shared" ca="1" si="12"/>
        <v>&lt;add-to-calendar-button  name="Jack C. Smith Memorial Singing"   location="Oakhurst Baptist Church, 222 East Lake Drive, Decatur, Georgia"   description="10am-3pm; shapenotesingings.com"   options="'Apple','Google','iCal','Outlook.com'"   styleLight="--btn-background: #550000; --btn-text: #fff; --btn-shadow:#fff;"startDate="2025-05-26"{endDate="2025-05-26" startTime="10:00" endTime="15:00" timeZone="America/New_York" &gt;&lt;/add-to-calendar-button&gt;</v>
      </c>
      <c r="AE22" s="24">
        <v>0.41666666666666669</v>
      </c>
      <c r="AF22" s="24">
        <v>0.625</v>
      </c>
      <c r="AG22" s="25" t="s">
        <v>1532</v>
      </c>
    </row>
    <row r="23" spans="1:33" x14ac:dyDescent="0.3">
      <c r="A23" t="s">
        <v>8</v>
      </c>
      <c r="B23" t="s">
        <v>11</v>
      </c>
      <c r="C23" t="s">
        <v>1134</v>
      </c>
      <c r="D23" t="s">
        <v>216</v>
      </c>
      <c r="E23" t="s">
        <v>32</v>
      </c>
      <c r="F23" t="s">
        <v>215</v>
      </c>
      <c r="G23" s="7">
        <f t="shared" ca="1" si="7"/>
        <v>46081</v>
      </c>
      <c r="H23" s="5" t="s">
        <v>217</v>
      </c>
      <c r="I23" t="s">
        <v>1028</v>
      </c>
      <c r="K23" s="30" t="s">
        <v>1937</v>
      </c>
      <c r="L23" t="s">
        <v>958</v>
      </c>
      <c r="M23" s="16" t="s">
        <v>218</v>
      </c>
      <c r="N23" s="16" t="s">
        <v>219</v>
      </c>
      <c r="O23" s="7">
        <v>44936</v>
      </c>
      <c r="P23" s="7" t="s">
        <v>926</v>
      </c>
      <c r="Q23" s="18">
        <v>3</v>
      </c>
      <c r="R23" s="18">
        <v>1</v>
      </c>
      <c r="S23" s="18">
        <v>1</v>
      </c>
      <c r="T23" s="4">
        <f>DATE('Annual Singings'!AI$2,$Q23,1+(($R23-($S23&gt;=WEEKDAY(DATE('Annual Singings'!AI$2,$Q23,1))))*7)+($S23-WEEKDAY(DATE('Annual Singings'!AI$2,$Q23,1))))</f>
        <v>45718</v>
      </c>
      <c r="U23" s="4">
        <f>DATE('Annual Singings'!AJ$2,$Q23,1+(($R23-($S23&gt;=WEEKDAY(DATE('Annual Singings'!AJ$2,$Q23,1))))*7)+($S23-WEEKDAY(DATE('Annual Singings'!AJ$2,$Q23,1))))</f>
        <v>46082</v>
      </c>
      <c r="V23" s="20">
        <v>-1</v>
      </c>
      <c r="W23" s="20">
        <v>1</v>
      </c>
      <c r="X23" s="4">
        <f t="shared" ca="1" si="8"/>
        <v>46081</v>
      </c>
      <c r="Y23" s="5">
        <f t="shared" ca="1" si="13"/>
        <v>46081</v>
      </c>
      <c r="Z23" t="str">
        <f t="shared" ca="1" si="9"/>
        <v>February 28, 2026</v>
      </c>
      <c r="AA23" s="7">
        <f t="shared" si="10"/>
        <v>44936</v>
      </c>
      <c r="AB23" s="14">
        <f t="shared" si="11"/>
        <v>45717</v>
      </c>
      <c r="AC23" t="s">
        <v>1225</v>
      </c>
      <c r="AD23" s="23" t="str">
        <f t="shared" ca="1" si="12"/>
        <v>&lt;add-to-calendar-button  name="Elmore Center Singing"   location="Elmore Center United Methodist Church, 1165 County Road 21, Gordo AL"   description="10am; shapenotesingings.com"   options="'Apple','Google','iCal','Outlook.com'"   styleLight="--btn-background: #550000; --btn-text: #fff; --btn-shadow:#fff;"startDate="2026-02-28"{endDate="2026-02-28" startTime="10:00" endTime="15:00" timeZone="America/Chicago" &gt;&lt;/add-to-calendar-button&gt;</v>
      </c>
      <c r="AE23" s="24">
        <v>0.41666666666666669</v>
      </c>
      <c r="AF23" s="24">
        <v>0.625</v>
      </c>
      <c r="AG23" s="25" t="s">
        <v>1533</v>
      </c>
    </row>
    <row r="24" spans="1:33" x14ac:dyDescent="0.3">
      <c r="A24" t="s">
        <v>8</v>
      </c>
      <c r="B24" t="s">
        <v>250</v>
      </c>
      <c r="C24" t="s">
        <v>1152</v>
      </c>
      <c r="D24" t="s">
        <v>462</v>
      </c>
      <c r="E24" t="s">
        <v>32</v>
      </c>
      <c r="F24" t="s">
        <v>466</v>
      </c>
      <c r="G24" s="7">
        <f t="shared" ca="1" si="7"/>
        <v>45816</v>
      </c>
      <c r="H24" s="5" t="s">
        <v>463</v>
      </c>
      <c r="I24" t="s">
        <v>1088</v>
      </c>
      <c r="K24" t="s">
        <v>1099</v>
      </c>
      <c r="M24" s="16" t="s">
        <v>464</v>
      </c>
      <c r="N24" s="16" t="s">
        <v>465</v>
      </c>
      <c r="O24" s="7">
        <v>44936</v>
      </c>
      <c r="P24" s="7" t="s">
        <v>926</v>
      </c>
      <c r="Q24" s="18">
        <v>6</v>
      </c>
      <c r="R24" s="18">
        <v>2</v>
      </c>
      <c r="S24" s="18">
        <v>1</v>
      </c>
      <c r="T24" s="4">
        <f>DATE('Annual Singings'!AI$2,$Q24,1+(($R24-($S24&gt;=WEEKDAY(DATE('Annual Singings'!AI$2,$Q24,1))))*7)+($S24-WEEKDAY(DATE('Annual Singings'!AI$2,$Q24,1))))</f>
        <v>45816</v>
      </c>
      <c r="U24" s="4">
        <f>DATE('Annual Singings'!AJ$2,$Q24,1+(($R24-($S24&gt;=WEEKDAY(DATE('Annual Singings'!AJ$2,$Q24,1))))*7)+($S24-WEEKDAY(DATE('Annual Singings'!AJ$2,$Q24,1))))</f>
        <v>46187</v>
      </c>
      <c r="V24" s="20">
        <v>0</v>
      </c>
      <c r="W24" s="20">
        <v>1</v>
      </c>
      <c r="X24" s="4">
        <f t="shared" ca="1" si="8"/>
        <v>45816</v>
      </c>
      <c r="Y24" s="5">
        <f t="shared" ca="1" si="13"/>
        <v>45816</v>
      </c>
      <c r="Z24" t="str">
        <f t="shared" ca="1" si="9"/>
        <v>June 8, 2025</v>
      </c>
      <c r="AA24" s="7">
        <f t="shared" si="10"/>
        <v>44936</v>
      </c>
      <c r="AB24" s="14">
        <f t="shared" si="11"/>
        <v>45816</v>
      </c>
      <c r="AC24" t="s">
        <v>1292</v>
      </c>
      <c r="AD24" s="23" t="str">
        <f t="shared" ca="1" si="12"/>
        <v>&lt;add-to-calendar-button  name="Oak Springs Church Singing"   location="Oak Springs Church, Cr 417 cr 400 oak springs, Calhoun City, MS"   description="12pm; shapenotesingings.com"   options="'Apple','Google','iCal','Outlook.com'"   styleLight="--btn-background: #550000; --btn-text: #fff; --btn-shadow:#fff;"startDate="2025-06-08"{endDate="2025-06-08" &gt;&lt;/add-to-calendar-button&gt;</v>
      </c>
      <c r="AE24" s="24"/>
      <c r="AF24" s="24"/>
      <c r="AG24" s="25" t="s">
        <v>1533</v>
      </c>
    </row>
    <row r="25" spans="1:33" x14ac:dyDescent="0.3">
      <c r="A25" t="s">
        <v>8</v>
      </c>
      <c r="B25" t="s">
        <v>250</v>
      </c>
      <c r="C25" t="s">
        <v>1152</v>
      </c>
      <c r="D25" t="s">
        <v>289</v>
      </c>
      <c r="E25" t="s">
        <v>32</v>
      </c>
      <c r="F25" t="s">
        <v>446</v>
      </c>
      <c r="G25" s="7">
        <f t="shared" ca="1" si="7"/>
        <v>45809</v>
      </c>
      <c r="H25" s="5" t="s">
        <v>445</v>
      </c>
      <c r="K25" t="s">
        <v>1096</v>
      </c>
      <c r="M25" s="16" t="s">
        <v>447</v>
      </c>
      <c r="N25" s="16" t="s">
        <v>448</v>
      </c>
      <c r="O25" s="7">
        <v>44936</v>
      </c>
      <c r="P25" s="7" t="s">
        <v>926</v>
      </c>
      <c r="Q25" s="18">
        <v>6</v>
      </c>
      <c r="R25" s="18">
        <v>1</v>
      </c>
      <c r="S25" s="18">
        <v>1</v>
      </c>
      <c r="T25" s="4">
        <f>DATE('Annual Singings'!AI$2,$Q25,1+(($R25-($S25&gt;=WEEKDAY(DATE('Annual Singings'!AI$2,$Q25,1))))*7)+($S25-WEEKDAY(DATE('Annual Singings'!AI$2,$Q25,1))))</f>
        <v>45809</v>
      </c>
      <c r="U25" s="4">
        <f>DATE('Annual Singings'!AJ$2,$Q25,1+(($R25-($S25&gt;=WEEKDAY(DATE('Annual Singings'!AJ$2,$Q25,1))))*7)+($S25-WEEKDAY(DATE('Annual Singings'!AJ$2,$Q25,1))))</f>
        <v>46180</v>
      </c>
      <c r="V25" s="20">
        <v>0</v>
      </c>
      <c r="W25" s="20">
        <v>1</v>
      </c>
      <c r="X25" s="4">
        <f t="shared" ca="1" si="8"/>
        <v>45809</v>
      </c>
      <c r="Y25" s="5">
        <f t="shared" ca="1" si="13"/>
        <v>45809</v>
      </c>
      <c r="Z25" t="str">
        <f t="shared" ca="1" si="9"/>
        <v>June 1, 2025</v>
      </c>
      <c r="AA25" s="7">
        <f t="shared" si="10"/>
        <v>44936</v>
      </c>
      <c r="AB25" s="14">
        <f t="shared" si="11"/>
        <v>45809</v>
      </c>
      <c r="AC25" t="s">
        <v>1287</v>
      </c>
      <c r="AD25" s="23" t="str">
        <f t="shared" ca="1" si="12"/>
        <v>&lt;add-to-calendar-button  name="Hill Roane Memorial"   location="Serman Baptist Church, 263 Co Rd 272, Bruce, MS 38915"   description="shapenotesingings.com"   options="'Apple','Google','iCal','Outlook.com'"   styleLight="--btn-background: #550000; --btn-text: #fff; --btn-shadow:#fff;"startDate="2025-06-01"{endDate="2025-06-01" &gt;&lt;/add-to-calendar-button&gt;</v>
      </c>
      <c r="AE25" s="24"/>
      <c r="AF25" s="24"/>
      <c r="AG25" s="25" t="s">
        <v>1533</v>
      </c>
    </row>
    <row r="26" spans="1:33" x14ac:dyDescent="0.3">
      <c r="A26" t="s">
        <v>8</v>
      </c>
      <c r="B26" t="s">
        <v>250</v>
      </c>
      <c r="C26" t="s">
        <v>1152</v>
      </c>
      <c r="D26" t="s">
        <v>319</v>
      </c>
      <c r="E26" t="s">
        <v>32</v>
      </c>
      <c r="F26" t="s">
        <v>63</v>
      </c>
      <c r="G26" s="7">
        <f t="shared" ca="1" si="7"/>
        <v>46131</v>
      </c>
      <c r="H26" s="5" t="s">
        <v>317</v>
      </c>
      <c r="I26" t="s">
        <v>1088</v>
      </c>
      <c r="K26" t="s">
        <v>1080</v>
      </c>
      <c r="M26" s="16" t="s">
        <v>1001</v>
      </c>
      <c r="N26" s="16" t="s">
        <v>318</v>
      </c>
      <c r="O26" s="7">
        <v>44936</v>
      </c>
      <c r="P26" s="7" t="s">
        <v>926</v>
      </c>
      <c r="Q26" s="18">
        <v>4</v>
      </c>
      <c r="R26" s="18">
        <v>3</v>
      </c>
      <c r="S26" s="18">
        <v>1</v>
      </c>
      <c r="T26" s="4">
        <f>DATE('Annual Singings'!AI$2,$Q26,1+(($R26-($S26&gt;=WEEKDAY(DATE('Annual Singings'!AI$2,$Q26,1))))*7)+($S26-WEEKDAY(DATE('Annual Singings'!AI$2,$Q26,1))))</f>
        <v>45767</v>
      </c>
      <c r="U26" s="4">
        <f>DATE('Annual Singings'!AJ$2,$Q26,1+(($R26-($S26&gt;=WEEKDAY(DATE('Annual Singings'!AJ$2,$Q26,1))))*7)+($S26-WEEKDAY(DATE('Annual Singings'!AJ$2,$Q26,1))))</f>
        <v>46131</v>
      </c>
      <c r="V26" s="20">
        <v>0</v>
      </c>
      <c r="W26" s="20">
        <v>1</v>
      </c>
      <c r="X26" s="4">
        <f t="shared" ca="1" si="8"/>
        <v>46131</v>
      </c>
      <c r="Y26" s="5">
        <f t="shared" ca="1" si="13"/>
        <v>46131</v>
      </c>
      <c r="Z26" t="str">
        <f t="shared" ca="1" si="9"/>
        <v>April 19, 2026</v>
      </c>
      <c r="AA26" s="7">
        <f t="shared" si="10"/>
        <v>44936</v>
      </c>
      <c r="AB26" s="14">
        <f t="shared" si="11"/>
        <v>45767</v>
      </c>
      <c r="AC26" t="s">
        <v>1252</v>
      </c>
      <c r="AD26" s="23" t="str">
        <f t="shared" ca="1" si="12"/>
        <v>&lt;add-to-calendar-button  name="Enon Primitive Baptist Church Singing"   location="Enon Primitive Baptist Church, Co Rd 190, Houston Mississippi - 33.82682542422712, -88.89644301413098"   description="12pm; shapenotesingings.com"   options="'Apple','Google','iCal','Outlook.com'"   styleLight="--btn-background: #550000; --btn-text: #fff; --btn-shadow:#fff;"startDate="2026-04-19"{endDate="2026-04-19" &gt;&lt;/add-to-calendar-button&gt;</v>
      </c>
      <c r="AE26" s="24"/>
      <c r="AF26" s="24"/>
      <c r="AG26" s="25" t="s">
        <v>1533</v>
      </c>
    </row>
    <row r="27" spans="1:33" x14ac:dyDescent="0.3">
      <c r="A27" t="s">
        <v>8</v>
      </c>
      <c r="B27" t="s">
        <v>17</v>
      </c>
      <c r="C27" t="s">
        <v>1140</v>
      </c>
      <c r="D27" t="s">
        <v>73</v>
      </c>
      <c r="E27" t="s">
        <v>2178</v>
      </c>
      <c r="F27" t="s">
        <v>83</v>
      </c>
      <c r="G27" s="7">
        <f t="shared" ca="1" si="7"/>
        <v>46122</v>
      </c>
      <c r="H27" s="5" t="s">
        <v>298</v>
      </c>
      <c r="I27" t="s">
        <v>1496</v>
      </c>
      <c r="M27" s="16" t="s">
        <v>74</v>
      </c>
      <c r="N27" s="16" t="s">
        <v>132</v>
      </c>
      <c r="O27" s="7">
        <v>44936</v>
      </c>
      <c r="P27" s="7" t="s">
        <v>926</v>
      </c>
      <c r="Q27" s="18">
        <v>4</v>
      </c>
      <c r="R27" s="18">
        <v>2</v>
      </c>
      <c r="S27" s="18">
        <v>1</v>
      </c>
      <c r="T27" s="4">
        <f>DATE('Annual Singings'!AI$2,$Q27,1+(($R27-($S27&gt;=WEEKDAY(DATE('Annual Singings'!AI$2,$Q27,1))))*7)+($S27-WEEKDAY(DATE('Annual Singings'!AI$2,$Q27,1))))</f>
        <v>45760</v>
      </c>
      <c r="U27" s="4">
        <f>DATE('Annual Singings'!AJ$2,$Q27,1+(($R27-($S27&gt;=WEEKDAY(DATE('Annual Singings'!AJ$2,$Q27,1))))*7)+($S27-WEEKDAY(DATE('Annual Singings'!AJ$2,$Q27,1))))</f>
        <v>46124</v>
      </c>
      <c r="V27" s="20">
        <v>-2</v>
      </c>
      <c r="W27" s="20">
        <v>1</v>
      </c>
      <c r="X27" s="4">
        <f t="shared" ca="1" si="8"/>
        <v>46122</v>
      </c>
      <c r="Y27" s="5">
        <f t="shared" ca="1" si="13"/>
        <v>46122</v>
      </c>
      <c r="Z27" t="str">
        <f t="shared" ca="1" si="9"/>
        <v>April 10, 2026</v>
      </c>
      <c r="AA27" s="7">
        <f t="shared" si="10"/>
        <v>44936</v>
      </c>
      <c r="AB27" s="14">
        <f t="shared" si="11"/>
        <v>45758</v>
      </c>
      <c r="AC27" t="s">
        <v>1244</v>
      </c>
      <c r="AD27" s="23" t="str">
        <f t="shared" ca="1" si="12"/>
        <v>&lt;add-to-calendar-button  name="Elder Homer Benefield, Katherine Benefield, and Mildred Johnson Memorial"   location="Shiloh Primitive Baptist Church, 225 Shiloh Church Road, Waco GA"   description="6:30pm; shapenotesingings.com"   options="'Apple','Google','iCal','Outlook.com'"   styleLight="--btn-background: #550000; --btn-text: #fff; --btn-shadow:#fff;"startDate="2026-04-10"{endDate="2026-04-10" &gt;&lt;/add-to-calendar-button&gt;</v>
      </c>
      <c r="AE27" s="24"/>
      <c r="AF27" s="24"/>
      <c r="AG27" s="25" t="s">
        <v>1532</v>
      </c>
    </row>
    <row r="28" spans="1:33" x14ac:dyDescent="0.3">
      <c r="A28" t="s">
        <v>144</v>
      </c>
      <c r="B28" t="s">
        <v>144</v>
      </c>
      <c r="C28" t="s">
        <v>1162</v>
      </c>
      <c r="D28" t="s">
        <v>380</v>
      </c>
      <c r="E28" t="s">
        <v>1824</v>
      </c>
      <c r="F28" t="s">
        <v>466</v>
      </c>
      <c r="G28" s="7">
        <f t="shared" ca="1" si="7"/>
        <v>45816</v>
      </c>
      <c r="H28" s="5" t="s">
        <v>1823</v>
      </c>
      <c r="I28" t="s">
        <v>1071</v>
      </c>
      <c r="K28" t="s">
        <v>1825</v>
      </c>
      <c r="L28" t="s">
        <v>1995</v>
      </c>
      <c r="M28" s="16" t="s">
        <v>1867</v>
      </c>
      <c r="N28" s="16" t="s">
        <v>1868</v>
      </c>
      <c r="O28" s="7">
        <v>45301</v>
      </c>
      <c r="P28" s="7" t="s">
        <v>1172</v>
      </c>
      <c r="Q28" s="18">
        <v>6</v>
      </c>
      <c r="R28" s="18">
        <v>2</v>
      </c>
      <c r="S28" s="18">
        <v>1</v>
      </c>
      <c r="T28" s="4">
        <f>DATE('Annual Singings'!AI$2,$Q28,1+(($R28-($S28&gt;=WEEKDAY(DATE('Annual Singings'!AI$2,$Q28,1))))*7)+($S28-WEEKDAY(DATE('Annual Singings'!AI$2,$Q28,1))))</f>
        <v>45816</v>
      </c>
      <c r="U28" s="4">
        <f>DATE('Annual Singings'!AJ$2,$Q28,1+(($R28-($S28&gt;=WEEKDAY(DATE('Annual Singings'!AJ$2,$Q28,1))))*7)+($S28-WEEKDAY(DATE('Annual Singings'!AJ$2,$Q28,1))))</f>
        <v>46187</v>
      </c>
      <c r="V28" s="20">
        <v>0</v>
      </c>
      <c r="W28" s="20">
        <v>1</v>
      </c>
      <c r="X28" s="4">
        <f t="shared" ca="1" si="8"/>
        <v>45816</v>
      </c>
      <c r="Y28" s="5">
        <f t="shared" ca="1" si="13"/>
        <v>45816</v>
      </c>
      <c r="Z28" t="str">
        <f t="shared" ca="1" si="9"/>
        <v>June 8, 2025</v>
      </c>
      <c r="AA28" s="7">
        <f t="shared" si="10"/>
        <v>45301</v>
      </c>
      <c r="AB28" s="14">
        <f t="shared" si="11"/>
        <v>45816</v>
      </c>
      <c r="AC28" t="s">
        <v>1869</v>
      </c>
      <c r="AD28" s="23" t="str">
        <f t="shared" ca="1" si="12"/>
        <v>&lt;add-to-calendar-button  name="Revision-Music Committee Singing"   location="Saltford Hall, Wedmore Rd, Saltford, Bristol BS31 3BY, UK"   description="10:30am-3:30pm; shapenotesingings.com"   options="'Apple','Google','iCal','Outlook.com'"   styleLight="--btn-background: #550000; --btn-text: #fff; --btn-shadow:#fff;"startDate="2025-06-08"{endDate="2025-06-08" startTime="10:30" endTime="15:30" timeZone="Europe/London" &gt;&lt;/add-to-calendar-button&gt;</v>
      </c>
      <c r="AE28" s="24">
        <v>0.4375</v>
      </c>
      <c r="AF28" s="24">
        <v>0.64583333333333337</v>
      </c>
      <c r="AG28" s="25" t="s">
        <v>1535</v>
      </c>
    </row>
    <row r="29" spans="1:33" x14ac:dyDescent="0.3">
      <c r="A29" t="s">
        <v>8</v>
      </c>
      <c r="B29" t="s">
        <v>439</v>
      </c>
      <c r="C29" t="s">
        <v>1166</v>
      </c>
      <c r="D29" t="s">
        <v>440</v>
      </c>
      <c r="E29" t="s">
        <v>425</v>
      </c>
      <c r="F29" t="s">
        <v>81</v>
      </c>
      <c r="G29" s="7">
        <f t="shared" ca="1" si="7"/>
        <v>45808</v>
      </c>
      <c r="H29" s="5" t="s">
        <v>438</v>
      </c>
      <c r="I29" t="s">
        <v>1028</v>
      </c>
      <c r="K29" t="s">
        <v>1095</v>
      </c>
      <c r="L29" t="s">
        <v>1734</v>
      </c>
      <c r="M29" s="16"/>
      <c r="N29" s="16"/>
      <c r="O29" s="7">
        <v>44936</v>
      </c>
      <c r="P29" s="7" t="s">
        <v>926</v>
      </c>
      <c r="Q29" s="18">
        <v>6</v>
      </c>
      <c r="R29" s="18">
        <v>1</v>
      </c>
      <c r="S29" s="18">
        <v>1</v>
      </c>
      <c r="T29" s="4">
        <f>DATE('Annual Singings'!AI$2,$Q29,1+(($R29-($S29&gt;=WEEKDAY(DATE('Annual Singings'!AI$2,$Q29,1))))*7)+($S29-WEEKDAY(DATE('Annual Singings'!AI$2,$Q29,1))))</f>
        <v>45809</v>
      </c>
      <c r="U29" s="4">
        <f>DATE('Annual Singings'!AJ$2,$Q29,1+(($R29-($S29&gt;=WEEKDAY(DATE('Annual Singings'!AJ$2,$Q29,1))))*7)+($S29-WEEKDAY(DATE('Annual Singings'!AJ$2,$Q29,1))))</f>
        <v>46180</v>
      </c>
      <c r="V29" s="20">
        <v>0</v>
      </c>
      <c r="W29" s="20">
        <v>2</v>
      </c>
      <c r="X29" s="4">
        <f t="shared" ca="1" si="8"/>
        <v>45808</v>
      </c>
      <c r="Y29" s="5">
        <f t="shared" ca="1" si="13"/>
        <v>45809</v>
      </c>
      <c r="Z29" t="str">
        <f t="shared" ca="1" si="9"/>
        <v>May 31-June 1, 2025</v>
      </c>
      <c r="AA29" s="7">
        <f t="shared" si="10"/>
        <v>44936</v>
      </c>
      <c r="AB29" s="14">
        <f t="shared" si="11"/>
        <v>45808</v>
      </c>
      <c r="AD29" s="23" t="str">
        <f t="shared" ca="1" si="12"/>
        <v>&lt;add-to-calendar-button  name="Northern Shenandoah Valley Double All-Day Singing"   description="10am; shapenotesingings.com"   options="'Apple','Google','iCal','Outlook.com'"   styleLight="--btn-background: #550000; --btn-text: #fff; --btn-shadow:#fff;" dates='[{"startDate":"2025-05-31", "endDate":"2025-05-31", "startTime":"10:00", "endTime":"15:00", "timeZone":"America/New_York"}, {"startDate":"2025-06-01", "endDate":"2025-06-01", "startTime":"10:00", "endTime":"15:00", "timeZone":"America/New_York"}]' &gt;&lt;/add-to-calendar-button&gt;</v>
      </c>
      <c r="AE29" s="24">
        <v>0.41666666666666669</v>
      </c>
      <c r="AF29" s="24">
        <v>0.625</v>
      </c>
      <c r="AG29" s="25" t="s">
        <v>1532</v>
      </c>
    </row>
    <row r="30" spans="1:33" x14ac:dyDescent="0.3">
      <c r="A30" t="s">
        <v>8</v>
      </c>
      <c r="B30" t="s">
        <v>200</v>
      </c>
      <c r="C30" t="s">
        <v>395</v>
      </c>
      <c r="D30" t="s">
        <v>480</v>
      </c>
      <c r="E30" t="s">
        <v>32</v>
      </c>
      <c r="F30" t="s">
        <v>266</v>
      </c>
      <c r="G30" s="7">
        <f t="shared" ca="1" si="7"/>
        <v>45822</v>
      </c>
      <c r="H30" s="5" t="s">
        <v>479</v>
      </c>
      <c r="K30" t="s">
        <v>1105</v>
      </c>
      <c r="L30" t="s">
        <v>970</v>
      </c>
      <c r="M30" s="16"/>
      <c r="N30" s="16" t="s">
        <v>481</v>
      </c>
      <c r="O30" s="7">
        <v>44936</v>
      </c>
      <c r="P30" s="7" t="s">
        <v>926</v>
      </c>
      <c r="Q30" s="18">
        <v>6</v>
      </c>
      <c r="R30" s="18">
        <v>3</v>
      </c>
      <c r="S30" s="18">
        <v>1</v>
      </c>
      <c r="T30" s="4">
        <f>DATE('Annual Singings'!AI$2,$Q30,1+(($R30-($S30&gt;=WEEKDAY(DATE('Annual Singings'!AI$2,$Q30,1))))*7)+($S30-WEEKDAY(DATE('Annual Singings'!AI$2,$Q30,1))))</f>
        <v>45823</v>
      </c>
      <c r="U30" s="4">
        <f>DATE('Annual Singings'!AJ$2,$Q30,1+(($R30-($S30&gt;=WEEKDAY(DATE('Annual Singings'!AJ$2,$Q30,1))))*7)+($S30-WEEKDAY(DATE('Annual Singings'!AJ$2,$Q30,1))))</f>
        <v>46194</v>
      </c>
      <c r="V30" s="20">
        <v>-1</v>
      </c>
      <c r="W30" s="20">
        <v>1</v>
      </c>
      <c r="X30" s="4">
        <f t="shared" ca="1" si="8"/>
        <v>45822</v>
      </c>
      <c r="Y30" s="5">
        <f t="shared" ca="1" si="13"/>
        <v>45822</v>
      </c>
      <c r="Z30" t="str">
        <f t="shared" ca="1" si="9"/>
        <v>June 14, 2025</v>
      </c>
      <c r="AA30" s="7">
        <f t="shared" si="10"/>
        <v>44936</v>
      </c>
      <c r="AB30" s="14">
        <f t="shared" si="11"/>
        <v>45822</v>
      </c>
      <c r="AC30" t="s">
        <v>1297</v>
      </c>
      <c r="AD30" s="23" t="str">
        <f t="shared" ca="1" si="12"/>
        <v>&lt;add-to-calendar-button  name="Morton Singing"   description="shapenotesingings.com"   options="'Apple','Google','iCal','Outlook.com'"   styleLight="--btn-background: #550000; --btn-text: #fff; --btn-shadow:#fff;"startDate="2025-06-14"{endDate="2025-06-14" &gt;&lt;/add-to-calendar-button&gt;</v>
      </c>
      <c r="AE30" s="24"/>
      <c r="AF30" s="24"/>
      <c r="AG30" s="25" t="s">
        <v>1534</v>
      </c>
    </row>
    <row r="31" spans="1:33" x14ac:dyDescent="0.3">
      <c r="A31" t="s">
        <v>8</v>
      </c>
      <c r="B31" t="s">
        <v>40</v>
      </c>
      <c r="C31" t="s">
        <v>1161</v>
      </c>
      <c r="D31" t="s">
        <v>834</v>
      </c>
      <c r="E31" t="s">
        <v>34</v>
      </c>
      <c r="F31" t="s">
        <v>2085</v>
      </c>
      <c r="G31" s="7">
        <v>45563</v>
      </c>
      <c r="H31" s="5" t="s">
        <v>106</v>
      </c>
      <c r="I31" t="s">
        <v>1040</v>
      </c>
      <c r="L31" t="s">
        <v>1976</v>
      </c>
      <c r="M31" s="16" t="s">
        <v>832</v>
      </c>
      <c r="N31" s="16" t="s">
        <v>833</v>
      </c>
      <c r="O31" s="7">
        <v>44936</v>
      </c>
      <c r="P31" s="7" t="s">
        <v>926</v>
      </c>
      <c r="Q31" s="18">
        <v>9</v>
      </c>
      <c r="R31" s="18"/>
      <c r="S31" s="18"/>
      <c r="T31" s="4">
        <v>45564</v>
      </c>
      <c r="U31" s="4">
        <v>45900</v>
      </c>
      <c r="V31" s="20">
        <v>0</v>
      </c>
      <c r="W31" s="20">
        <v>2</v>
      </c>
      <c r="X31" s="4">
        <v>45563</v>
      </c>
      <c r="Y31" s="5">
        <v>45564</v>
      </c>
      <c r="Z31" t="s">
        <v>2086</v>
      </c>
      <c r="AA31" s="7">
        <v>44936</v>
      </c>
      <c r="AB31" s="14">
        <v>45563</v>
      </c>
      <c r="AC31" t="s">
        <v>1379</v>
      </c>
      <c r="AD31" s="23" t="s">
        <v>2087</v>
      </c>
      <c r="AE31" s="24">
        <v>0.39583333333333331</v>
      </c>
      <c r="AF31" s="24">
        <v>0.625</v>
      </c>
      <c r="AG31" s="25" t="s">
        <v>1533</v>
      </c>
    </row>
    <row r="32" spans="1:33" x14ac:dyDescent="0.3">
      <c r="A32" t="s">
        <v>1421</v>
      </c>
      <c r="B32" t="s">
        <v>1423</v>
      </c>
      <c r="C32" t="s">
        <v>1424</v>
      </c>
      <c r="D32" t="s">
        <v>1422</v>
      </c>
      <c r="E32" t="s">
        <v>32</v>
      </c>
      <c r="F32" t="s">
        <v>1419</v>
      </c>
      <c r="G32" s="7">
        <f t="shared" ref="G32:G37" ca="1" si="14">X32</f>
        <v>45844</v>
      </c>
      <c r="H32" s="5" t="s">
        <v>1420</v>
      </c>
      <c r="I32" t="s">
        <v>1648</v>
      </c>
      <c r="L32" t="s">
        <v>1425</v>
      </c>
      <c r="M32" s="16" t="s">
        <v>1649</v>
      </c>
      <c r="N32" s="16" t="s">
        <v>1654</v>
      </c>
      <c r="O32" s="7">
        <v>45105</v>
      </c>
      <c r="P32" s="7" t="s">
        <v>1652</v>
      </c>
      <c r="Q32" s="18">
        <v>7</v>
      </c>
      <c r="R32" s="18">
        <v>1</v>
      </c>
      <c r="S32" s="18">
        <v>1</v>
      </c>
      <c r="T32" s="4">
        <f>DATE('Annual Singings'!AI$2,$Q32,1+(($R32-($S32&gt;=WEEKDAY(DATE('Annual Singings'!AI$2,$Q32,1))))*7)+($S32-WEEKDAY(DATE('Annual Singings'!AI$2,$Q32,1))))</f>
        <v>45844</v>
      </c>
      <c r="U32" s="4">
        <f>DATE('Annual Singings'!AJ$2,$Q32,1+(($R32-($S32&gt;=WEEKDAY(DATE('Annual Singings'!AJ$2,$Q32,1))))*7)+($S32-WEEKDAY(DATE('Annual Singings'!AJ$2,$Q32,1))))</f>
        <v>46208</v>
      </c>
      <c r="V32" s="20">
        <v>0</v>
      </c>
      <c r="W32" s="20">
        <v>1</v>
      </c>
      <c r="X32" s="4">
        <f t="shared" ref="X32:X37" ca="1" si="15">Y32-(W32-1)</f>
        <v>45844</v>
      </c>
      <c r="Y32" s="5">
        <f t="shared" ref="Y32:Y37" ca="1" si="16">IF(OR(T32+V32&lt;(NOW()-0.5),ISNUMBER(SEARCH("&lt;h4&gt;",K32))),U32+V32,T32+V32)</f>
        <v>45844</v>
      </c>
      <c r="Z32" t="str">
        <f t="shared" ref="Z32:Z37" ca="1" si="17">CONCATENATE(IF(OR(Y32=X32,ISBLANK(Y32)),TEXT(X32,"mmmm d"),CONCATENATE(TEXT(X32,"mmmm d"),"-",IF(TEXT(X32,"mmmm")=TEXT(Y32,"mmmm"),TEXT(Y32,"d"),TEXT(Y32,"mmmm d")))),", ",YEAR(Y32))</f>
        <v>July 6, 2025</v>
      </c>
      <c r="AA32" s="7">
        <f t="shared" ref="AA32:AA37" si="18">O32</f>
        <v>45105</v>
      </c>
      <c r="AB32" s="14">
        <f t="shared" ref="AB32:AB37" si="19">T32+V32-(W32-1)</f>
        <v>45844</v>
      </c>
      <c r="AC32" t="s">
        <v>1650</v>
      </c>
      <c r="AD32" s="23" t="str">
        <f t="shared" ref="AD32:AD37" ca="1" si="20">CONCATENATE("&lt;add-to-calendar-button  name=",CHAR(34),H32,CHAR(34),
IF(ISBLANK(M32),"",CONCATENATE("   location=",CHAR(34),RIGHT(M32,LEN(M32)-SEARCH("|",M32)-1),CHAR(34))),
"   description=",CHAR(34),IF(ISBLANK(I32),"",CONCATENATE(I32,"; ")),"shapenotesingings.com",CHAR(34),
"   options=",CHAR(34),"'Apple','Google','iCal','Outlook.com'",CHAR(34),"   styleLight=",CHAR(34),"--btn-background: #550000; --btn-text: #fff; --btn-shadow:#fff;",CHAR(34),
IF(W32=1,CONCATENATE(
"startDate=",CHAR(34),TEXT(G32,"yyyy-mm-dd"),CHAR(34),
"{endDate=",CHAR(34),TEXT(G32,"yyyy-mm-dd"),CHAR(34),
IF(OR(ISBLANK(AE32),ISBLANK(AF32)),"",(CONCATENATE(" startTime=",CHAR(34),TEXT(AE32,"hh:mm"),CHAR(34)," endTime=",CHAR(34),TEXT(AF32,"h:mm"),CHAR(34),
" timeZone=",CHAR(34),AG32,CHAR(34))))),
IF(W32=2,CONCATENATE(" dates='[{",
CHAR(34),"startDate",CHAR(34),":",CHAR(34),TEXT(G32,"yyyy-mm-dd"),CHAR(34),", ",
,CHAR(34),"endDate",CHAR(34),":",CHAR(34),TEXT(G32,"yyyy-mm-dd"),CHAR(34),
IF(OR(ISBLANK(AE32),ISBLANK(AF32)),"",(CONCATENATE(", ",CHAR(34),"startTime",CHAR(34),":",CHAR(34),TEXT(AE32,"hh:mm"),CHAR(34),", ",CHAR(34),"endTime",CHAR(34),":",CHAR(34),TEXT(AF32,"hh:mm"),CHAR(34),", ",CHAR(34),"timeZone",CHAR(34),":",CHAR(34),AG32,CHAR(34)))),"}, {",
,CHAR(34),"startDate",CHAR(34),":",CHAR(34),TEXT(G32+1,"yyyy-mm-dd"),CHAR(34),", ",
,CHAR(34),"endDate",CHAR(34),":",CHAR(34),TEXT(G32+W32-1,"yyyy-mm-dd"),CHAR(34),
IF(OR(ISBLANK(AE32),ISBLANK(AF32)),"",(CONCATENATE(", ",CHAR(34),"startTime",CHAR(34),":",CHAR(34),TEXT(AE32,"hh:mm"),CHAR(34),", ",CHAR(34),"endTime",CHAR(34),":",CHAR(34),TEXT(AF32,"hh:mm"),CHAR(34),", ",CHAR(34),"timeZone",CHAR(34),":",CHAR(34),AG32,CHAR(34)))),"}]'"),
CONCATENATE(
"{  startDate=",CHAR(34),TEXT(G32,"yyyy-mm-dd"),CHAR(34),
"  endDate=",CHAR(34),TEXT(G32+W32-1,"yyyy-mm-dd"),CHAR(34),"}"))),
" &gt;&lt;/add-to-calendar-button&gt;")</f>
        <v>&lt;add-to-calendar-button  name="Delhi All-Day Singing"   location="Baa Baa Black Sheep Records, A-163/1, HK house, 1st Floor, Lado Sarai, New Delhi, Delhi 110030, India"   description="12pm-5pm; shapenotesingings.com"   options="'Apple','Google','iCal','Outlook.com'"   styleLight="--btn-background: #550000; --btn-text: #fff; --btn-shadow:#fff;"startDate="2025-07-06"{endDate="2025-07-06" startTime="12:00" endTime="17:00" timeZone="Asia/Kolkata" &gt;&lt;/add-to-calendar-button&gt;</v>
      </c>
      <c r="AE32" s="24">
        <v>0.5</v>
      </c>
      <c r="AF32" s="24">
        <v>0.70833333333333337</v>
      </c>
      <c r="AG32" s="25" t="s">
        <v>1651</v>
      </c>
    </row>
    <row r="33" spans="1:33" ht="13.8" customHeight="1" x14ac:dyDescent="0.3">
      <c r="A33" t="s">
        <v>8</v>
      </c>
      <c r="B33" t="s">
        <v>17</v>
      </c>
      <c r="C33" t="s">
        <v>1140</v>
      </c>
      <c r="D33" t="s">
        <v>30</v>
      </c>
      <c r="E33" t="s">
        <v>519</v>
      </c>
      <c r="F33" t="s">
        <v>546</v>
      </c>
      <c r="G33" s="7">
        <f t="shared" ca="1" si="14"/>
        <v>45851</v>
      </c>
      <c r="H33" s="5" t="s">
        <v>2069</v>
      </c>
      <c r="I33" t="s">
        <v>1113</v>
      </c>
      <c r="K33" t="s">
        <v>1806</v>
      </c>
      <c r="M33" s="16" t="s">
        <v>994</v>
      </c>
      <c r="N33" s="16" t="s">
        <v>125</v>
      </c>
      <c r="O33" s="7">
        <v>44936</v>
      </c>
      <c r="P33" s="7" t="s">
        <v>926</v>
      </c>
      <c r="Q33" s="18">
        <v>7</v>
      </c>
      <c r="R33" s="18">
        <v>2</v>
      </c>
      <c r="S33" s="18">
        <v>1</v>
      </c>
      <c r="T33" s="4">
        <f>DATE('Annual Singings'!AI$2,$Q33,1+(($R33-($S33&gt;=WEEKDAY(DATE('Annual Singings'!AI$2,$Q33,1))))*7)+($S33-WEEKDAY(DATE('Annual Singings'!AI$2,$Q33,1))))</f>
        <v>45851</v>
      </c>
      <c r="U33" s="4">
        <f>DATE('Annual Singings'!AJ$2,$Q33,1+(($R33-($S33&gt;=WEEKDAY(DATE('Annual Singings'!AJ$2,$Q33,1))))*7)+($S33-WEEKDAY(DATE('Annual Singings'!AJ$2,$Q33,1))))</f>
        <v>46215</v>
      </c>
      <c r="V33" s="20">
        <v>0</v>
      </c>
      <c r="W33" s="20">
        <v>1</v>
      </c>
      <c r="X33" s="4">
        <f t="shared" ca="1" si="15"/>
        <v>45851</v>
      </c>
      <c r="Y33" s="5">
        <f t="shared" ca="1" si="16"/>
        <v>45851</v>
      </c>
      <c r="Z33" t="str">
        <f t="shared" ca="1" si="17"/>
        <v>July 13, 2025</v>
      </c>
      <c r="AA33" s="7">
        <f t="shared" si="18"/>
        <v>44936</v>
      </c>
      <c r="AB33" s="14">
        <f t="shared" si="19"/>
        <v>45851</v>
      </c>
      <c r="AC33" t="s">
        <v>1315</v>
      </c>
      <c r="AD33" s="23" t="str">
        <f t="shared" ca="1" si="20"/>
        <v>&lt;add-to-calendar-button  name="Original B.F. White Sacred Harp Singing Convention"   location="Hardeman Primitive Baptist Church, 3965 Glenwood Rd, Decatur, GA 30032"   description="1:15pm; shapenotesingings.com"   options="'Apple','Google','iCal','Outlook.com'"   styleLight="--btn-background: #550000; --btn-text: #fff; --btn-shadow:#fff;"startDate="2025-07-13"{endDate="2025-07-13" &gt;&lt;/add-to-calendar-button&gt;</v>
      </c>
      <c r="AE33" s="24"/>
      <c r="AF33" s="24"/>
      <c r="AG33" s="25" t="s">
        <v>1532</v>
      </c>
    </row>
    <row r="34" spans="1:33" x14ac:dyDescent="0.3">
      <c r="A34" t="s">
        <v>79</v>
      </c>
      <c r="B34" t="s">
        <v>426</v>
      </c>
      <c r="C34" t="s">
        <v>1136</v>
      </c>
      <c r="D34" t="s">
        <v>427</v>
      </c>
      <c r="E34" t="s">
        <v>2178</v>
      </c>
      <c r="F34" t="s">
        <v>441</v>
      </c>
      <c r="G34" s="7">
        <f t="shared" ca="1" si="14"/>
        <v>45808</v>
      </c>
      <c r="H34" s="5" t="s">
        <v>428</v>
      </c>
      <c r="I34" t="s">
        <v>1045</v>
      </c>
      <c r="J34" s="36"/>
      <c r="L34" t="s">
        <v>968</v>
      </c>
      <c r="M34" s="16" t="s">
        <v>429</v>
      </c>
      <c r="N34" s="16" t="s">
        <v>430</v>
      </c>
      <c r="O34" s="7">
        <v>44936</v>
      </c>
      <c r="P34" s="7" t="s">
        <v>926</v>
      </c>
      <c r="Q34" s="18">
        <v>6</v>
      </c>
      <c r="R34" s="18">
        <v>1</v>
      </c>
      <c r="S34" s="18">
        <v>1</v>
      </c>
      <c r="T34" s="4">
        <f>DATE('Annual Singings'!AI$2,$Q34,1+(($R34-($S34&gt;=WEEKDAY(DATE('Annual Singings'!AI$2,$Q34,1))))*7)+($S34-WEEKDAY(DATE('Annual Singings'!AI$2,$Q34,1))))</f>
        <v>45809</v>
      </c>
      <c r="U34" s="4">
        <f>DATE('Annual Singings'!AJ$2,$Q34,1+(($R34-($S34&gt;=WEEKDAY(DATE('Annual Singings'!AJ$2,$Q34,1))))*7)+($S34-WEEKDAY(DATE('Annual Singings'!AJ$2,$Q34,1))))</f>
        <v>46180</v>
      </c>
      <c r="V34" s="20">
        <v>-1</v>
      </c>
      <c r="W34" s="20">
        <v>1</v>
      </c>
      <c r="X34" s="4">
        <f t="shared" ca="1" si="15"/>
        <v>45808</v>
      </c>
      <c r="Y34" s="5">
        <f t="shared" ca="1" si="16"/>
        <v>45808</v>
      </c>
      <c r="Z34" t="str">
        <f t="shared" ca="1" si="17"/>
        <v>May 31, 2025</v>
      </c>
      <c r="AA34" s="7">
        <f t="shared" si="18"/>
        <v>44936</v>
      </c>
      <c r="AB34" s="14">
        <f t="shared" si="19"/>
        <v>45808</v>
      </c>
      <c r="AC34" t="s">
        <v>1281</v>
      </c>
      <c r="AD34" s="23" t="str">
        <f t="shared" ca="1" si="20"/>
        <v>&lt;add-to-calendar-button  name="Vancouver All-Day Singing"   location="Grandview Calvary Baptist Church, 1803 E 1st Ave, Vancouver, BC V5L 4B8, Canada"   description="9:30am-3:30pm; shapenotesingings.com"   options="'Apple','Google','iCal','Outlook.com'"   styleLight="--btn-background: #550000; --btn-text: #fff; --btn-shadow:#fff;"startDate="2025-05-31"{endDate="2025-05-31" startTime="09:30" endTime="14:30" timeZone="America/Vancouver" &gt;&lt;/add-to-calendar-button&gt;</v>
      </c>
      <c r="AE34" s="24">
        <v>0.39583333333333331</v>
      </c>
      <c r="AF34" s="24">
        <v>0.60416666666666663</v>
      </c>
      <c r="AG34" s="25" t="s">
        <v>1539</v>
      </c>
    </row>
    <row r="35" spans="1:33" x14ac:dyDescent="0.3">
      <c r="A35" t="s">
        <v>8</v>
      </c>
      <c r="B35" t="s">
        <v>1156</v>
      </c>
      <c r="C35" t="s">
        <v>1156</v>
      </c>
      <c r="D35" t="s">
        <v>560</v>
      </c>
      <c r="E35" t="s">
        <v>32</v>
      </c>
      <c r="F35" t="s">
        <v>561</v>
      </c>
      <c r="G35" s="7">
        <f t="shared" ca="1" si="14"/>
        <v>45871</v>
      </c>
      <c r="H35" s="5" t="s">
        <v>559</v>
      </c>
      <c r="I35" t="s">
        <v>1040</v>
      </c>
      <c r="K35" t="s">
        <v>1042</v>
      </c>
      <c r="L35" t="s">
        <v>1396</v>
      </c>
      <c r="M35" s="16"/>
      <c r="N35" s="16"/>
      <c r="O35" s="7">
        <v>44936</v>
      </c>
      <c r="P35" s="7" t="s">
        <v>926</v>
      </c>
      <c r="Q35" s="18">
        <v>8</v>
      </c>
      <c r="R35" s="18">
        <v>1</v>
      </c>
      <c r="S35" s="18">
        <v>1</v>
      </c>
      <c r="T35" s="4">
        <f>DATE('Annual Singings'!AI$2,$Q35,1+(($R35-($S35&gt;=WEEKDAY(DATE('Annual Singings'!AI$2,$Q35,1))))*7)+($S35-WEEKDAY(DATE('Annual Singings'!AI$2,$Q35,1))))</f>
        <v>45872</v>
      </c>
      <c r="U35" s="4">
        <f>DATE('Annual Singings'!AJ$2,$Q35,1+(($R35-($S35&gt;=WEEKDAY(DATE('Annual Singings'!AJ$2,$Q35,1))))*7)+($S35-WEEKDAY(DATE('Annual Singings'!AJ$2,$Q35,1))))</f>
        <v>46236</v>
      </c>
      <c r="V35" s="20">
        <v>-1</v>
      </c>
      <c r="W35" s="20">
        <v>1</v>
      </c>
      <c r="X35" s="4">
        <f t="shared" ca="1" si="15"/>
        <v>45871</v>
      </c>
      <c r="Y35" s="5">
        <f t="shared" ca="1" si="16"/>
        <v>45871</v>
      </c>
      <c r="Z35" t="str">
        <f t="shared" ca="1" si="17"/>
        <v>August 2, 2025</v>
      </c>
      <c r="AA35" s="7">
        <f t="shared" si="18"/>
        <v>44936</v>
      </c>
      <c r="AB35" s="14">
        <f t="shared" si="19"/>
        <v>45871</v>
      </c>
      <c r="AD35" s="23" t="str">
        <f t="shared" ca="1" si="20"/>
        <v>&lt;add-to-calendar-button  name="Eugene Singing"   description="9:30am; shapenotesingings.com"   options="'Apple','Google','iCal','Outlook.com'"   styleLight="--btn-background: #550000; --btn-text: #fff; --btn-shadow:#fff;"startDate="2025-08-02"{endDate="2025-08-02" startTime="09:30" endTime="15:00" timeZone="America/Los_Angeles" &gt;&lt;/add-to-calendar-button&gt;</v>
      </c>
      <c r="AE35" s="24">
        <v>0.39583333333333331</v>
      </c>
      <c r="AF35" s="24">
        <v>0.625</v>
      </c>
      <c r="AG35" s="25" t="s">
        <v>1534</v>
      </c>
    </row>
    <row r="36" spans="1:33" x14ac:dyDescent="0.3">
      <c r="A36" t="s">
        <v>8</v>
      </c>
      <c r="B36" t="s">
        <v>17</v>
      </c>
      <c r="C36" t="s">
        <v>1140</v>
      </c>
      <c r="D36" t="s">
        <v>155</v>
      </c>
      <c r="E36" t="s">
        <v>2186</v>
      </c>
      <c r="F36" t="s">
        <v>1821</v>
      </c>
      <c r="G36" s="7">
        <f t="shared" ca="1" si="14"/>
        <v>45837</v>
      </c>
      <c r="H36" s="5" t="s">
        <v>1823</v>
      </c>
      <c r="I36" t="s">
        <v>1037</v>
      </c>
      <c r="K36" t="s">
        <v>1827</v>
      </c>
      <c r="L36" t="s">
        <v>2111</v>
      </c>
      <c r="M36" s="16" t="s">
        <v>1026</v>
      </c>
      <c r="N36" s="16" t="s">
        <v>129</v>
      </c>
      <c r="O36" s="7">
        <v>45290</v>
      </c>
      <c r="P36" s="7" t="s">
        <v>1980</v>
      </c>
      <c r="Q36" s="18">
        <v>6</v>
      </c>
      <c r="R36" s="18">
        <v>5</v>
      </c>
      <c r="S36" s="18">
        <v>1</v>
      </c>
      <c r="T36" s="4">
        <f>DATE('Annual Singings'!AI$2,$Q36,1+(($R36-($S36&gt;=WEEKDAY(DATE('Annual Singings'!AI$2,$Q36,1))))*7)+($S36-WEEKDAY(DATE('Annual Singings'!AI$2,$Q36,1))))</f>
        <v>45837</v>
      </c>
      <c r="U36" s="4">
        <f>DATE('Annual Singings'!AJ$2,$Q36,1+(($R36-($S36&gt;=WEEKDAY(DATE('Annual Singings'!AJ$2,$Q36,1))))*7)+($S36-WEEKDAY(DATE('Annual Singings'!AJ$2,$Q36,1))))</f>
        <v>46208</v>
      </c>
      <c r="V36" s="20">
        <v>0</v>
      </c>
      <c r="W36" s="20">
        <v>1</v>
      </c>
      <c r="X36" s="4">
        <f t="shared" ca="1" si="15"/>
        <v>45837</v>
      </c>
      <c r="Y36" s="5">
        <f t="shared" ca="1" si="16"/>
        <v>45837</v>
      </c>
      <c r="Z36" t="str">
        <f t="shared" ca="1" si="17"/>
        <v>June 29, 2025</v>
      </c>
      <c r="AA36" s="7">
        <f t="shared" si="18"/>
        <v>45290</v>
      </c>
      <c r="AB36" s="14">
        <f t="shared" si="19"/>
        <v>45837</v>
      </c>
      <c r="AC36" t="s">
        <v>1822</v>
      </c>
      <c r="AD36" s="23" t="str">
        <f t="shared" ca="1" si="20"/>
        <v>&lt;add-to-calendar-button  name="Revision-Music Committee Singing"   location="Holly Springs Primitive Baptist Church, 760 Holly Springs Rd, Carrollton, GA 30117"   description="10am-3pm; shapenotesingings.com"   options="'Apple','Google','iCal','Outlook.com'"   styleLight="--btn-background: #550000; --btn-text: #fff; --btn-shadow:#fff;"startDate="2025-06-29"{endDate="2025-06-29" startTime="09:30" endTime="15:00" timeZone="America/New_York" &gt;&lt;/add-to-calendar-button&gt;</v>
      </c>
      <c r="AE36" s="24">
        <v>0.39583333333333331</v>
      </c>
      <c r="AF36" s="24">
        <v>0.625</v>
      </c>
      <c r="AG36" s="25" t="s">
        <v>1532</v>
      </c>
    </row>
    <row r="37" spans="1:33" x14ac:dyDescent="0.3">
      <c r="A37" t="s">
        <v>8</v>
      </c>
      <c r="B37" t="s">
        <v>200</v>
      </c>
      <c r="C37" t="s">
        <v>395</v>
      </c>
      <c r="D37" t="s">
        <v>476</v>
      </c>
      <c r="E37" t="s">
        <v>2178</v>
      </c>
      <c r="F37" t="s">
        <v>266</v>
      </c>
      <c r="G37" s="7">
        <f t="shared" ca="1" si="14"/>
        <v>45822</v>
      </c>
      <c r="H37" s="5" t="s">
        <v>477</v>
      </c>
      <c r="J37" s="36"/>
      <c r="K37" t="s">
        <v>1106</v>
      </c>
      <c r="L37" t="s">
        <v>971</v>
      </c>
      <c r="M37" s="16" t="s">
        <v>474</v>
      </c>
      <c r="N37" s="16" t="s">
        <v>475</v>
      </c>
      <c r="O37" s="7">
        <v>44936</v>
      </c>
      <c r="P37" s="7" t="s">
        <v>926</v>
      </c>
      <c r="Q37" s="18">
        <v>6</v>
      </c>
      <c r="R37" s="18">
        <v>3</v>
      </c>
      <c r="S37" s="18">
        <v>1</v>
      </c>
      <c r="T37" s="4">
        <f>DATE('Annual Singings'!AI$2,$Q37,1+(($R37-($S37&gt;=WEEKDAY(DATE('Annual Singings'!AI$2,$Q37,1))))*7)+($S37-WEEKDAY(DATE('Annual Singings'!AI$2,$Q37,1))))</f>
        <v>45823</v>
      </c>
      <c r="U37" s="4">
        <f>DATE('Annual Singings'!AJ$2,$Q37,1+(($R37-($S37&gt;=WEEKDAY(DATE('Annual Singings'!AJ$2,$Q37,1))))*7)+($S37-WEEKDAY(DATE('Annual Singings'!AJ$2,$Q37,1))))</f>
        <v>46194</v>
      </c>
      <c r="V37" s="20">
        <v>-1</v>
      </c>
      <c r="W37" s="20">
        <v>1</v>
      </c>
      <c r="X37" s="4">
        <f t="shared" ca="1" si="15"/>
        <v>45822</v>
      </c>
      <c r="Y37" s="5">
        <f t="shared" ca="1" si="16"/>
        <v>45822</v>
      </c>
      <c r="Z37" t="str">
        <f t="shared" ca="1" si="17"/>
        <v>June 14, 2025</v>
      </c>
      <c r="AA37" s="7">
        <f t="shared" si="18"/>
        <v>44936</v>
      </c>
      <c r="AB37" s="14">
        <f t="shared" si="19"/>
        <v>45822</v>
      </c>
      <c r="AC37" t="s">
        <v>1298</v>
      </c>
      <c r="AD37" s="23" t="str">
        <f t="shared" ca="1" si="20"/>
        <v>&lt;add-to-calendar-button  name="Mt. Adams All-Day Singing"   location="The Trout Lake Grange Hall, 2390 Highway 141, Trout Lake, Washington"   description="shapenotesingings.com"   options="'Apple','Google','iCal','Outlook.com'"   styleLight="--btn-background: #550000; --btn-text: #fff; --btn-shadow:#fff;"startDate="2025-06-14"{endDate="2025-06-14" &gt;&lt;/add-to-calendar-button&gt;</v>
      </c>
      <c r="AE37" s="24"/>
      <c r="AF37" s="24"/>
      <c r="AG37" s="25" t="s">
        <v>1534</v>
      </c>
    </row>
    <row r="39" spans="1:33" x14ac:dyDescent="0.3">
      <c r="A39" t="s">
        <v>8</v>
      </c>
      <c r="B39" t="s">
        <v>151</v>
      </c>
      <c r="C39" t="s">
        <v>1137</v>
      </c>
      <c r="D39" t="s">
        <v>2260</v>
      </c>
      <c r="E39" t="s">
        <v>2178</v>
      </c>
      <c r="F39" t="s">
        <v>1745</v>
      </c>
      <c r="G39" s="7">
        <f ca="1">X39</f>
        <v>45934</v>
      </c>
      <c r="H39" s="5" t="s">
        <v>2261</v>
      </c>
      <c r="I39" t="s">
        <v>1037</v>
      </c>
      <c r="L39" t="s">
        <v>2265</v>
      </c>
      <c r="M39" s="16" t="s">
        <v>2262</v>
      </c>
      <c r="N39" s="16" t="s">
        <v>2263</v>
      </c>
      <c r="O39" s="7">
        <v>45538</v>
      </c>
      <c r="P39" s="7" t="s">
        <v>2264</v>
      </c>
      <c r="Q39" s="18">
        <v>10</v>
      </c>
      <c r="R39" s="18">
        <v>1</v>
      </c>
      <c r="S39" s="18">
        <v>7</v>
      </c>
      <c r="T39" s="4">
        <f>DATE('Annual Singings'!AI$2,$Q39,1+(($R39-($S39&gt;=WEEKDAY(DATE('Annual Singings'!AI$2,$Q39,1))))*7)+($S39-WEEKDAY(DATE('Annual Singings'!AI$2,$Q39,1))))</f>
        <v>45934</v>
      </c>
      <c r="U39" s="4">
        <f>DATE('Annual Singings'!AJ$2,$Q39,1+(($R39-($S39&gt;=WEEKDAY(DATE('Annual Singings'!AJ$2,$Q39,1))))*7)+($S39-WEEKDAY(DATE('Annual Singings'!AJ$2,$Q39,1))))</f>
        <v>46298</v>
      </c>
      <c r="V39" s="20">
        <v>0</v>
      </c>
      <c r="W39" s="20">
        <v>1</v>
      </c>
      <c r="X39" s="4">
        <f ca="1">Y39-(W39-1)</f>
        <v>45934</v>
      </c>
      <c r="Y39" s="5">
        <f ca="1">IF(OR(T39+V39&lt;(NOW()-0.5),ISNUMBER(SEARCH("&lt;h4&gt;",K39))),U39+V39,T39+V39)</f>
        <v>45934</v>
      </c>
      <c r="Z39" t="str">
        <f ca="1">CONCATENATE(IF(OR(Y39=X39,ISBLANK(Y39)),TEXT(X39,"mmmm d"),CONCATENATE(TEXT(X39,"mmmm d"),"-",IF(TEXT(X39,"mmmm")=TEXT(Y39,"mmmm"),TEXT(Y39,"d"),TEXT(Y39,"mmmm d")))),", ",YEAR(Y39))</f>
        <v>October 4, 2025</v>
      </c>
      <c r="AA39" s="7">
        <f>O39</f>
        <v>45538</v>
      </c>
      <c r="AB39" s="14">
        <f>T39+V39-(W39-1)</f>
        <v>45934</v>
      </c>
      <c r="AC39" t="s">
        <v>2266</v>
      </c>
      <c r="AD39" s="23" t="str">
        <f ca="1">CONCATENATE("&lt;add-to-calendar-button  name=",CHAR(34),H39,CHAR(34),
IF(ISBLANK(M39),"",CONCATENATE("   location=",CHAR(34),RIGHT(M39,LEN(M39)-SEARCH("|",M39)-1),CHAR(34))),
"   description=",CHAR(34),IF(ISBLANK(I39),"",CONCATENATE(I39,"; ")),"shapenotesingings.com",CHAR(34),
"   options=",CHAR(34),"'Apple','Google','iCal','Outlook.com'",CHAR(34),"   styleLight=",CHAR(34),"--btn-background: #550000; --btn-text: #fff; --btn-shadow:#fff;",CHAR(34),
IF(W39=1,CONCATENATE(
"startDate=",CHAR(34),TEXT(G39,"yyyy-mm-dd"),CHAR(34),
"{endDate=",CHAR(34),TEXT(G39,"yyyy-mm-dd"),CHAR(34),
IF(OR(ISBLANK(AE39),ISBLANK(AF39)),"",(CONCATENATE(" startTime=",CHAR(34),TEXT(AE39,"hh:mm"),CHAR(34)," endTime=",CHAR(34),TEXT(AF39,"h:mm"),CHAR(34),
" timeZone=",CHAR(34),AG39,CHAR(34))))),
IF(W39=2,CONCATENATE(" dates='[{",
CHAR(34),"startDate",CHAR(34),":",CHAR(34),TEXT(G39,"yyyy-mm-dd"),CHAR(34),", ",
,CHAR(34),"endDate",CHAR(34),":",CHAR(34),TEXT(G39,"yyyy-mm-dd"),CHAR(34),
IF(OR(ISBLANK(AE39),ISBLANK(AF39)),"",(CONCATENATE(", ",CHAR(34),"startTime",CHAR(34),":",CHAR(34),TEXT(AE39,"hh:mm"),CHAR(34),", ",CHAR(34),"endTime",CHAR(34),":",CHAR(34),TEXT(AF39,"hh:mm"),CHAR(34),", ",CHAR(34),"timeZone",CHAR(34),":",CHAR(34),AG39,CHAR(34)))),"}, {",
,CHAR(34),"startDate",CHAR(34),":",CHAR(34),TEXT(G39+1,"yyyy-mm-dd"),CHAR(34),", ",
,CHAR(34),"endDate",CHAR(34),":",CHAR(34),TEXT(G39+W39-1,"yyyy-mm-dd"),CHAR(34),
IF(OR(ISBLANK(AE39),ISBLANK(AF39)),"",(CONCATENATE(", ",CHAR(34),"startTime",CHAR(34),":",CHAR(34),TEXT(AE39,"hh:mm"),CHAR(34),", ",CHAR(34),"endTime",CHAR(34),":",CHAR(34),TEXT(AF39,"hh:mm"),CHAR(34),", ",CHAR(34),"timeZone",CHAR(34),":",CHAR(34),AG39,CHAR(34)))),"}]'"),
CONCATENATE(
"{  startDate=",CHAR(34),TEXT(G39,"yyyy-mm-dd"),CHAR(34),
"  endDate=",CHAR(34),TEXT(G39+W39-1,"yyyy-mm-dd"),CHAR(34),"}"))),
" &gt;&lt;/add-to-calendar-button&gt;")</f>
        <v>&lt;add-to-calendar-button  name="Jeff Begley Memorial Singing"   location="Angels Gate, Building H, 3601 S Gaffey St, San Pedro, CA 90731"   description="10am-3pm; shapenotesingings.com"   options="'Apple','Google','iCal','Outlook.com'"   styleLight="--btn-background: #550000; --btn-text: #fff; --btn-shadow:#fff;"startDate="2025-10-04"{endDate="2025-10-04" startTime="10:00" endTime="15:00" timeZone="America/Los_Angeles" &gt;&lt;/add-to-calendar-button&gt;</v>
      </c>
      <c r="AE39" s="24">
        <v>0.41666666666666669</v>
      </c>
      <c r="AF39" s="24">
        <v>0.625</v>
      </c>
      <c r="AG39" s="25" t="s">
        <v>1534</v>
      </c>
    </row>
    <row r="40" spans="1:33" x14ac:dyDescent="0.3">
      <c r="A40" t="s">
        <v>8</v>
      </c>
      <c r="B40" t="s">
        <v>11</v>
      </c>
      <c r="C40" t="s">
        <v>1134</v>
      </c>
      <c r="D40" t="s">
        <v>539</v>
      </c>
      <c r="E40" t="s">
        <v>2178</v>
      </c>
      <c r="F40" t="s">
        <v>726</v>
      </c>
      <c r="G40" s="7">
        <f ca="1">X40</f>
        <v>45969</v>
      </c>
      <c r="H40" s="5" t="s">
        <v>1771</v>
      </c>
      <c r="I40" t="s">
        <v>1037</v>
      </c>
      <c r="L40" t="s">
        <v>2006</v>
      </c>
      <c r="M40" s="16" t="s">
        <v>1772</v>
      </c>
      <c r="N40" s="16" t="s">
        <v>1773</v>
      </c>
      <c r="O40" s="7">
        <v>45233</v>
      </c>
      <c r="P40" s="7" t="s">
        <v>2007</v>
      </c>
      <c r="Q40" s="18">
        <v>11</v>
      </c>
      <c r="R40" s="18">
        <v>2</v>
      </c>
      <c r="S40" s="18">
        <v>1</v>
      </c>
      <c r="T40" s="4">
        <f>DATE('Annual Singings'!AI$2,$Q40,1+(($R40-($S40&gt;=WEEKDAY(DATE('Annual Singings'!AI$2,$Q40,1))))*7)+($S40-WEEKDAY(DATE('Annual Singings'!AI$2,$Q40,1))))</f>
        <v>45970</v>
      </c>
      <c r="U40" s="4">
        <f>DATE('Annual Singings'!AJ$2,$Q40,1+(($R40-($S40&gt;=WEEKDAY(DATE('Annual Singings'!AJ$2,$Q40,1))))*7)+($S40-WEEKDAY(DATE('Annual Singings'!AJ$2,$Q40,1))))</f>
        <v>46334</v>
      </c>
      <c r="V40" s="20">
        <v>-1</v>
      </c>
      <c r="W40" s="20">
        <v>1</v>
      </c>
      <c r="X40" s="4">
        <f ca="1">Y40-(W40-1)</f>
        <v>45969</v>
      </c>
      <c r="Y40" s="5">
        <f ca="1">IF(OR(T40+V40&lt;(NOW()-0.5),ISNUMBER(SEARCH("&lt;h4&gt;",K40))),U40+V40,T40+V40)</f>
        <v>45969</v>
      </c>
      <c r="Z40" t="str">
        <f ca="1">CONCATENATE(IF(OR(Y40=X40,ISBLANK(Y40)),TEXT(X40,"mmmm d"),CONCATENATE(TEXT(X40,"mmmm d"),"-",IF(TEXT(X40,"mmmm")=TEXT(Y40,"mmmm"),TEXT(Y40,"d"),TEXT(Y40,"mmmm d")))),", ",YEAR(Y40))</f>
        <v>November 8, 2025</v>
      </c>
      <c r="AA40" s="7">
        <f>O40</f>
        <v>45233</v>
      </c>
      <c r="AB40" s="14">
        <f>T40+V40-(W40-1)</f>
        <v>45969</v>
      </c>
      <c r="AC40" t="s">
        <v>1774</v>
      </c>
      <c r="AD40" s="23" t="str">
        <f ca="1">CONCATENATE("&lt;add-to-calendar-button  name=",CHAR(34),H40,CHAR(34),
IF(ISBLANK(M40),"",CONCATENATE("   location=",CHAR(34),RIGHT(M40,LEN(M40)-SEARCH("|",M40)-1),CHAR(34))),
"   description=",CHAR(34),IF(ISBLANK(I40),"",CONCATENATE(I40,"; ")),"shapenotesingings.com",CHAR(34),
"   options=",CHAR(34),"'Apple','Google','iCal','Outlook.com'",CHAR(34),"   styleLight=",CHAR(34),"--btn-background: #550000; --btn-text: #fff; --btn-shadow:#fff;",CHAR(34),
IF(W40=1,CONCATENATE(
"startDate=",CHAR(34),TEXT(G40,"yyyy-mm-dd"),CHAR(34),
"{endDate=",CHAR(34),TEXT(G40,"yyyy-mm-dd"),CHAR(34),
IF(OR(ISBLANK(AE40),ISBLANK(AF40)),"",(CONCATENATE(" startTime=",CHAR(34),TEXT(AE40,"hh:mm"),CHAR(34)," endTime=",CHAR(34),TEXT(AF40,"h:mm"),CHAR(34),
" timeZone=",CHAR(34),AG40,CHAR(34))))),
IF(W40=2,CONCATENATE(" dates='[{",
CHAR(34),"startDate",CHAR(34),":",CHAR(34),TEXT(G40,"yyyy-mm-dd"),CHAR(34),", ",
,CHAR(34),"endDate",CHAR(34),":",CHAR(34),TEXT(G40,"yyyy-mm-dd"),CHAR(34),
IF(OR(ISBLANK(AE40),ISBLANK(AF40)),"",(CONCATENATE(", ",CHAR(34),"startTime",CHAR(34),":",CHAR(34),TEXT(AE40,"hh:mm"),CHAR(34),", ",CHAR(34),"endTime",CHAR(34),":",CHAR(34),TEXT(AF40,"hh:mm"),CHAR(34),", ",CHAR(34),"timeZone",CHAR(34),":",CHAR(34),AG40,CHAR(34)))),"}, {",
,CHAR(34),"startDate",CHAR(34),":",CHAR(34),TEXT(G40+1,"yyyy-mm-dd"),CHAR(34),", ",
,CHAR(34),"endDate",CHAR(34),":",CHAR(34),TEXT(G40+W40-1,"yyyy-mm-dd"),CHAR(34),
IF(OR(ISBLANK(AE40),ISBLANK(AF40)),"",(CONCATENATE(", ",CHAR(34),"startTime",CHAR(34),":",CHAR(34),TEXT(AE40,"hh:mm"),CHAR(34),", ",CHAR(34),"endTime",CHAR(34),":",CHAR(34),TEXT(AF40,"hh:mm"),CHAR(34),", ",CHAR(34),"timeZone",CHAR(34),":",CHAR(34),AG40,CHAR(34)))),"}]'"),
CONCATENATE(
"{  startDate=",CHAR(34),TEXT(G40,"yyyy-mm-dd"),CHAR(34),
"  endDate=",CHAR(34),TEXT(G40+W40-1,"yyyy-mm-dd"),CHAR(34),"}"))),
" &gt;&lt;/add-to-calendar-button&gt;")</f>
        <v>&lt;add-to-calendar-button  name="Harmony PBC Singing"   location="Harmony Primitive Baptist Church, 1810 Lawrence Cove Rd, Eva, AL 35621"   description="10am-3pm; shapenotesingings.com"   options="'Apple','Google','iCal','Outlook.com'"   styleLight="--btn-background: #550000; --btn-text: #fff; --btn-shadow:#fff;"startDate="2025-11-08"{endDate="2025-11-08" startTime="10:00" endTime="15:00" timeZone="America/Chicago" &gt;&lt;/add-to-calendar-button&gt;</v>
      </c>
      <c r="AE40" s="24">
        <v>0.41666666666666669</v>
      </c>
      <c r="AF40" s="24">
        <v>0.625</v>
      </c>
      <c r="AG40" s="25" t="s">
        <v>1533</v>
      </c>
    </row>
    <row r="41" spans="1:33" x14ac:dyDescent="0.3">
      <c r="A41" t="s">
        <v>8</v>
      </c>
      <c r="B41" t="s">
        <v>11</v>
      </c>
      <c r="C41" t="s">
        <v>1134</v>
      </c>
      <c r="D41" t="s">
        <v>251</v>
      </c>
      <c r="E41" t="s">
        <v>2178</v>
      </c>
      <c r="F41" t="s">
        <v>748</v>
      </c>
      <c r="G41" s="7">
        <f ca="1">X41</f>
        <v>45970</v>
      </c>
      <c r="H41" s="5" t="s">
        <v>745</v>
      </c>
      <c r="L41" t="s">
        <v>976</v>
      </c>
      <c r="M41" s="16" t="s">
        <v>746</v>
      </c>
      <c r="N41" s="16" t="s">
        <v>747</v>
      </c>
      <c r="O41" s="7">
        <v>44936</v>
      </c>
      <c r="P41" s="7" t="s">
        <v>926</v>
      </c>
      <c r="Q41" s="18">
        <v>11</v>
      </c>
      <c r="R41" s="18">
        <v>2</v>
      </c>
      <c r="S41" s="18">
        <v>1</v>
      </c>
      <c r="T41" s="4">
        <f>DATE('Annual Singings'!AI$2,$Q41,1+(($R41-($S41&gt;=WEEKDAY(DATE('Annual Singings'!AI$2,$Q41,1))))*7)+($S41-WEEKDAY(DATE('Annual Singings'!AI$2,$Q41,1))))</f>
        <v>45970</v>
      </c>
      <c r="U41" s="4">
        <f>DATE('Annual Singings'!AJ$2,$Q41,1+(($R41-($S41&gt;=WEEKDAY(DATE('Annual Singings'!AJ$2,$Q41,1))))*7)+($S41-WEEKDAY(DATE('Annual Singings'!AJ$2,$Q41,1))))</f>
        <v>46334</v>
      </c>
      <c r="V41" s="20">
        <v>0</v>
      </c>
      <c r="W41" s="20">
        <v>1</v>
      </c>
      <c r="X41" s="4">
        <f ca="1">Y41-(W41-1)</f>
        <v>45970</v>
      </c>
      <c r="Y41" s="5">
        <f ca="1">IF(OR(T41+V41&lt;(NOW()-0.5),ISNUMBER(SEARCH("&lt;h4&gt;",K41))),U41+V41,T41+V41)</f>
        <v>45970</v>
      </c>
      <c r="Z41" t="str">
        <f ca="1">CONCATENATE(IF(OR(Y41=X41,ISBLANK(Y41)),TEXT(X41,"mmmm d"),CONCATENATE(TEXT(X41,"mmmm d"),"-",IF(TEXT(X41,"mmmm")=TEXT(Y41,"mmmm"),TEXT(Y41,"d"),TEXT(Y41,"mmmm d")))),", ",YEAR(Y41))</f>
        <v>November 9, 2025</v>
      </c>
      <c r="AA41" s="7">
        <f>O41</f>
        <v>44936</v>
      </c>
      <c r="AB41" s="14">
        <f>T41+V41-(W41-1)</f>
        <v>45970</v>
      </c>
      <c r="AC41" t="s">
        <v>1389</v>
      </c>
      <c r="AD41" s="23" t="str">
        <f ca="1">CONCATENATE("&lt;add-to-calendar-button  name=",CHAR(34),H41,CHAR(34),
IF(ISBLANK(M41),"",CONCATENATE("   location=",CHAR(34),RIGHT(M41,LEN(M41)-SEARCH("|",M41)-1),CHAR(34))),
"   description=",CHAR(34),IF(ISBLANK(I41),"",CONCATENATE(I41,"; ")),"shapenotesingings.com",CHAR(34),
"   options=",CHAR(34),"'Apple','Google','iCal','Outlook.com'",CHAR(34),"   styleLight=",CHAR(34),"--btn-background: #550000; --btn-text: #fff; --btn-shadow:#fff;",CHAR(34),
IF(W41=1,CONCATENATE(
"startDate=",CHAR(34),TEXT(G41,"yyyy-mm-dd"),CHAR(34),
"{endDate=",CHAR(34),TEXT(G41,"yyyy-mm-dd"),CHAR(34),
IF(OR(ISBLANK(AE41),ISBLANK(AF41)),"",(CONCATENATE(" startTime=",CHAR(34),TEXT(AE41,"hh:mm"),CHAR(34)," endTime=",CHAR(34),TEXT(AF41,"h:mm"),CHAR(34),
" timeZone=",CHAR(34),AG41,CHAR(34))))),
IF(W41=2,CONCATENATE(" dates='[{",
CHAR(34),"startDate",CHAR(34),":",CHAR(34),TEXT(G41,"yyyy-mm-dd"),CHAR(34),", ",
,CHAR(34),"endDate",CHAR(34),":",CHAR(34),TEXT(G41,"yyyy-mm-dd"),CHAR(34),
IF(OR(ISBLANK(AE41),ISBLANK(AF41)),"",(CONCATENATE(", ",CHAR(34),"startTime",CHAR(34),":",CHAR(34),TEXT(AE41,"hh:mm"),CHAR(34),", ",CHAR(34),"endTime",CHAR(34),":",CHAR(34),TEXT(AF41,"hh:mm"),CHAR(34),", ",CHAR(34),"timeZone",CHAR(34),":",CHAR(34),AG41,CHAR(34)))),"}, {",
,CHAR(34),"startDate",CHAR(34),":",CHAR(34),TEXT(G41+1,"yyyy-mm-dd"),CHAR(34),", ",
,CHAR(34),"endDate",CHAR(34),":",CHAR(34),TEXT(G41+W41-1,"yyyy-mm-dd"),CHAR(34),
IF(OR(ISBLANK(AE41),ISBLANK(AF41)),"",(CONCATENATE(", ",CHAR(34),"startTime",CHAR(34),":",CHAR(34),TEXT(AE41,"hh:mm"),CHAR(34),", ",CHAR(34),"endTime",CHAR(34),":",CHAR(34),TEXT(AF41,"hh:mm"),CHAR(34),", ",CHAR(34),"timeZone",CHAR(34),":",CHAR(34),AG41,CHAR(34)))),"}]'"),
CONCATENATE(
"{  startDate=",CHAR(34),TEXT(G41,"yyyy-mm-dd"),CHAR(34),
"  endDate=",CHAR(34),TEXT(G41+W41-1,"yyyy-mm-dd"),CHAR(34),"}"))),
" &gt;&lt;/add-to-calendar-button&gt;")</f>
        <v>&lt;add-to-calendar-button  name="Calhoun County Convention and Boiling Springs Convention"   location="Oak Hill Baptist Church, 1301 County Line Rd, Oxford, AL 36203"   description="shapenotesingings.com"   options="'Apple','Google','iCal','Outlook.com'"   styleLight="--btn-background: #550000; --btn-text: #fff; --btn-shadow:#fff;"startDate="2025-11-09"{endDate="2025-11-09" &gt;&lt;/add-to-calendar-button&gt;</v>
      </c>
      <c r="AE41" s="24"/>
      <c r="AF41" s="24"/>
      <c r="AG41" s="25" t="s">
        <v>1533</v>
      </c>
    </row>
    <row r="42" spans="1:33" x14ac:dyDescent="0.3">
      <c r="A42" t="s">
        <v>8</v>
      </c>
      <c r="B42" t="s">
        <v>17</v>
      </c>
      <c r="C42" t="s">
        <v>1140</v>
      </c>
      <c r="D42" t="s">
        <v>108</v>
      </c>
      <c r="E42" t="s">
        <v>2178</v>
      </c>
      <c r="F42" t="s">
        <v>2311</v>
      </c>
      <c r="G42" s="7">
        <v>45990</v>
      </c>
      <c r="H42" s="5" t="s">
        <v>107</v>
      </c>
      <c r="I42" t="s">
        <v>1028</v>
      </c>
      <c r="L42" t="s">
        <v>2226</v>
      </c>
      <c r="M42" s="16" t="s">
        <v>1783</v>
      </c>
      <c r="N42" s="16" t="s">
        <v>1784</v>
      </c>
      <c r="O42" s="7">
        <v>45305</v>
      </c>
      <c r="P42" s="7" t="s">
        <v>1883</v>
      </c>
      <c r="Q42" s="18">
        <v>9</v>
      </c>
      <c r="R42" s="18"/>
      <c r="S42" s="18"/>
      <c r="T42" s="4">
        <v>45564</v>
      </c>
      <c r="U42" s="4">
        <v>45991</v>
      </c>
      <c r="V42" s="20">
        <v>0</v>
      </c>
      <c r="W42" s="20">
        <v>2</v>
      </c>
      <c r="X42" s="4">
        <v>45990</v>
      </c>
      <c r="Y42" s="5">
        <v>45991</v>
      </c>
      <c r="Z42" t="s">
        <v>2312</v>
      </c>
      <c r="AA42" s="7">
        <v>45305</v>
      </c>
      <c r="AB42" s="14">
        <v>45563</v>
      </c>
      <c r="AC42" t="s">
        <v>1194</v>
      </c>
      <c r="AD42" s="23" t="s">
        <v>2313</v>
      </c>
      <c r="AE42" s="24">
        <v>0.41666666666666669</v>
      </c>
      <c r="AF42" s="24">
        <v>0.625</v>
      </c>
      <c r="AG42" s="25" t="s">
        <v>1532</v>
      </c>
    </row>
    <row r="43" spans="1:33" x14ac:dyDescent="0.3">
      <c r="A43" t="s">
        <v>1785</v>
      </c>
      <c r="B43" t="s">
        <v>1785</v>
      </c>
      <c r="C43" t="s">
        <v>1785</v>
      </c>
      <c r="D43" t="s">
        <v>1786</v>
      </c>
      <c r="E43" t="s">
        <v>2176</v>
      </c>
      <c r="F43" t="s">
        <v>259</v>
      </c>
      <c r="G43" s="7">
        <f t="shared" ref="G43:G50" ca="1" si="21">X43</f>
        <v>84</v>
      </c>
      <c r="H43" s="5" t="s">
        <v>1787</v>
      </c>
      <c r="K43" t="s">
        <v>1947</v>
      </c>
      <c r="L43" t="s">
        <v>1788</v>
      </c>
      <c r="M43" s="16" t="s">
        <v>1917</v>
      </c>
      <c r="N43" s="16" t="s">
        <v>1918</v>
      </c>
      <c r="O43" s="7">
        <v>45317</v>
      </c>
      <c r="P43" s="7" t="s">
        <v>1919</v>
      </c>
      <c r="Q43" s="18">
        <v>3</v>
      </c>
      <c r="R43" s="18">
        <v>4</v>
      </c>
      <c r="S43" s="18">
        <v>1</v>
      </c>
      <c r="T43" s="4">
        <f>DATE(AI$2,$Q43,1+(($R43-($S43&gt;=WEEKDAY(DATE(AI$2,$Q43,1))))*7)+($S43-WEEKDAY(DATE(AI$2,$Q43,1))))</f>
        <v>85</v>
      </c>
      <c r="U43" s="4">
        <f>DATE(AJ$2,$Q43,1+(($R43-($S43&gt;=WEEKDAY(DATE(AJ$2,$Q43,1))))*7)+($S43-WEEKDAY(DATE(AJ$2,$Q43,1))))</f>
        <v>85</v>
      </c>
      <c r="V43" s="20">
        <v>-1</v>
      </c>
      <c r="W43" s="20">
        <v>1</v>
      </c>
      <c r="X43" s="4">
        <f t="shared" ref="X43:X50" ca="1" si="22">Y43-(W43-1)</f>
        <v>84</v>
      </c>
      <c r="Y43" s="5">
        <f t="shared" ref="Y43:Y49" ca="1" si="23">IF(OR(T43+V43&lt;(NOW()-0.5),ISNUMBER(SEARCH("&lt;h4&gt;",K43))),U43+V43,T43+V43)</f>
        <v>84</v>
      </c>
      <c r="Z43" t="str">
        <f t="shared" ref="Z43:Z50" ca="1" si="24">CONCATENATE(IF(OR(Y43=X43,ISBLANK(Y43)),TEXT(X43,"mmmm d"),CONCATENATE(TEXT(X43,"mmmm d"),"-",IF(TEXT(X43,"mmmm")=TEXT(Y43,"mmmm"),TEXT(Y43,"d"),TEXT(Y43,"mmmm d")))),", ",YEAR(Y43))</f>
        <v>March 24, 1900</v>
      </c>
      <c r="AA43" s="7">
        <f t="shared" ref="AA43:AA50" si="25">O43</f>
        <v>45317</v>
      </c>
      <c r="AB43" s="14">
        <f t="shared" ref="AB43:AB50" si="26">T43+V43-(W43-1)</f>
        <v>84</v>
      </c>
      <c r="AC43" t="s">
        <v>1920</v>
      </c>
      <c r="AD43" s="23" t="str">
        <f t="shared" ref="AD43:AD50" ca="1" si="27">CONCATENATE("&lt;add-to-calendar-button  name=",CHAR(34),H43,CHAR(34),
IF(ISBLANK(M43),"",CONCATENATE("   location=",CHAR(34),RIGHT(M43,LEN(M43)-SEARCH("|",M43)-1),CHAR(34))),
"   description=",CHAR(34),IF(ISBLANK(I43),"",CONCATENATE(I43,"; ")),"shapenotesingings.com",CHAR(34),
"   options=",CHAR(34),"'Apple','Google','iCal','Outlook.com'",CHAR(34),"   styleLight=",CHAR(34),"--btn-background: #550000; --btn-text: #fff; --btn-shadow:#fff;",CHAR(34),
IF(W43=1,CONCATENATE(
"startDate=",CHAR(34),TEXT(G43,"yyyy-mm-dd"),CHAR(34),
"{endDate=",CHAR(34),TEXT(G43,"yyyy-mm-dd"),CHAR(34),
IF(OR(ISBLANK(AE43),ISBLANK(AF43)),"",(CONCATENATE(" startTime=",CHAR(34),TEXT(AE43,"hh:mm"),CHAR(34)," endTime=",CHAR(34),TEXT(AF43,"h:mm"),CHAR(34),
" timeZone=",CHAR(34),AG43,CHAR(34))))),
IF(W43=2,CONCATENATE(" dates='[{",
CHAR(34),"startDate",CHAR(34),":",CHAR(34),TEXT(G43,"yyyy-mm-dd"),CHAR(34),", ",
,CHAR(34),"endDate",CHAR(34),":",CHAR(34),TEXT(G43,"yyyy-mm-dd"),CHAR(34),
IF(OR(ISBLANK(AE43),ISBLANK(AF43)),"",(CONCATENATE(", ",CHAR(34),"startTime",CHAR(34),":",CHAR(34),TEXT(AE43,"hh:mm"),CHAR(34),", ",CHAR(34),"endTime",CHAR(34),":",CHAR(34),TEXT(AF43,"hh:mm"),CHAR(34),", ",CHAR(34),"timeZone",CHAR(34),":",CHAR(34),AG43,CHAR(34)))),"}, {",
,CHAR(34),"startDate",CHAR(34),":",CHAR(34),TEXT(G43+1,"yyyy-mm-dd"),CHAR(34),", ",
,CHAR(34),"endDate",CHAR(34),":",CHAR(34),TEXT(G43+W43-1,"yyyy-mm-dd"),CHAR(34),
IF(OR(ISBLANK(AE43),ISBLANK(AF43)),"",(CONCATENATE(", ",CHAR(34),"startTime",CHAR(34),":",CHAR(34),TEXT(AE43,"hh:mm"),CHAR(34),", ",CHAR(34),"endTime",CHAR(34),":",CHAR(34),TEXT(AF43,"hh:mm"),CHAR(34),", ",CHAR(34),"timeZone",CHAR(34),":",CHAR(34),AG43,CHAR(34)))),"}]'"),
CONCATENATE(
"{  startDate=",CHAR(34),TEXT(G43,"yyyy-mm-dd"),CHAR(34),
"  endDate=",CHAR(34),TEXT(G43+W43-1,"yyyy-mm-dd"),CHAR(34),"}"))),
" &gt;&lt;/add-to-calendar-button&gt;")</f>
        <v>&lt;add-to-calendar-button  name="Vienna All-Day"   location="Gleis 21, Bloch-Bauer-Promenade 22, Vienna, 1100, Austria"   description="shapenotesingings.com"   options="'Apple','Google','iCal','Outlook.com'"   styleLight="--btn-background: #550000; --btn-text: #fff; --btn-shadow:#fff;"startDate="1900-03-24"{endDate="1900-03-24" startTime="09:30" endTime="15:30" timeZone="Europe/Vienna" &gt;&lt;/add-to-calendar-button&gt;</v>
      </c>
      <c r="AE43" s="24">
        <v>0.39583333333333331</v>
      </c>
      <c r="AF43" s="24">
        <v>0.64583333333333337</v>
      </c>
      <c r="AG43" s="25" t="s">
        <v>1789</v>
      </c>
    </row>
    <row r="44" spans="1:33" x14ac:dyDescent="0.3">
      <c r="A44" t="s">
        <v>8</v>
      </c>
      <c r="B44" t="s">
        <v>17</v>
      </c>
      <c r="C44" t="s">
        <v>1140</v>
      </c>
      <c r="D44" t="s">
        <v>253</v>
      </c>
      <c r="E44" t="s">
        <v>34</v>
      </c>
      <c r="F44" t="s">
        <v>775</v>
      </c>
      <c r="G44" s="7">
        <f t="shared" ca="1" si="21"/>
        <v>46022</v>
      </c>
      <c r="H44" s="5" t="s">
        <v>1860</v>
      </c>
      <c r="I44" t="s">
        <v>1859</v>
      </c>
      <c r="L44" t="s">
        <v>1861</v>
      </c>
      <c r="M44" s="16" t="s">
        <v>920</v>
      </c>
      <c r="N44" s="16" t="s">
        <v>921</v>
      </c>
      <c r="O44" s="7">
        <v>45287</v>
      </c>
      <c r="P44" s="7" t="s">
        <v>1858</v>
      </c>
      <c r="Q44" s="18">
        <v>12</v>
      </c>
      <c r="R44" s="18"/>
      <c r="S44" s="18"/>
      <c r="T44" s="4">
        <f>DATE('Annual Singings'!AI$2,12,31)</f>
        <v>46022</v>
      </c>
      <c r="U44" s="4">
        <f>DATE('Annual Singings'!AJ$2,12,31)</f>
        <v>46387</v>
      </c>
      <c r="V44" s="20">
        <v>0</v>
      </c>
      <c r="W44" s="20">
        <v>1</v>
      </c>
      <c r="X44" s="4">
        <f t="shared" ca="1" si="22"/>
        <v>46022</v>
      </c>
      <c r="Y44" s="5">
        <f t="shared" ca="1" si="23"/>
        <v>46022</v>
      </c>
      <c r="Z44" t="str">
        <f t="shared" ca="1" si="24"/>
        <v>December 31, 2025</v>
      </c>
      <c r="AA44" s="7">
        <f t="shared" si="25"/>
        <v>45287</v>
      </c>
      <c r="AB44" s="14">
        <f t="shared" si="26"/>
        <v>46022</v>
      </c>
      <c r="AC44" t="s">
        <v>1234</v>
      </c>
      <c r="AD44" s="23" t="str">
        <f t="shared" ca="1" si="27"/>
        <v>&lt;add-to-calendar-button  name="New Year's Eve Sing at Mars Hill PBC"   location="Mars Hill Primitive Baptist Church, 9 Mars Hill Road Central Ave Exd, Hoboken, GA 31542"   description="7pm-12am; shapenotesingings.com"   options="'Apple','Google','iCal','Outlook.com'"   styleLight="--btn-background: #550000; --btn-text: #fff; --btn-shadow:#fff;"startDate="2025-12-31"{endDate="2025-12-31" startTime="19:00" endTime="0:00" timeZone="America/New_York" &gt;&lt;/add-to-calendar-button&gt;</v>
      </c>
      <c r="AE44" s="24">
        <v>0.79166666666666663</v>
      </c>
      <c r="AF44" s="24">
        <v>0</v>
      </c>
      <c r="AG44" s="25" t="s">
        <v>1532</v>
      </c>
    </row>
    <row r="45" spans="1:33" x14ac:dyDescent="0.3">
      <c r="A45" t="s">
        <v>8</v>
      </c>
      <c r="B45" t="s">
        <v>394</v>
      </c>
      <c r="C45" t="s">
        <v>1133</v>
      </c>
      <c r="D45" t="s">
        <v>690</v>
      </c>
      <c r="E45" t="s">
        <v>2178</v>
      </c>
      <c r="F45" t="s">
        <v>1722</v>
      </c>
      <c r="G45" s="7">
        <f t="shared" ca="1" si="21"/>
        <v>45955</v>
      </c>
      <c r="H45" s="5" t="s">
        <v>691</v>
      </c>
      <c r="I45" t="s">
        <v>1724</v>
      </c>
      <c r="K45" t="s">
        <v>1726</v>
      </c>
      <c r="L45" t="s">
        <v>2355</v>
      </c>
      <c r="M45" s="16" t="s">
        <v>1720</v>
      </c>
      <c r="N45" s="16" t="s">
        <v>1721</v>
      </c>
      <c r="O45" s="7">
        <v>45176</v>
      </c>
      <c r="P45" s="7" t="s">
        <v>1723</v>
      </c>
      <c r="Q45" s="18">
        <v>11</v>
      </c>
      <c r="R45" s="18">
        <v>1</v>
      </c>
      <c r="S45" s="18">
        <v>7</v>
      </c>
      <c r="T45" s="4">
        <f>DATE('Annual Singings'!AI$2,$Q45,1+(($R45-($S45&gt;=WEEKDAY(DATE('Annual Singings'!AI$2,$Q45,1))))*7)+($S45-WEEKDAY(DATE('Annual Singings'!AI$2,$Q45,1))))</f>
        <v>45962</v>
      </c>
      <c r="U45" s="4">
        <f>DATE('Annual Singings'!AJ$2,$Q45,1+(($R45-($S45&gt;=WEEKDAY(DATE('Annual Singings'!AJ$2,$Q45,1))))*7)+($S45-WEEKDAY(DATE('Annual Singings'!AJ$2,$Q45,1))))</f>
        <v>46333</v>
      </c>
      <c r="V45" s="20">
        <v>-7</v>
      </c>
      <c r="W45" s="20">
        <v>1</v>
      </c>
      <c r="X45" s="4">
        <f t="shared" ca="1" si="22"/>
        <v>45955</v>
      </c>
      <c r="Y45" s="5">
        <f t="shared" ca="1" si="23"/>
        <v>45955</v>
      </c>
      <c r="Z45" t="str">
        <f t="shared" ca="1" si="24"/>
        <v>October 25, 2025</v>
      </c>
      <c r="AA45" s="7">
        <f t="shared" si="25"/>
        <v>45176</v>
      </c>
      <c r="AB45" s="14">
        <f t="shared" si="26"/>
        <v>45955</v>
      </c>
      <c r="AC45" t="s">
        <v>1725</v>
      </c>
      <c r="AD45" s="23" t="str">
        <f t="shared" ca="1" si="27"/>
        <v>&lt;add-to-calendar-button  name="Alaska Sacred Harp Convention"   location="See House, St. Peter's by the Sea Episcopal Church, 611 Lincoln St, Sitka, AK 99835"   description="9am-3pm; shapenotesingings.com"   options="'Apple','Google','iCal','Outlook.com'"   styleLight="--btn-background: #550000; --btn-text: #fff; --btn-shadow:#fff;"startDate="2025-10-25"{endDate="2025-10-25" startTime="09:00" endTime="15:00" timeZone="America/Juneau" &gt;&lt;/add-to-calendar-button&gt;</v>
      </c>
      <c r="AE45" s="24">
        <v>0.375</v>
      </c>
      <c r="AF45" s="24">
        <v>0.625</v>
      </c>
      <c r="AG45" s="25" t="s">
        <v>1538</v>
      </c>
    </row>
    <row r="46" spans="1:33" x14ac:dyDescent="0.3">
      <c r="A46" t="s">
        <v>8</v>
      </c>
      <c r="B46" t="s">
        <v>17</v>
      </c>
      <c r="C46" t="s">
        <v>17</v>
      </c>
      <c r="D46" t="s">
        <v>2247</v>
      </c>
      <c r="E46" t="s">
        <v>2178</v>
      </c>
      <c r="F46" t="s">
        <v>84</v>
      </c>
      <c r="G46" s="7">
        <f t="shared" ca="1" si="21"/>
        <v>45913</v>
      </c>
      <c r="H46" s="5" t="s">
        <v>2251</v>
      </c>
      <c r="I46" t="s">
        <v>1952</v>
      </c>
      <c r="J46" s="36"/>
      <c r="L46" t="s">
        <v>2253</v>
      </c>
      <c r="M46" s="16" t="s">
        <v>2248</v>
      </c>
      <c r="N46" s="16" t="s">
        <v>2249</v>
      </c>
      <c r="O46" s="7">
        <v>45532</v>
      </c>
      <c r="P46" t="s">
        <v>2254</v>
      </c>
      <c r="Q46" s="18">
        <v>9</v>
      </c>
      <c r="R46" s="18">
        <v>2</v>
      </c>
      <c r="S46" s="18">
        <v>1</v>
      </c>
      <c r="T46" s="4">
        <f>DATE('Annual Singings'!AI$2,$Q46,1+(($R46-($S46&gt;=WEEKDAY(DATE('Annual Singings'!AI$2,$Q46,1))))*7)+($S46-WEEKDAY(DATE('Annual Singings'!AI$2,$Q46,1))))</f>
        <v>45914</v>
      </c>
      <c r="U46" s="4">
        <f>DATE('Annual Singings'!AJ$2,$Q46,1+(($R46-($S46&gt;=WEEKDAY(DATE('Annual Singings'!AJ$2,$Q46,1))))*7)+($S46-WEEKDAY(DATE('Annual Singings'!AJ$2,$Q46,1))))</f>
        <v>46278</v>
      </c>
      <c r="V46" s="20">
        <v>-1</v>
      </c>
      <c r="W46" s="20">
        <v>1</v>
      </c>
      <c r="X46" s="4">
        <f t="shared" ca="1" si="22"/>
        <v>45913</v>
      </c>
      <c r="Y46" s="5">
        <f t="shared" ca="1" si="23"/>
        <v>45913</v>
      </c>
      <c r="Z46" t="str">
        <f t="shared" ca="1" si="24"/>
        <v>September 13, 2025</v>
      </c>
      <c r="AA46" s="7">
        <f t="shared" si="25"/>
        <v>45532</v>
      </c>
      <c r="AB46" s="14">
        <f t="shared" si="26"/>
        <v>45913</v>
      </c>
      <c r="AC46" t="s">
        <v>2250</v>
      </c>
      <c r="AD46" s="23" t="str">
        <f t="shared" ca="1" si="27"/>
        <v>&lt;add-to-calendar-button  name="Sacred Harp Singing at Kennedy Creek Festival"   location="Kennedy Creek Resort, 26 High Valley Rd, Suches, GA 30572, United States"   description="9:15am-2pm; shapenotesingings.com"   options="'Apple','Google','iCal','Outlook.com'"   styleLight="--btn-background: #550000; --btn-text: #fff; --btn-shadow:#fff;"startDate="2025-09-13"{endDate="2025-09-13" startTime="10:00" endTime="15:00" timeZone="America/New_York" &gt;&lt;/add-to-calendar-button&gt;</v>
      </c>
      <c r="AE46" s="24">
        <v>0.41666666666666669</v>
      </c>
      <c r="AF46" s="24">
        <v>0.625</v>
      </c>
      <c r="AG46" s="25" t="s">
        <v>1532</v>
      </c>
    </row>
    <row r="47" spans="1:33" x14ac:dyDescent="0.3">
      <c r="A47" t="s">
        <v>8</v>
      </c>
      <c r="B47" t="s">
        <v>2</v>
      </c>
      <c r="C47" t="s">
        <v>1159</v>
      </c>
      <c r="D47" t="s">
        <v>1928</v>
      </c>
      <c r="E47" t="s">
        <v>2178</v>
      </c>
      <c r="F47" t="s">
        <v>215</v>
      </c>
      <c r="G47" s="7">
        <f t="shared" ca="1" si="21"/>
        <v>46081</v>
      </c>
      <c r="H47" s="5" t="s">
        <v>1929</v>
      </c>
      <c r="I47" t="s">
        <v>1040</v>
      </c>
      <c r="J47" s="36" t="s">
        <v>2640</v>
      </c>
      <c r="K47" t="s">
        <v>1931</v>
      </c>
      <c r="L47" t="s">
        <v>1971</v>
      </c>
      <c r="M47" s="16" t="s">
        <v>1932</v>
      </c>
      <c r="N47" s="16" t="s">
        <v>1933</v>
      </c>
      <c r="O47" s="7">
        <v>45335</v>
      </c>
      <c r="P47" s="7" t="s">
        <v>1977</v>
      </c>
      <c r="Q47" s="18">
        <v>3</v>
      </c>
      <c r="R47" s="18">
        <v>1</v>
      </c>
      <c r="S47" s="18">
        <v>1</v>
      </c>
      <c r="T47" s="4">
        <f>DATE('Annual Singings'!AI$2,$Q47,1+(($R47-($S47&gt;=WEEKDAY(DATE('Annual Singings'!AI$2,$Q47,1))))*7)+($S47-WEEKDAY(DATE('Annual Singings'!AI$2,$Q47,1))))</f>
        <v>45718</v>
      </c>
      <c r="U47" s="4">
        <f>DATE('Annual Singings'!AJ$2,$Q47,1+(($R47-($S47&gt;=WEEKDAY(DATE('Annual Singings'!AJ$2,$Q47,1))))*7)+($S47-WEEKDAY(DATE('Annual Singings'!AJ$2,$Q47,1))))</f>
        <v>46082</v>
      </c>
      <c r="V47" s="20">
        <v>-1</v>
      </c>
      <c r="W47" s="20">
        <v>1</v>
      </c>
      <c r="X47" s="4">
        <f t="shared" ca="1" si="22"/>
        <v>46081</v>
      </c>
      <c r="Y47" s="5">
        <f t="shared" ca="1" si="23"/>
        <v>46081</v>
      </c>
      <c r="Z47" t="str">
        <f t="shared" ca="1" si="24"/>
        <v>February 28, 2026</v>
      </c>
      <c r="AA47" s="7">
        <f t="shared" si="25"/>
        <v>45335</v>
      </c>
      <c r="AB47" s="14">
        <f t="shared" si="26"/>
        <v>45717</v>
      </c>
      <c r="AC47" t="s">
        <v>1930</v>
      </c>
      <c r="AD47" s="23" t="str">
        <f t="shared" ca="1" si="27"/>
        <v>&lt;add-to-calendar-button  name="Greenwood County Singing"   location="Immanuel Lutheran Church, 501 E Creswell Ave, Greenwood, SC 29646"   description="9:30am; shapenotesingings.com"   options="'Apple','Google','iCal','Outlook.com'"   styleLight="--btn-background: #550000; --btn-text: #fff; --btn-shadow:#fff;"startDate="2026-02-28"{endDate="2026-02-28" startTime="09:30" endTime="15:30" timeZone="America/New_York" &gt;&lt;/add-to-calendar-button&gt;</v>
      </c>
      <c r="AE47" s="24">
        <v>0.39583333333333331</v>
      </c>
      <c r="AF47" s="24">
        <v>0.64583333333333337</v>
      </c>
      <c r="AG47" s="25" t="s">
        <v>1532</v>
      </c>
    </row>
    <row r="48" spans="1:33" x14ac:dyDescent="0.3">
      <c r="A48" t="s">
        <v>629</v>
      </c>
      <c r="B48" t="s">
        <v>630</v>
      </c>
      <c r="D48" t="s">
        <v>631</v>
      </c>
      <c r="E48" t="s">
        <v>425</v>
      </c>
      <c r="F48" t="s">
        <v>634</v>
      </c>
      <c r="G48" s="7">
        <f t="shared" ca="1" si="21"/>
        <v>45913</v>
      </c>
      <c r="H48" s="5" t="s">
        <v>948</v>
      </c>
      <c r="I48" t="s">
        <v>1655</v>
      </c>
      <c r="J48" s="36" t="s">
        <v>2868</v>
      </c>
      <c r="K48" t="s">
        <v>1645</v>
      </c>
      <c r="L48" t="s">
        <v>2482</v>
      </c>
      <c r="M48" s="16" t="s">
        <v>828</v>
      </c>
      <c r="N48" s="16" t="s">
        <v>829</v>
      </c>
      <c r="O48" s="7">
        <v>45100</v>
      </c>
      <c r="P48" s="7" t="s">
        <v>1646</v>
      </c>
      <c r="Q48" s="18">
        <v>9</v>
      </c>
      <c r="R48" s="18">
        <v>2</v>
      </c>
      <c r="S48" s="18">
        <v>1</v>
      </c>
      <c r="T48" s="4">
        <f>DATE('Annual Singings'!AI$2,$Q48,1+(($R48-($S48&gt;=WEEKDAY(DATE('Annual Singings'!AI$2,$Q48,1))))*7)+($S48-WEEKDAY(DATE('Annual Singings'!AI$2,$Q48,1))))</f>
        <v>45914</v>
      </c>
      <c r="U48" s="4">
        <f>DATE('Annual Singings'!AJ$2,$Q48,1+(($R48-($S48&gt;=WEEKDAY(DATE('Annual Singings'!AJ$2,$Q48,1))))*7)+($S48-WEEKDAY(DATE('Annual Singings'!AJ$2,$Q48,1))))</f>
        <v>46278</v>
      </c>
      <c r="V48" s="20">
        <v>0</v>
      </c>
      <c r="W48" s="20">
        <v>2</v>
      </c>
      <c r="X48" s="4">
        <f t="shared" ca="1" si="22"/>
        <v>45913</v>
      </c>
      <c r="Y48" s="5">
        <f t="shared" ca="1" si="23"/>
        <v>45914</v>
      </c>
      <c r="Z48" t="str">
        <f t="shared" ca="1" si="24"/>
        <v>September 13-14, 2025</v>
      </c>
      <c r="AA48" s="7">
        <f t="shared" si="25"/>
        <v>45100</v>
      </c>
      <c r="AB48" s="14">
        <f t="shared" si="26"/>
        <v>45913</v>
      </c>
      <c r="AC48" t="s">
        <v>1357</v>
      </c>
      <c r="AD48" s="23" t="str">
        <f t="shared" ca="1" si="27"/>
        <v>&lt;add-to-calendar-button  name="Uppsala Singing"   location="Newman Institute, Slottsgränd 6, Uppsala, 753 09, Sweden"   description="Saturday: 10:30am-4pm, Sunday: 1:30pm-4pm; shapenotesingings.com"   options="'Apple','Google','iCal','Outlook.com'"   styleLight="--btn-background: #550000; --btn-text: #fff; --btn-shadow:#fff;" dates='[{"startDate":"2025-09-13", "endDate":"2025-09-13", "startTime":"10:30", "endTime":"16:00", "timeZone":"Europe/Oslo"}, {"startDate":"2025-09-14", "endDate":"2025-09-14", "startTime":"10:30", "endTime":"16:00", "timeZone":"Europe/Oslo"}]' &gt;&lt;/add-to-calendar-button&gt;</v>
      </c>
      <c r="AE48" s="24">
        <v>0.4375</v>
      </c>
      <c r="AF48" s="24">
        <v>0.66666666666666663</v>
      </c>
      <c r="AG48" s="25" t="s">
        <v>1541</v>
      </c>
    </row>
    <row r="49" spans="1:33" x14ac:dyDescent="0.3">
      <c r="A49" t="s">
        <v>144</v>
      </c>
      <c r="B49" t="s">
        <v>144</v>
      </c>
      <c r="C49" t="s">
        <v>1162</v>
      </c>
      <c r="D49" t="s">
        <v>1633</v>
      </c>
      <c r="E49" t="s">
        <v>2178</v>
      </c>
      <c r="F49" t="s">
        <v>441</v>
      </c>
      <c r="G49" s="7">
        <f t="shared" ca="1" si="21"/>
        <v>45808</v>
      </c>
      <c r="H49" s="5" t="s">
        <v>1634</v>
      </c>
      <c r="I49" t="s">
        <v>1548</v>
      </c>
      <c r="J49" s="36"/>
      <c r="L49" t="s">
        <v>2063</v>
      </c>
      <c r="M49" s="16" t="s">
        <v>1635</v>
      </c>
      <c r="N49" s="16" t="s">
        <v>1636</v>
      </c>
      <c r="O49" s="7">
        <v>45237</v>
      </c>
      <c r="P49" s="7" t="s">
        <v>1782</v>
      </c>
      <c r="Q49" s="18">
        <v>6</v>
      </c>
      <c r="R49" s="18">
        <v>1</v>
      </c>
      <c r="S49" s="18">
        <v>1</v>
      </c>
      <c r="T49" s="4">
        <f>DATE('Annual Singings'!AI$2,$Q49,1+(($R49-($S49&gt;=WEEKDAY(DATE('Annual Singings'!AI$2,$Q49,1))))*7)+($S49-WEEKDAY(DATE('Annual Singings'!AI$2,$Q49,1))))</f>
        <v>45809</v>
      </c>
      <c r="U49" s="4">
        <f>DATE('Annual Singings'!AJ$2,$Q49,1+(($R49-($S49&gt;=WEEKDAY(DATE('Annual Singings'!AJ$2,$Q49,1))))*7)+($S49-WEEKDAY(DATE('Annual Singings'!AJ$2,$Q49,1))))</f>
        <v>46180</v>
      </c>
      <c r="V49" s="20">
        <v>-1</v>
      </c>
      <c r="W49" s="20">
        <v>1</v>
      </c>
      <c r="X49" s="4">
        <f t="shared" ca="1" si="22"/>
        <v>45808</v>
      </c>
      <c r="Y49" s="5">
        <f t="shared" ca="1" si="23"/>
        <v>45808</v>
      </c>
      <c r="Z49" t="str">
        <f t="shared" ca="1" si="24"/>
        <v>May 31, 2025</v>
      </c>
      <c r="AA49" s="7">
        <f t="shared" si="25"/>
        <v>45237</v>
      </c>
      <c r="AB49" s="14">
        <f t="shared" si="26"/>
        <v>45808</v>
      </c>
      <c r="AC49" t="s">
        <v>1637</v>
      </c>
      <c r="AD49" s="23" t="str">
        <f t="shared" ca="1" si="27"/>
        <v>&lt;add-to-calendar-button  name="South West Singing"   location="Cullompton Baptist Church, 25 High St, Cullompton EX15 1AB, United Kingdom"   description="10:30am-4:00pm; shapenotesingings.com"   options="'Apple','Google','iCal','Outlook.com'"   styleLight="--btn-background: #550000; --btn-text: #fff; --btn-shadow:#fff;"startDate="2025-05-31"{endDate="2025-05-31" startTime="10:00" endTime="15:00" timeZone="America/New_York" &gt;&lt;/add-to-calendar-button&gt;</v>
      </c>
      <c r="AE49" s="24">
        <v>0.41666666666666669</v>
      </c>
      <c r="AF49" s="24">
        <v>0.625</v>
      </c>
      <c r="AG49" s="25" t="s">
        <v>1532</v>
      </c>
    </row>
    <row r="50" spans="1:33" x14ac:dyDescent="0.3">
      <c r="A50" t="s">
        <v>1591</v>
      </c>
      <c r="B50" t="s">
        <v>1591</v>
      </c>
      <c r="C50" t="s">
        <v>1584</v>
      </c>
      <c r="D50" t="s">
        <v>1585</v>
      </c>
      <c r="E50" t="s">
        <v>2178</v>
      </c>
      <c r="F50" t="s">
        <v>290</v>
      </c>
      <c r="G50" s="7">
        <f t="shared" ca="1" si="21"/>
        <v>46116</v>
      </c>
      <c r="H50" s="5" t="s">
        <v>1586</v>
      </c>
      <c r="I50" t="s">
        <v>1548</v>
      </c>
      <c r="J50" s="36" t="s">
        <v>2653</v>
      </c>
      <c r="L50" t="s">
        <v>2906</v>
      </c>
      <c r="M50" s="16" t="s">
        <v>1587</v>
      </c>
      <c r="N50" s="16" t="s">
        <v>1588</v>
      </c>
      <c r="O50" s="7">
        <v>45657</v>
      </c>
      <c r="P50" s="7" t="s">
        <v>2477</v>
      </c>
      <c r="Q50" s="18">
        <v>4</v>
      </c>
      <c r="R50" s="18">
        <v>1</v>
      </c>
      <c r="S50" s="18">
        <v>1</v>
      </c>
      <c r="T50" s="4">
        <f>DATE('Annual Singings'!AI$2,$Q50,1+(($R50-($S50&gt;=WEEKDAY(DATE('Annual Singings'!AI$2,$Q50,1))))*7)+($S50-WEEKDAY(DATE('Annual Singings'!AI$2,$Q50,1))))</f>
        <v>45753</v>
      </c>
      <c r="U50" s="4">
        <f>DATE('Annual Singings'!AJ$2,$Q50,1+(($R50-($S50&gt;=WEEKDAY(DATE('Annual Singings'!AJ$2,$Q50,1))))*7)+($S50-WEEKDAY(DATE('Annual Singings'!AJ$2,$Q50,1))))</f>
        <v>46117</v>
      </c>
      <c r="V50" s="20">
        <v>-1</v>
      </c>
      <c r="W50" s="20">
        <v>1</v>
      </c>
      <c r="X50" s="4">
        <f t="shared" ca="1" si="22"/>
        <v>46116</v>
      </c>
      <c r="Y50" s="5">
        <f ca="1">IF(OR(T50+V50&lt;(TODAY()-1),ISNUMBER(SEARCH("&lt;h4&gt;",L50))),U50+V50,T50+V50)</f>
        <v>46116</v>
      </c>
      <c r="Z50" t="str">
        <f t="shared" ca="1" si="24"/>
        <v>April 4, 2026</v>
      </c>
      <c r="AA50" s="7">
        <f t="shared" si="25"/>
        <v>45657</v>
      </c>
      <c r="AB50" s="14">
        <f t="shared" si="26"/>
        <v>45752</v>
      </c>
      <c r="AC50" t="s">
        <v>1589</v>
      </c>
      <c r="AD50" s="23" t="str">
        <f t="shared" ca="1" si="27"/>
        <v>&lt;add-to-calendar-button  name="Amsterdam Singing"   location="Westerwijk Amsterdam, Admiraal de Ruijterweg 150, 1056 GV Amsterdam, Netherlands"   description="10:30am-4:00pm; shapenotesingings.com"   options="'Apple','Google','iCal','Outlook.com'"   styleLight="--btn-background: #550000; --btn-text: #fff; --btn-shadow:#fff;"startDate="2026-04-04"{endDate="2026-04-04" startTime="10:30" endTime="16:30" timeZone="Europe/Amsterdam" &gt;&lt;/add-to-calendar-button&gt;</v>
      </c>
      <c r="AE50" s="24">
        <v>0.4375</v>
      </c>
      <c r="AF50" s="24">
        <v>0.6875</v>
      </c>
      <c r="AG50" s="25" t="s">
        <v>1590</v>
      </c>
    </row>
    <row r="51" spans="1:33" ht="13.8" customHeight="1" x14ac:dyDescent="0.3">
      <c r="A51" t="s">
        <v>8</v>
      </c>
      <c r="B51" t="s">
        <v>87</v>
      </c>
      <c r="C51" t="s">
        <v>1151</v>
      </c>
      <c r="D51" t="s">
        <v>671</v>
      </c>
      <c r="E51" t="s">
        <v>2178</v>
      </c>
      <c r="F51" t="s">
        <v>672</v>
      </c>
      <c r="G51" s="7">
        <f ca="1">X51</f>
        <v>45941</v>
      </c>
      <c r="H51" s="5" t="s">
        <v>670</v>
      </c>
      <c r="J51" s="36"/>
      <c r="K51" t="s">
        <v>1743</v>
      </c>
      <c r="L51" t="s">
        <v>1744</v>
      </c>
      <c r="M51" s="16" t="s">
        <v>673</v>
      </c>
      <c r="N51" s="16" t="s">
        <v>674</v>
      </c>
      <c r="O51" s="7">
        <v>44936</v>
      </c>
      <c r="P51" s="7" t="s">
        <v>926</v>
      </c>
      <c r="Q51" s="18">
        <v>10</v>
      </c>
      <c r="R51" s="18">
        <v>2</v>
      </c>
      <c r="S51" s="18">
        <v>1</v>
      </c>
      <c r="T51" s="4">
        <f>DATE('Annual Singings'!AI$2,$Q51,1+(($R51-($S51&gt;=WEEKDAY(DATE('Annual Singings'!AI$2,$Q51,1))))*7)+($S51-WEEKDAY(DATE('Annual Singings'!AI$2,$Q51,1))))</f>
        <v>45942</v>
      </c>
      <c r="U51" s="4">
        <f>DATE('Annual Singings'!AJ$2,$Q51,1+(($R51-($S51&gt;=WEEKDAY(DATE('Annual Singings'!AJ$2,$Q51,1))))*7)+($S51-WEEKDAY(DATE('Annual Singings'!AJ$2,$Q51,1))))</f>
        <v>46306</v>
      </c>
      <c r="V51" s="20">
        <v>-1</v>
      </c>
      <c r="W51" s="20">
        <v>1</v>
      </c>
      <c r="X51" s="4">
        <f ca="1">Y51-(W51-1)</f>
        <v>45941</v>
      </c>
      <c r="Y51" s="5">
        <f ca="1">IF(OR(T51+V51&lt;(NOW()-0.5),ISNUMBER(SEARCH("&lt;h4&gt;",K51))),U51+V51,T51+V51)</f>
        <v>45941</v>
      </c>
      <c r="Z51" t="str">
        <f ca="1">CONCATENATE(IF(OR(Y51=X51,ISBLANK(Y51)),TEXT(X51,"mmmm d"),CONCATENATE(TEXT(X51,"mmmm d"),"-",IF(TEXT(X51,"mmmm")=TEXT(Y51,"mmmm"),TEXT(Y51,"d"),TEXT(Y51,"mmmm d")))),", ",YEAR(Y51))</f>
        <v>October 11, 2025</v>
      </c>
      <c r="AA51" s="7">
        <f>O51</f>
        <v>44936</v>
      </c>
      <c r="AB51" s="14">
        <f>T51+V51-(W51-1)</f>
        <v>45941</v>
      </c>
      <c r="AC51" t="s">
        <v>1371</v>
      </c>
      <c r="AD51" s="23" t="str">
        <f ca="1">CONCATENATE("&lt;add-to-calendar-button  name=",CHAR(34),H51,CHAR(34),
IF(ISBLANK(M51),"",CONCATENATE("   location=",CHAR(34),RIGHT(M51,LEN(M51)-SEARCH("|",M51)-1),CHAR(34))),
"   description=",CHAR(34),IF(ISBLANK(I51),"",CONCATENATE(I51,"; ")),"shapenotesingings.com",CHAR(34),
"   options=",CHAR(34),"'Apple','Google','iCal','Outlook.com'",CHAR(34),"   styleLight=",CHAR(34),"--btn-background: #550000; --btn-text: #fff; --btn-shadow:#fff;",CHAR(34),
IF(W51=1,CONCATENATE(
"startDate=",CHAR(34),TEXT(G51,"yyyy-mm-dd"),CHAR(34),
"{endDate=",CHAR(34),TEXT(G51,"yyyy-mm-dd"),CHAR(34),
IF(OR(ISBLANK(AE51),ISBLANK(AF51)),"",(CONCATENATE(" startTime=",CHAR(34),TEXT(AE51,"hh:mm"),CHAR(34)," endTime=",CHAR(34),TEXT(AF51,"h:mm"),CHAR(34),
" timeZone=",CHAR(34),AG51,CHAR(34))))),
IF(W51=2,CONCATENATE(" dates='[{",
CHAR(34),"startDate",CHAR(34),":",CHAR(34),TEXT(G51,"yyyy-mm-dd"),CHAR(34),", ",
,CHAR(34),"endDate",CHAR(34),":",CHAR(34),TEXT(G51,"yyyy-mm-dd"),CHAR(34),
IF(OR(ISBLANK(AE51),ISBLANK(AF51)),"",(CONCATENATE(", ",CHAR(34),"startTime",CHAR(34),":",CHAR(34),TEXT(AE51,"hh:mm"),CHAR(34),", ",CHAR(34),"endTime",CHAR(34),":",CHAR(34),TEXT(AF51,"hh:mm"),CHAR(34),", ",CHAR(34),"timeZone",CHAR(34),":",CHAR(34),AG51,CHAR(34)))),"}, {",
,CHAR(34),"startDate",CHAR(34),":",CHAR(34),TEXT(G51+1,"yyyy-mm-dd"),CHAR(34),", ",
,CHAR(34),"endDate",CHAR(34),":",CHAR(34),TEXT(G51+W51-1,"yyyy-mm-dd"),CHAR(34),
IF(OR(ISBLANK(AE51),ISBLANK(AF51)),"",(CONCATENATE(", ",CHAR(34),"startTime",CHAR(34),":",CHAR(34),TEXT(AE51,"hh:mm"),CHAR(34),", ",CHAR(34),"endTime",CHAR(34),":",CHAR(34),TEXT(AF51,"hh:mm"),CHAR(34),", ",CHAR(34),"timeZone",CHAR(34),":",CHAR(34),AG51,CHAR(34)))),"}]'"),
CONCATENATE(
"{  startDate=",CHAR(34),TEXT(G51,"yyyy-mm-dd"),CHAR(34),
"  endDate=",CHAR(34),TEXT(G51+W51-1,"yyyy-mm-dd"),CHAR(34),"}"))),
" &gt;&lt;/add-to-calendar-button&gt;")</f>
        <v>&lt;add-to-calendar-button  name="Columbia Singing"   location="Dripping Springs Christian Church, 2701 Dripping Springs Rd., Columbia, Missouri"   description="shapenotesingings.com"   options="'Apple','Google','iCal','Outlook.com'"   styleLight="--btn-background: #550000; --btn-text: #fff; --btn-shadow:#fff;"startDate="2025-10-11"{endDate="2025-10-11" &gt;&lt;/add-to-calendar-button&gt;</v>
      </c>
      <c r="AE51" s="24"/>
      <c r="AF51" s="24"/>
      <c r="AG51" s="25" t="s">
        <v>1533</v>
      </c>
    </row>
  </sheetData>
  <conditionalFormatting sqref="X2:X3">
    <cfRule type="expression" dxfId="186" priority="218">
      <formula>ISBLANK(Y2)</formula>
    </cfRule>
  </conditionalFormatting>
  <conditionalFormatting sqref="T2:U2">
    <cfRule type="expression" dxfId="185" priority="217">
      <formula>ISBLANK(R2)</formula>
    </cfRule>
  </conditionalFormatting>
  <conditionalFormatting sqref="T2:U2">
    <cfRule type="expression" dxfId="184" priority="216">
      <formula>ISBLANK(V2)</formula>
    </cfRule>
  </conditionalFormatting>
  <conditionalFormatting sqref="L2:L3">
    <cfRule type="containsBlanks" dxfId="183" priority="219">
      <formula>LEN(TRIM(L2))=0</formula>
    </cfRule>
  </conditionalFormatting>
  <conditionalFormatting sqref="T3:U3">
    <cfRule type="expression" dxfId="182" priority="211">
      <formula>ISBLANK(R3)</formula>
    </cfRule>
  </conditionalFormatting>
  <conditionalFormatting sqref="T3:U3">
    <cfRule type="expression" dxfId="181" priority="210">
      <formula>ISBLANK(V3)</formula>
    </cfRule>
  </conditionalFormatting>
  <conditionalFormatting sqref="X4">
    <cfRule type="expression" dxfId="180" priority="208">
      <formula>ISBLANK(Y4)</formula>
    </cfRule>
  </conditionalFormatting>
  <conditionalFormatting sqref="T4:U4">
    <cfRule type="expression" dxfId="179" priority="207">
      <formula>ISBLANK(R4)</formula>
    </cfRule>
  </conditionalFormatting>
  <conditionalFormatting sqref="T4:U4">
    <cfRule type="expression" dxfId="178" priority="206">
      <formula>ISBLANK(V4)</formula>
    </cfRule>
  </conditionalFormatting>
  <conditionalFormatting sqref="L4">
    <cfRule type="containsBlanks" dxfId="177" priority="209">
      <formula>LEN(TRIM(L4))=0</formula>
    </cfRule>
  </conditionalFormatting>
  <conditionalFormatting sqref="X5">
    <cfRule type="expression" dxfId="176" priority="204">
      <formula>ISBLANK(Y5)</formula>
    </cfRule>
  </conditionalFormatting>
  <conditionalFormatting sqref="T5:U5">
    <cfRule type="expression" dxfId="175" priority="203">
      <formula>ISBLANK(R5)</formula>
    </cfRule>
  </conditionalFormatting>
  <conditionalFormatting sqref="T5:U5">
    <cfRule type="expression" dxfId="174" priority="202">
      <formula>ISBLANK(V5)</formula>
    </cfRule>
  </conditionalFormatting>
  <conditionalFormatting sqref="L5">
    <cfRule type="containsBlanks" dxfId="173" priority="205">
      <formula>LEN(TRIM(L5))=0</formula>
    </cfRule>
  </conditionalFormatting>
  <conditionalFormatting sqref="X7">
    <cfRule type="expression" dxfId="172" priority="196">
      <formula>ISBLANK(Y7)</formula>
    </cfRule>
  </conditionalFormatting>
  <conditionalFormatting sqref="T7:U7">
    <cfRule type="expression" dxfId="171" priority="195">
      <formula>ISBLANK(R7)</formula>
    </cfRule>
  </conditionalFormatting>
  <conditionalFormatting sqref="L7">
    <cfRule type="containsBlanks" dxfId="170" priority="197">
      <formula>LEN(TRIM(L7))=0</formula>
    </cfRule>
  </conditionalFormatting>
  <conditionalFormatting sqref="X8">
    <cfRule type="expression" dxfId="169" priority="193">
      <formula>ISBLANK(Y8)</formula>
    </cfRule>
  </conditionalFormatting>
  <conditionalFormatting sqref="T8:U8">
    <cfRule type="expression" dxfId="168" priority="192">
      <formula>ISBLANK(R8)</formula>
    </cfRule>
  </conditionalFormatting>
  <conditionalFormatting sqref="T8:U8">
    <cfRule type="expression" dxfId="167" priority="191">
      <formula>ISBLANK(V8)</formula>
    </cfRule>
  </conditionalFormatting>
  <conditionalFormatting sqref="L8">
    <cfRule type="containsBlanks" dxfId="166" priority="194">
      <formula>LEN(TRIM(L8))=0</formula>
    </cfRule>
  </conditionalFormatting>
  <conditionalFormatting sqref="X9">
    <cfRule type="expression" dxfId="165" priority="189">
      <formula>ISBLANK(Y9)</formula>
    </cfRule>
  </conditionalFormatting>
  <conditionalFormatting sqref="T9:U9">
    <cfRule type="expression" dxfId="164" priority="188">
      <formula>ISBLANK(R9)</formula>
    </cfRule>
  </conditionalFormatting>
  <conditionalFormatting sqref="T9:U9">
    <cfRule type="expression" dxfId="163" priority="187">
      <formula>ISBLANK(V9)</formula>
    </cfRule>
  </conditionalFormatting>
  <conditionalFormatting sqref="L9">
    <cfRule type="containsBlanks" dxfId="162" priority="190">
      <formula>LEN(TRIM(L9))=0</formula>
    </cfRule>
  </conditionalFormatting>
  <conditionalFormatting sqref="X10">
    <cfRule type="expression" dxfId="161" priority="185">
      <formula>ISBLANK(Y10)</formula>
    </cfRule>
  </conditionalFormatting>
  <conditionalFormatting sqref="T10:U10">
    <cfRule type="expression" dxfId="160" priority="184">
      <formula>ISBLANK(R10)</formula>
    </cfRule>
  </conditionalFormatting>
  <conditionalFormatting sqref="T10:U10">
    <cfRule type="expression" dxfId="159" priority="183">
      <formula>ISBLANK(V10)</formula>
    </cfRule>
  </conditionalFormatting>
  <conditionalFormatting sqref="L10">
    <cfRule type="containsBlanks" dxfId="158" priority="186">
      <formula>LEN(TRIM(L10))=0</formula>
    </cfRule>
  </conditionalFormatting>
  <conditionalFormatting sqref="X11">
    <cfRule type="expression" dxfId="157" priority="181">
      <formula>ISBLANK(Y11)</formula>
    </cfRule>
  </conditionalFormatting>
  <conditionalFormatting sqref="T11:U11">
    <cfRule type="expression" dxfId="156" priority="180">
      <formula>ISBLANK(R11)</formula>
    </cfRule>
  </conditionalFormatting>
  <conditionalFormatting sqref="T11:U11">
    <cfRule type="expression" dxfId="155" priority="179">
      <formula>ISBLANK(V11)</formula>
    </cfRule>
  </conditionalFormatting>
  <conditionalFormatting sqref="L11">
    <cfRule type="containsBlanks" dxfId="154" priority="182">
      <formula>LEN(TRIM(L11))=0</formula>
    </cfRule>
  </conditionalFormatting>
  <conditionalFormatting sqref="X12">
    <cfRule type="expression" dxfId="153" priority="177">
      <formula>ISBLANK(Y12)</formula>
    </cfRule>
  </conditionalFormatting>
  <conditionalFormatting sqref="T12:U12">
    <cfRule type="expression" dxfId="152" priority="176">
      <formula>ISBLANK(R12)</formula>
    </cfRule>
  </conditionalFormatting>
  <conditionalFormatting sqref="T12:U12">
    <cfRule type="expression" dxfId="151" priority="175">
      <formula>ISBLANK(V12)</formula>
    </cfRule>
  </conditionalFormatting>
  <conditionalFormatting sqref="L12">
    <cfRule type="containsBlanks" dxfId="150" priority="178">
      <formula>LEN(TRIM(L12))=0</formula>
    </cfRule>
  </conditionalFormatting>
  <conditionalFormatting sqref="X13">
    <cfRule type="expression" dxfId="149" priority="173">
      <formula>ISBLANK(Y13)</formula>
    </cfRule>
  </conditionalFormatting>
  <conditionalFormatting sqref="T13:U13">
    <cfRule type="expression" dxfId="148" priority="172">
      <formula>ISBLANK(R13)</formula>
    </cfRule>
  </conditionalFormatting>
  <conditionalFormatting sqref="T13:U13">
    <cfRule type="expression" dxfId="147" priority="171">
      <formula>ISBLANK(V13)</formula>
    </cfRule>
  </conditionalFormatting>
  <conditionalFormatting sqref="L13">
    <cfRule type="containsBlanks" dxfId="146" priority="174">
      <formula>LEN(TRIM(L13))=0</formula>
    </cfRule>
  </conditionalFormatting>
  <conditionalFormatting sqref="X14">
    <cfRule type="expression" dxfId="145" priority="169">
      <formula>ISBLANK(Y14)</formula>
    </cfRule>
  </conditionalFormatting>
  <conditionalFormatting sqref="T14:U14">
    <cfRule type="expression" dxfId="144" priority="168">
      <formula>ISBLANK(R14)</formula>
    </cfRule>
  </conditionalFormatting>
  <conditionalFormatting sqref="T14:U14">
    <cfRule type="expression" dxfId="143" priority="167">
      <formula>ISBLANK(V14)</formula>
    </cfRule>
  </conditionalFormatting>
  <conditionalFormatting sqref="L14">
    <cfRule type="containsBlanks" dxfId="142" priority="170">
      <formula>LEN(TRIM(L14))=0</formula>
    </cfRule>
  </conditionalFormatting>
  <conditionalFormatting sqref="X15">
    <cfRule type="expression" dxfId="141" priority="165">
      <formula>ISBLANK(Y15)</formula>
    </cfRule>
  </conditionalFormatting>
  <conditionalFormatting sqref="T15:U15">
    <cfRule type="expression" dxfId="140" priority="164">
      <formula>ISBLANK(R15)</formula>
    </cfRule>
  </conditionalFormatting>
  <conditionalFormatting sqref="T15:U15">
    <cfRule type="expression" dxfId="139" priority="163">
      <formula>ISBLANK(V15)</formula>
    </cfRule>
  </conditionalFormatting>
  <conditionalFormatting sqref="L15">
    <cfRule type="containsBlanks" dxfId="138" priority="166">
      <formula>LEN(TRIM(L15))=0</formula>
    </cfRule>
  </conditionalFormatting>
  <conditionalFormatting sqref="X17">
    <cfRule type="expression" dxfId="137" priority="157">
      <formula>ISBLANK(Y17)</formula>
    </cfRule>
  </conditionalFormatting>
  <conditionalFormatting sqref="T17:U17">
    <cfRule type="expression" dxfId="136" priority="156">
      <formula>ISBLANK(R17)</formula>
    </cfRule>
  </conditionalFormatting>
  <conditionalFormatting sqref="T17:U17">
    <cfRule type="expression" dxfId="135" priority="155">
      <formula>ISBLANK(V17)</formula>
    </cfRule>
  </conditionalFormatting>
  <conditionalFormatting sqref="L17">
    <cfRule type="containsBlanks" dxfId="134" priority="158">
      <formula>LEN(TRIM(L17))=0</formula>
    </cfRule>
  </conditionalFormatting>
  <conditionalFormatting sqref="X18">
    <cfRule type="expression" dxfId="133" priority="153">
      <formula>ISBLANK(Y18)</formula>
    </cfRule>
  </conditionalFormatting>
  <conditionalFormatting sqref="T18:U18">
    <cfRule type="expression" dxfId="132" priority="152">
      <formula>ISBLANK(R18)</formula>
    </cfRule>
  </conditionalFormatting>
  <conditionalFormatting sqref="T18:U18">
    <cfRule type="expression" dxfId="131" priority="151">
      <formula>ISBLANK(V18)</formula>
    </cfRule>
  </conditionalFormatting>
  <conditionalFormatting sqref="L18">
    <cfRule type="containsBlanks" dxfId="130" priority="154">
      <formula>LEN(TRIM(L18))=0</formula>
    </cfRule>
  </conditionalFormatting>
  <conditionalFormatting sqref="X19">
    <cfRule type="expression" dxfId="129" priority="149">
      <formula>ISBLANK(Y19)</formula>
    </cfRule>
  </conditionalFormatting>
  <conditionalFormatting sqref="T19:U19">
    <cfRule type="expression" dxfId="128" priority="148">
      <formula>ISBLANK(R19)</formula>
    </cfRule>
  </conditionalFormatting>
  <conditionalFormatting sqref="T19:U19">
    <cfRule type="expression" dxfId="127" priority="147">
      <formula>ISBLANK(V19)</formula>
    </cfRule>
  </conditionalFormatting>
  <conditionalFormatting sqref="L19">
    <cfRule type="containsBlanks" dxfId="126" priority="150">
      <formula>LEN(TRIM(L19))=0</formula>
    </cfRule>
  </conditionalFormatting>
  <conditionalFormatting sqref="X20">
    <cfRule type="expression" dxfId="125" priority="145">
      <formula>ISBLANK(Y20)</formula>
    </cfRule>
  </conditionalFormatting>
  <conditionalFormatting sqref="T20:U20">
    <cfRule type="expression" dxfId="124" priority="144">
      <formula>ISBLANK(R20)</formula>
    </cfRule>
  </conditionalFormatting>
  <conditionalFormatting sqref="T20:U20">
    <cfRule type="expression" dxfId="123" priority="143">
      <formula>ISBLANK(V20)</formula>
    </cfRule>
  </conditionalFormatting>
  <conditionalFormatting sqref="L20">
    <cfRule type="containsBlanks" dxfId="122" priority="146">
      <formula>LEN(TRIM(L20))=0</formula>
    </cfRule>
  </conditionalFormatting>
  <conditionalFormatting sqref="X21">
    <cfRule type="expression" dxfId="121" priority="141">
      <formula>ISBLANK(Y21)</formula>
    </cfRule>
  </conditionalFormatting>
  <conditionalFormatting sqref="T21:U21">
    <cfRule type="expression" dxfId="120" priority="140">
      <formula>ISBLANK(R21)</formula>
    </cfRule>
  </conditionalFormatting>
  <conditionalFormatting sqref="T21:U21">
    <cfRule type="expression" dxfId="119" priority="139">
      <formula>ISBLANK(V21)</formula>
    </cfRule>
  </conditionalFormatting>
  <conditionalFormatting sqref="L21">
    <cfRule type="containsBlanks" dxfId="118" priority="142">
      <formula>LEN(TRIM(L21))=0</formula>
    </cfRule>
  </conditionalFormatting>
  <conditionalFormatting sqref="X22">
    <cfRule type="expression" dxfId="117" priority="137">
      <formula>ISBLANK(Y22)</formula>
    </cfRule>
  </conditionalFormatting>
  <conditionalFormatting sqref="T22:U22">
    <cfRule type="expression" dxfId="116" priority="136">
      <formula>ISBLANK(R22)</formula>
    </cfRule>
  </conditionalFormatting>
  <conditionalFormatting sqref="T22:U22">
    <cfRule type="expression" dxfId="115" priority="135">
      <formula>ISBLANK(V22)</formula>
    </cfRule>
  </conditionalFormatting>
  <conditionalFormatting sqref="L22">
    <cfRule type="containsBlanks" dxfId="114" priority="138">
      <formula>LEN(TRIM(L22))=0</formula>
    </cfRule>
  </conditionalFormatting>
  <conditionalFormatting sqref="X23">
    <cfRule type="expression" dxfId="113" priority="133">
      <formula>ISBLANK(Y23)</formula>
    </cfRule>
  </conditionalFormatting>
  <conditionalFormatting sqref="T23:U23">
    <cfRule type="expression" dxfId="112" priority="132">
      <formula>ISBLANK(R23)</formula>
    </cfRule>
  </conditionalFormatting>
  <conditionalFormatting sqref="T23:U23">
    <cfRule type="expression" dxfId="111" priority="131">
      <formula>ISBLANK(V23)</formula>
    </cfRule>
  </conditionalFormatting>
  <conditionalFormatting sqref="L23">
    <cfRule type="containsBlanks" dxfId="110" priority="134">
      <formula>LEN(TRIM(L23))=0</formula>
    </cfRule>
  </conditionalFormatting>
  <conditionalFormatting sqref="X6">
    <cfRule type="expression" dxfId="109" priority="129">
      <formula>ISBLANK(Y6)</formula>
    </cfRule>
  </conditionalFormatting>
  <conditionalFormatting sqref="T6:U6">
    <cfRule type="expression" dxfId="108" priority="128">
      <formula>ISBLANK(R6)</formula>
    </cfRule>
  </conditionalFormatting>
  <conditionalFormatting sqref="T6:U6">
    <cfRule type="expression" dxfId="107" priority="127">
      <formula>ISBLANK(V6)</formula>
    </cfRule>
  </conditionalFormatting>
  <conditionalFormatting sqref="L6">
    <cfRule type="containsBlanks" dxfId="106" priority="130">
      <formula>LEN(TRIM(L6))=0</formula>
    </cfRule>
  </conditionalFormatting>
  <conditionalFormatting sqref="X24">
    <cfRule type="expression" dxfId="105" priority="125">
      <formula>ISBLANK(Y24)</formula>
    </cfRule>
  </conditionalFormatting>
  <conditionalFormatting sqref="T24:U24">
    <cfRule type="expression" dxfId="104" priority="124">
      <formula>ISBLANK(R24)</formula>
    </cfRule>
  </conditionalFormatting>
  <conditionalFormatting sqref="T24:U24">
    <cfRule type="expression" dxfId="103" priority="123">
      <formula>ISBLANK(V24)</formula>
    </cfRule>
  </conditionalFormatting>
  <conditionalFormatting sqref="L24">
    <cfRule type="containsBlanks" dxfId="102" priority="126">
      <formula>LEN(TRIM(L24))=0</formula>
    </cfRule>
  </conditionalFormatting>
  <conditionalFormatting sqref="X25">
    <cfRule type="expression" dxfId="101" priority="121">
      <formula>ISBLANK(Y25)</formula>
    </cfRule>
  </conditionalFormatting>
  <conditionalFormatting sqref="T25:U25">
    <cfRule type="expression" dxfId="100" priority="120">
      <formula>ISBLANK(R25)</formula>
    </cfRule>
  </conditionalFormatting>
  <conditionalFormatting sqref="T25:U25">
    <cfRule type="expression" dxfId="99" priority="119">
      <formula>ISBLANK(V25)</formula>
    </cfRule>
  </conditionalFormatting>
  <conditionalFormatting sqref="L25">
    <cfRule type="containsBlanks" dxfId="98" priority="122">
      <formula>LEN(TRIM(L25))=0</formula>
    </cfRule>
  </conditionalFormatting>
  <conditionalFormatting sqref="X26">
    <cfRule type="expression" dxfId="97" priority="117">
      <formula>ISBLANK(Y26)</formula>
    </cfRule>
  </conditionalFormatting>
  <conditionalFormatting sqref="T26:U26">
    <cfRule type="expression" dxfId="96" priority="116">
      <formula>ISBLANK(R26)</formula>
    </cfRule>
  </conditionalFormatting>
  <conditionalFormatting sqref="T26:U26">
    <cfRule type="expression" dxfId="95" priority="115">
      <formula>ISBLANK(V26)</formula>
    </cfRule>
  </conditionalFormatting>
  <conditionalFormatting sqref="L26">
    <cfRule type="containsBlanks" dxfId="94" priority="118">
      <formula>LEN(TRIM(L26))=0</formula>
    </cfRule>
  </conditionalFormatting>
  <conditionalFormatting sqref="X31">
    <cfRule type="expression" dxfId="93" priority="113">
      <formula>ISBLANK(Y31)</formula>
    </cfRule>
  </conditionalFormatting>
  <conditionalFormatting sqref="T31:U31">
    <cfRule type="expression" dxfId="92" priority="112">
      <formula>ISBLANK(R31)</formula>
    </cfRule>
  </conditionalFormatting>
  <conditionalFormatting sqref="T31:U31">
    <cfRule type="expression" dxfId="91" priority="111">
      <formula>ISBLANK(V31)</formula>
    </cfRule>
  </conditionalFormatting>
  <conditionalFormatting sqref="L31">
    <cfRule type="containsBlanks" dxfId="90" priority="114">
      <formula>LEN(TRIM(L31))=0</formula>
    </cfRule>
  </conditionalFormatting>
  <conditionalFormatting sqref="X28">
    <cfRule type="expression" dxfId="89" priority="105">
      <formula>ISBLANK(Y28)</formula>
    </cfRule>
  </conditionalFormatting>
  <conditionalFormatting sqref="T28:U28">
    <cfRule type="expression" dxfId="88" priority="104">
      <formula>ISBLANK(R28)</formula>
    </cfRule>
  </conditionalFormatting>
  <conditionalFormatting sqref="T28:U28">
    <cfRule type="expression" dxfId="87" priority="103">
      <formula>ISBLANK(V28)</formula>
    </cfRule>
  </conditionalFormatting>
  <conditionalFormatting sqref="L28">
    <cfRule type="containsBlanks" dxfId="86" priority="106">
      <formula>LEN(TRIM(L28))=0</formula>
    </cfRule>
  </conditionalFormatting>
  <conditionalFormatting sqref="X29">
    <cfRule type="expression" dxfId="85" priority="101">
      <formula>ISBLANK(Y29)</formula>
    </cfRule>
  </conditionalFormatting>
  <conditionalFormatting sqref="T29:U29">
    <cfRule type="expression" dxfId="84" priority="100">
      <formula>ISBLANK(R29)</formula>
    </cfRule>
  </conditionalFormatting>
  <conditionalFormatting sqref="T29:U29">
    <cfRule type="expression" dxfId="83" priority="99">
      <formula>ISBLANK(V29)</formula>
    </cfRule>
  </conditionalFormatting>
  <conditionalFormatting sqref="L29">
    <cfRule type="containsBlanks" dxfId="82" priority="102">
      <formula>LEN(TRIM(L29))=0</formula>
    </cfRule>
  </conditionalFormatting>
  <conditionalFormatting sqref="X30">
    <cfRule type="expression" dxfId="81" priority="97">
      <formula>ISBLANK(Y30)</formula>
    </cfRule>
  </conditionalFormatting>
  <conditionalFormatting sqref="T30:U30">
    <cfRule type="expression" dxfId="80" priority="96">
      <formula>ISBLANK(R30)</formula>
    </cfRule>
  </conditionalFormatting>
  <conditionalFormatting sqref="T30:U30">
    <cfRule type="expression" dxfId="79" priority="95">
      <formula>ISBLANK(V30)</formula>
    </cfRule>
  </conditionalFormatting>
  <conditionalFormatting sqref="L30">
    <cfRule type="containsBlanks" dxfId="78" priority="98">
      <formula>LEN(TRIM(L30))=0</formula>
    </cfRule>
  </conditionalFormatting>
  <conditionalFormatting sqref="X32">
    <cfRule type="expression" dxfId="77" priority="93">
      <formula>ISBLANK(Y32)</formula>
    </cfRule>
  </conditionalFormatting>
  <conditionalFormatting sqref="T32:U32">
    <cfRule type="expression" dxfId="76" priority="92">
      <formula>ISBLANK(R32)</formula>
    </cfRule>
  </conditionalFormatting>
  <conditionalFormatting sqref="T32:U32">
    <cfRule type="expression" dxfId="75" priority="91">
      <formula>ISBLANK(V32)</formula>
    </cfRule>
  </conditionalFormatting>
  <conditionalFormatting sqref="L32">
    <cfRule type="containsBlanks" dxfId="74" priority="94">
      <formula>LEN(TRIM(L32))=0</formula>
    </cfRule>
  </conditionalFormatting>
  <conditionalFormatting sqref="X33">
    <cfRule type="expression" dxfId="73" priority="89">
      <formula>ISBLANK(Y33)</formula>
    </cfRule>
  </conditionalFormatting>
  <conditionalFormatting sqref="T33:U33">
    <cfRule type="expression" dxfId="72" priority="88">
      <formula>ISBLANK(R33)</formula>
    </cfRule>
  </conditionalFormatting>
  <conditionalFormatting sqref="T33:U33">
    <cfRule type="expression" dxfId="71" priority="87">
      <formula>ISBLANK(V33)</formula>
    </cfRule>
  </conditionalFormatting>
  <conditionalFormatting sqref="L33">
    <cfRule type="containsBlanks" dxfId="70" priority="90">
      <formula>LEN(TRIM(L33))=0</formula>
    </cfRule>
  </conditionalFormatting>
  <conditionalFormatting sqref="X35">
    <cfRule type="expression" dxfId="69" priority="81">
      <formula>ISBLANK(Y35)</formula>
    </cfRule>
  </conditionalFormatting>
  <conditionalFormatting sqref="T35:U35">
    <cfRule type="expression" dxfId="68" priority="80">
      <formula>ISBLANK(R35)</formula>
    </cfRule>
  </conditionalFormatting>
  <conditionalFormatting sqref="T35:U35">
    <cfRule type="expression" dxfId="67" priority="79">
      <formula>ISBLANK(V35)</formula>
    </cfRule>
  </conditionalFormatting>
  <conditionalFormatting sqref="L35">
    <cfRule type="containsBlanks" dxfId="66" priority="82">
      <formula>LEN(TRIM(L35))=0</formula>
    </cfRule>
  </conditionalFormatting>
  <conditionalFormatting sqref="X36">
    <cfRule type="expression" dxfId="65" priority="77">
      <formula>ISBLANK(Y36)</formula>
    </cfRule>
  </conditionalFormatting>
  <conditionalFormatting sqref="T36:U36">
    <cfRule type="expression" dxfId="64" priority="76">
      <formula>ISBLANK(R36)</formula>
    </cfRule>
  </conditionalFormatting>
  <conditionalFormatting sqref="T36:U36">
    <cfRule type="expression" dxfId="63" priority="75">
      <formula>ISBLANK(V36)</formula>
    </cfRule>
  </conditionalFormatting>
  <conditionalFormatting sqref="L36">
    <cfRule type="containsBlanks" dxfId="62" priority="78">
      <formula>LEN(TRIM(L36))=0</formula>
    </cfRule>
  </conditionalFormatting>
  <conditionalFormatting sqref="X39">
    <cfRule type="expression" dxfId="61" priority="69">
      <formula>ISBLANK(Y39)</formula>
    </cfRule>
  </conditionalFormatting>
  <conditionalFormatting sqref="T39:U39">
    <cfRule type="expression" dxfId="60" priority="68">
      <formula>ISBLANK(R39)</formula>
    </cfRule>
  </conditionalFormatting>
  <conditionalFormatting sqref="T39:U39">
    <cfRule type="expression" dxfId="59" priority="67">
      <formula>ISBLANK(V39)</formula>
    </cfRule>
  </conditionalFormatting>
  <conditionalFormatting sqref="L39">
    <cfRule type="containsBlanks" dxfId="58" priority="70">
      <formula>LEN(TRIM(L39))=0</formula>
    </cfRule>
  </conditionalFormatting>
  <conditionalFormatting sqref="X42:X43">
    <cfRule type="expression" dxfId="57" priority="65">
      <formula>ISBLANK(Y42)</formula>
    </cfRule>
  </conditionalFormatting>
  <conditionalFormatting sqref="T42:U42">
    <cfRule type="expression" dxfId="56" priority="64">
      <formula>ISBLANK(R42)</formula>
    </cfRule>
  </conditionalFormatting>
  <conditionalFormatting sqref="T42:U42">
    <cfRule type="expression" dxfId="55" priority="63">
      <formula>ISBLANK(V42)</formula>
    </cfRule>
  </conditionalFormatting>
  <conditionalFormatting sqref="L42:L43">
    <cfRule type="containsBlanks" dxfId="54" priority="66">
      <formula>LEN(TRIM(L42))=0</formula>
    </cfRule>
  </conditionalFormatting>
  <conditionalFormatting sqref="X41">
    <cfRule type="expression" dxfId="53" priority="61">
      <formula>ISBLANK(Y41)</formula>
    </cfRule>
  </conditionalFormatting>
  <conditionalFormatting sqref="T41:U41">
    <cfRule type="expression" dxfId="52" priority="60">
      <formula>ISBLANK(R41)</formula>
    </cfRule>
  </conditionalFormatting>
  <conditionalFormatting sqref="T41:U41">
    <cfRule type="expression" dxfId="51" priority="59">
      <formula>ISBLANK(V41)</formula>
    </cfRule>
  </conditionalFormatting>
  <conditionalFormatting sqref="L41">
    <cfRule type="containsBlanks" dxfId="50" priority="62">
      <formula>LEN(TRIM(L41))=0</formula>
    </cfRule>
  </conditionalFormatting>
  <conditionalFormatting sqref="X27">
    <cfRule type="expression" dxfId="49" priority="57">
      <formula>ISBLANK(Y27)</formula>
    </cfRule>
  </conditionalFormatting>
  <conditionalFormatting sqref="T27:U27">
    <cfRule type="expression" dxfId="48" priority="56">
      <formula>ISBLANK(R27)</formula>
    </cfRule>
  </conditionalFormatting>
  <conditionalFormatting sqref="T27:U27">
    <cfRule type="expression" dxfId="47" priority="55">
      <formula>ISBLANK(V27)</formula>
    </cfRule>
  </conditionalFormatting>
  <conditionalFormatting sqref="L27">
    <cfRule type="containsBlanks" dxfId="46" priority="58">
      <formula>LEN(TRIM(L27))=0</formula>
    </cfRule>
  </conditionalFormatting>
  <conditionalFormatting sqref="T43:U43">
    <cfRule type="expression" dxfId="45" priority="50">
      <formula>ISBLANK(R43)</formula>
    </cfRule>
  </conditionalFormatting>
  <conditionalFormatting sqref="T43:U43">
    <cfRule type="expression" dxfId="44" priority="49">
      <formula>ISBLANK(V43)</formula>
    </cfRule>
  </conditionalFormatting>
  <conditionalFormatting sqref="X44">
    <cfRule type="expression" dxfId="43" priority="47">
      <formula>ISBLANK(Y44)</formula>
    </cfRule>
  </conditionalFormatting>
  <conditionalFormatting sqref="T44:U44">
    <cfRule type="expression" dxfId="42" priority="46">
      <formula>ISBLANK(R44)</formula>
    </cfRule>
  </conditionalFormatting>
  <conditionalFormatting sqref="T44:U44">
    <cfRule type="expression" dxfId="41" priority="45">
      <formula>ISBLANK(V44)</formula>
    </cfRule>
  </conditionalFormatting>
  <conditionalFormatting sqref="L44">
    <cfRule type="containsBlanks" dxfId="40" priority="48">
      <formula>LEN(TRIM(L44))=0</formula>
    </cfRule>
  </conditionalFormatting>
  <conditionalFormatting sqref="X45">
    <cfRule type="expression" dxfId="39" priority="43">
      <formula>ISBLANK(Y45)</formula>
    </cfRule>
  </conditionalFormatting>
  <conditionalFormatting sqref="T45:U45">
    <cfRule type="expression" dxfId="38" priority="42">
      <formula>ISBLANK(R45)</formula>
    </cfRule>
  </conditionalFormatting>
  <conditionalFormatting sqref="T45:U45">
    <cfRule type="expression" dxfId="37" priority="41">
      <formula>ISBLANK(V45)</formula>
    </cfRule>
  </conditionalFormatting>
  <conditionalFormatting sqref="L45">
    <cfRule type="containsBlanks" dxfId="36" priority="44">
      <formula>LEN(TRIM(L45))=0</formula>
    </cfRule>
  </conditionalFormatting>
  <conditionalFormatting sqref="X40">
    <cfRule type="expression" dxfId="35" priority="39">
      <formula>ISBLANK(Y40)</formula>
    </cfRule>
  </conditionalFormatting>
  <conditionalFormatting sqref="T40:U40">
    <cfRule type="expression" dxfId="34" priority="38">
      <formula>ISBLANK(R40)</formula>
    </cfRule>
  </conditionalFormatting>
  <conditionalFormatting sqref="T40:U40">
    <cfRule type="expression" dxfId="33" priority="37">
      <formula>ISBLANK(V40)</formula>
    </cfRule>
  </conditionalFormatting>
  <conditionalFormatting sqref="L40">
    <cfRule type="containsBlanks" dxfId="32" priority="40">
      <formula>LEN(TRIM(L40))=0</formula>
    </cfRule>
  </conditionalFormatting>
  <conditionalFormatting sqref="X34">
    <cfRule type="expression" dxfId="31" priority="31">
      <formula>ISBLANK(Y34)</formula>
    </cfRule>
  </conditionalFormatting>
  <conditionalFormatting sqref="T34:U34">
    <cfRule type="expression" dxfId="30" priority="30">
      <formula>ISBLANK(R34)</formula>
    </cfRule>
  </conditionalFormatting>
  <conditionalFormatting sqref="T34:U34">
    <cfRule type="expression" dxfId="29" priority="29">
      <formula>ISBLANK(V34)</formula>
    </cfRule>
  </conditionalFormatting>
  <conditionalFormatting sqref="L34">
    <cfRule type="containsBlanks" dxfId="28" priority="32">
      <formula>LEN(TRIM(L34))=0</formula>
    </cfRule>
  </conditionalFormatting>
  <conditionalFormatting sqref="X37">
    <cfRule type="expression" dxfId="27" priority="27">
      <formula>ISBLANK(Y37)</formula>
    </cfRule>
  </conditionalFormatting>
  <conditionalFormatting sqref="T37:U37">
    <cfRule type="expression" dxfId="26" priority="26">
      <formula>ISBLANK(R37)</formula>
    </cfRule>
  </conditionalFormatting>
  <conditionalFormatting sqref="T37:U37">
    <cfRule type="expression" dxfId="25" priority="25">
      <formula>ISBLANK(V37)</formula>
    </cfRule>
  </conditionalFormatting>
  <conditionalFormatting sqref="L37">
    <cfRule type="containsBlanks" dxfId="24" priority="28">
      <formula>LEN(TRIM(L37))=0</formula>
    </cfRule>
  </conditionalFormatting>
  <conditionalFormatting sqref="X46">
    <cfRule type="expression" dxfId="23" priority="24">
      <formula>ISBLANK(Y46)</formula>
    </cfRule>
  </conditionalFormatting>
  <conditionalFormatting sqref="T46:U46">
    <cfRule type="expression" dxfId="22" priority="23">
      <formula>ISBLANK(R46)</formula>
    </cfRule>
  </conditionalFormatting>
  <conditionalFormatting sqref="T46:U46">
    <cfRule type="expression" dxfId="21" priority="22">
      <formula>ISBLANK(V46)</formula>
    </cfRule>
  </conditionalFormatting>
  <conditionalFormatting sqref="L46">
    <cfRule type="containsBlanks" dxfId="20" priority="21">
      <formula>LEN(TRIM(L46))=0</formula>
    </cfRule>
  </conditionalFormatting>
  <conditionalFormatting sqref="X47">
    <cfRule type="expression" dxfId="19" priority="19">
      <formula>ISBLANK(Y47)</formula>
    </cfRule>
  </conditionalFormatting>
  <conditionalFormatting sqref="T47:U47">
    <cfRule type="expression" dxfId="18" priority="18">
      <formula>ISBLANK(R47)</formula>
    </cfRule>
  </conditionalFormatting>
  <conditionalFormatting sqref="T47:U47">
    <cfRule type="expression" dxfId="17" priority="17">
      <formula>ISBLANK(V47)</formula>
    </cfRule>
  </conditionalFormatting>
  <conditionalFormatting sqref="L47">
    <cfRule type="containsBlanks" dxfId="16" priority="20">
      <formula>LEN(TRIM(L47))=0</formula>
    </cfRule>
  </conditionalFormatting>
  <conditionalFormatting sqref="X48">
    <cfRule type="expression" dxfId="15" priority="15">
      <formula>ISBLANK(Y48)</formula>
    </cfRule>
  </conditionalFormatting>
  <conditionalFormatting sqref="T48:U48">
    <cfRule type="expression" dxfId="14" priority="14">
      <formula>ISBLANK(R48)</formula>
    </cfRule>
  </conditionalFormatting>
  <conditionalFormatting sqref="T48:U48">
    <cfRule type="expression" dxfId="13" priority="13">
      <formula>ISBLANK(V48)</formula>
    </cfRule>
  </conditionalFormatting>
  <conditionalFormatting sqref="L48">
    <cfRule type="containsBlanks" dxfId="12" priority="16">
      <formula>LEN(TRIM(L48))=0</formula>
    </cfRule>
  </conditionalFormatting>
  <conditionalFormatting sqref="X49">
    <cfRule type="expression" dxfId="11" priority="11">
      <formula>ISBLANK(Y49)</formula>
    </cfRule>
  </conditionalFormatting>
  <conditionalFormatting sqref="T49:U49">
    <cfRule type="expression" dxfId="10" priority="10">
      <formula>ISBLANK(R49)</formula>
    </cfRule>
  </conditionalFormatting>
  <conditionalFormatting sqref="T49:U49">
    <cfRule type="expression" dxfId="9" priority="9">
      <formula>ISBLANK(V49)</formula>
    </cfRule>
  </conditionalFormatting>
  <conditionalFormatting sqref="L49">
    <cfRule type="containsBlanks" dxfId="8" priority="12">
      <formula>LEN(TRIM(L49))=0</formula>
    </cfRule>
  </conditionalFormatting>
  <conditionalFormatting sqref="X50">
    <cfRule type="expression" dxfId="7" priority="7">
      <formula>ISBLANK(Y50)</formula>
    </cfRule>
  </conditionalFormatting>
  <conditionalFormatting sqref="T50:U50">
    <cfRule type="expression" dxfId="6" priority="6">
      <formula>ISBLANK(R50)</formula>
    </cfRule>
  </conditionalFormatting>
  <conditionalFormatting sqref="T50:U50">
    <cfRule type="expression" dxfId="5" priority="5">
      <formula>ISBLANK(V50)</formula>
    </cfRule>
  </conditionalFormatting>
  <conditionalFormatting sqref="L50">
    <cfRule type="containsBlanks" dxfId="4" priority="8">
      <formula>LEN(TRIM(L50))=0</formula>
    </cfRule>
  </conditionalFormatting>
  <conditionalFormatting sqref="X51">
    <cfRule type="expression" dxfId="3" priority="3">
      <formula>ISBLANK(Y51)</formula>
    </cfRule>
  </conditionalFormatting>
  <conditionalFormatting sqref="T51:U51">
    <cfRule type="expression" dxfId="2" priority="2">
      <formula>ISBLANK(R51)</formula>
    </cfRule>
  </conditionalFormatting>
  <conditionalFormatting sqref="T51:U51">
    <cfRule type="expression" dxfId="1" priority="1">
      <formula>ISBLANK(V51)</formula>
    </cfRule>
  </conditionalFormatting>
  <conditionalFormatting sqref="L51">
    <cfRule type="containsBlanks" dxfId="0" priority="4">
      <formula>LEN(TRIM(L51))=0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Annual Singings</vt:lpstr>
      <vt:lpstr>Deleted Singings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dc:creator>
  <cp:lastModifiedBy>Jeremiah Ledbetter</cp:lastModifiedBy>
  <dcterms:created xsi:type="dcterms:W3CDTF">2022-11-30T03:25:09Z</dcterms:created>
  <dcterms:modified xsi:type="dcterms:W3CDTF">2025-05-12T04:04:42Z</dcterms:modified>
</cp:coreProperties>
</file>